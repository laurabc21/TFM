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C:\Users\Usuario\Desktop\TFM\d_Anotación\Evaluación ES - EN\"/>
    </mc:Choice>
  </mc:AlternateContent>
  <xr:revisionPtr revIDLastSave="0" documentId="13_ncr:1_{63FD86C6-5B1F-41FB-A0CD-72F0A60B622E}" xr6:coauthVersionLast="47" xr6:coauthVersionMax="47" xr10:uidLastSave="{00000000-0000-0000-0000-000000000000}"/>
  <bookViews>
    <workbookView xWindow="-110" yWindow="-110" windowWidth="19420" windowHeight="11500" tabRatio="500" firstSheet="2" activeTab="2" xr2:uid="{00000000-000D-0000-FFFF-FFFF00000000}"/>
  </bookViews>
  <sheets>
    <sheet name="Lists" sheetId="1" state="hidden" r:id="rId1"/>
    <sheet name="Dashboard" sheetId="2" r:id="rId2"/>
    <sheet name="Evaluation" sheetId="3" r:id="rId3"/>
  </sheets>
  <definedNames>
    <definedName name="_xlnm._FilterDatabase" localSheetId="2" hidden="1">Evaluation!$A$2:$CU$205</definedName>
    <definedName name="CreativeShifts">Lists!$E$1:$E$7</definedName>
    <definedName name="Errors">Lists!$D$1:$D$1</definedName>
    <definedName name="Omissions">Lists!$C$1:$C$2</definedName>
    <definedName name="Reproduction">Lists!$B$1:$B$4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2" l="1"/>
  <c r="H38" i="2" s="1"/>
  <c r="F38" i="2"/>
  <c r="E38" i="2"/>
  <c r="D38" i="2"/>
  <c r="C38" i="2"/>
  <c r="G37" i="2"/>
  <c r="H37" i="2" s="1"/>
  <c r="F37" i="2"/>
  <c r="E37" i="2"/>
  <c r="D37" i="2"/>
  <c r="C37" i="2"/>
  <c r="G36" i="2"/>
  <c r="H36" i="2" s="1"/>
  <c r="F36" i="2"/>
  <c r="E36" i="2"/>
  <c r="D36" i="2"/>
  <c r="C36" i="2"/>
  <c r="G35" i="2"/>
  <c r="H35" i="2" s="1"/>
  <c r="F35" i="2"/>
  <c r="E35" i="2"/>
  <c r="D35" i="2"/>
  <c r="C35" i="2"/>
  <c r="G34" i="2"/>
  <c r="H34" i="2" s="1"/>
  <c r="F34" i="2"/>
  <c r="E34" i="2"/>
  <c r="D34" i="2"/>
  <c r="C34" i="2"/>
  <c r="G29" i="2"/>
  <c r="H29" i="2" s="1"/>
  <c r="F29" i="2"/>
  <c r="E29" i="2"/>
  <c r="D29" i="2"/>
  <c r="C29" i="2"/>
  <c r="G28" i="2"/>
  <c r="H28" i="2" s="1"/>
  <c r="F28" i="2"/>
  <c r="E28" i="2"/>
  <c r="D28" i="2"/>
  <c r="C28" i="2"/>
  <c r="G27" i="2"/>
  <c r="H27" i="2" s="1"/>
  <c r="F27" i="2"/>
  <c r="E27" i="2"/>
  <c r="D27" i="2"/>
  <c r="C27" i="2"/>
  <c r="G26" i="2"/>
  <c r="H26" i="2" s="1"/>
  <c r="F26" i="2"/>
  <c r="E26" i="2"/>
  <c r="D26" i="2"/>
  <c r="C26" i="2"/>
  <c r="G25" i="2"/>
  <c r="H25" i="2" s="1"/>
  <c r="F25" i="2"/>
  <c r="E25" i="2"/>
  <c r="D25" i="2"/>
  <c r="C25" i="2"/>
  <c r="G20" i="2"/>
  <c r="H20" i="2" s="1"/>
  <c r="F20" i="2"/>
  <c r="E20" i="2"/>
  <c r="D20" i="2"/>
  <c r="C20" i="2"/>
  <c r="G19" i="2"/>
  <c r="H19" i="2" s="1"/>
  <c r="F19" i="2"/>
  <c r="E19" i="2"/>
  <c r="D19" i="2"/>
  <c r="C19" i="2"/>
  <c r="G18" i="2"/>
  <c r="H18" i="2" s="1"/>
  <c r="F18" i="2"/>
  <c r="E18" i="2"/>
  <c r="D18" i="2"/>
  <c r="C18" i="2"/>
  <c r="G17" i="2"/>
  <c r="H17" i="2" s="1"/>
  <c r="F17" i="2"/>
  <c r="E17" i="2"/>
  <c r="D17" i="2"/>
  <c r="C17" i="2"/>
  <c r="G16" i="2"/>
  <c r="H16" i="2" s="1"/>
  <c r="F16" i="2"/>
  <c r="E16" i="2"/>
  <c r="D16" i="2"/>
  <c r="C16" i="2"/>
  <c r="G11" i="2"/>
  <c r="H11" i="2" s="1"/>
  <c r="F11" i="2"/>
  <c r="E11" i="2"/>
  <c r="D11" i="2"/>
  <c r="C11" i="2"/>
  <c r="G10" i="2"/>
  <c r="H10" i="2" s="1"/>
  <c r="F10" i="2"/>
  <c r="E10" i="2"/>
  <c r="D10" i="2"/>
  <c r="C10" i="2"/>
  <c r="G9" i="2"/>
  <c r="H9" i="2" s="1"/>
  <c r="F9" i="2"/>
  <c r="E9" i="2"/>
  <c r="D9" i="2"/>
  <c r="C9" i="2"/>
  <c r="G8" i="2"/>
  <c r="H8" i="2" s="1"/>
  <c r="F8" i="2"/>
  <c r="E8" i="2"/>
  <c r="D8" i="2"/>
  <c r="C8" i="2"/>
  <c r="G7" i="2"/>
  <c r="H7" i="2" s="1"/>
  <c r="F7" i="2"/>
  <c r="E7" i="2"/>
  <c r="D7" i="2"/>
  <c r="C7" i="2"/>
</calcChain>
</file>

<file path=xl/sharedStrings.xml><?xml version="1.0" encoding="utf-8"?>
<sst xmlns="http://schemas.openxmlformats.org/spreadsheetml/2006/main" count="13669" uniqueCount="3876">
  <si>
    <t>1. Reproduction</t>
  </si>
  <si>
    <t>Retention</t>
  </si>
  <si>
    <t>Creative Omission</t>
  </si>
  <si>
    <t>Error</t>
  </si>
  <si>
    <t>Abstraction – Superordinate Term</t>
  </si>
  <si>
    <t>Reproduction</t>
  </si>
  <si>
    <t>2. Omissions</t>
  </si>
  <si>
    <t>Specification</t>
  </si>
  <si>
    <t>Shortcut Solution</t>
  </si>
  <si>
    <t>Abstraction – Paraphrase</t>
  </si>
  <si>
    <t>Omissions</t>
  </si>
  <si>
    <t>3. Errors</t>
  </si>
  <si>
    <t>Direct Translation</t>
  </si>
  <si>
    <t>Concretisation – Addition</t>
  </si>
  <si>
    <t>Errors</t>
  </si>
  <si>
    <t>4. Creative Shifts</t>
  </si>
  <si>
    <t>Official Translation</t>
  </si>
  <si>
    <t>Concretisation – Completion</t>
  </si>
  <si>
    <t>CreativeShifts</t>
  </si>
  <si>
    <t>Modification – Cultural</t>
  </si>
  <si>
    <t>Modification – Situational</t>
  </si>
  <si>
    <t>Modification – Historical</t>
  </si>
  <si>
    <t>EVALUATION DASHBOARD — Category Distribution (4 Models × 5 Prompts)</t>
  </si>
  <si>
    <t xml:space="preserve">  ℹ  Fill dropdowns in the Evaluation sheet — counts update here automatically.</t>
  </si>
  <si>
    <t xml:space="preserve">  Model A</t>
  </si>
  <si>
    <t>Prompt</t>
  </si>
  <si>
    <t>Creative Shifts</t>
  </si>
  <si>
    <t>Total</t>
  </si>
  <si>
    <t>% Done</t>
  </si>
  <si>
    <t>Baseline</t>
  </si>
  <si>
    <t>Few-shot 1</t>
  </si>
  <si>
    <t>Few-shot 2</t>
  </si>
  <si>
    <t>CoT 1</t>
  </si>
  <si>
    <t>CoT 2</t>
  </si>
  <si>
    <t xml:space="preserve">  Model B</t>
  </si>
  <si>
    <t xml:space="preserve">  Model C</t>
  </si>
  <si>
    <t xml:space="preserve">  Model D</t>
  </si>
  <si>
    <t>Baseline
▼ Category</t>
  </si>
  <si>
    <t>Baseline
▼ Subcategory</t>
  </si>
  <si>
    <t>Baseline
Comments</t>
  </si>
  <si>
    <t>Few-shot 1
▼ Category</t>
  </si>
  <si>
    <t>Few-shot 1
▼ Subcategory</t>
  </si>
  <si>
    <t>Few-shot 1
Comments</t>
  </si>
  <si>
    <t>Few-shot 2
▼ Category</t>
  </si>
  <si>
    <t>Few-shot 2
▼ Subcategory</t>
  </si>
  <si>
    <t>Few-shot 2
Comments</t>
  </si>
  <si>
    <t>CoT 1
▼ Category</t>
  </si>
  <si>
    <t>CoT 1
▼ Subcategory</t>
  </si>
  <si>
    <t>CoT 1
Comments</t>
  </si>
  <si>
    <t>CoT 2
▼ Category</t>
  </si>
  <si>
    <t>CoT 2
▼ Subcategory</t>
  </si>
  <si>
    <t>CoT 2
Comments</t>
  </si>
  <si>
    <t>text_previous</t>
  </si>
  <si>
    <t>[empieza tema de conversación]</t>
  </si>
  <si>
    <t>text_analyzed</t>
  </si>
  <si>
    <t>text_after</t>
  </si>
  <si>
    <t>translation_translategemma_baseline</t>
  </si>
  <si>
    <t>translation_translategemma_fewshot1</t>
  </si>
  <si>
    <t>translation_translategemma_fewshot2</t>
  </si>
  <si>
    <t>translation_translategemma_CoT1</t>
  </si>
  <si>
    <t>translation_translategemma_CoT2</t>
  </si>
  <si>
    <t xml:space="preserve">  Model A - TranslateGemma</t>
  </si>
  <si>
    <t xml:space="preserve">  Model B - Qwen</t>
  </si>
  <si>
    <t>translation_qwen_baseline</t>
  </si>
  <si>
    <t>translation_qwen_fewshot1</t>
  </si>
  <si>
    <t>translation_qwen_fewshot2</t>
  </si>
  <si>
    <t>translation_qwen_CoT1</t>
  </si>
  <si>
    <t>translation_qwen_CoT2</t>
  </si>
  <si>
    <t xml:space="preserve">  Model C - Salamandra</t>
  </si>
  <si>
    <t>Bueno, soy tipo de incógnito. Me he dedicado a trabajar en MediaMarkt, pues 2 años y medio.</t>
  </si>
  <si>
    <t>Tal como subes la la escalera mecánica, me tenía de frente.</t>
  </si>
  <si>
    <t>Es que yo tengo ahí una anécdota muy graciosa, porque imagínate que el técnico justamente había llegado a su jornada, ya venía quemao y vino un señor a decirle que, por favor, que le pusiera el porno. Es decir, con su teléfono, que le cogiéramos y le pusiéramos una página porno pa que se dedu-- eh</t>
  </si>
  <si>
    <t>Imagínate la situación después de el bum que tuvo el churumbel, que aparecía por todos lados.</t>
  </si>
  <si>
    <t>Mira, necesito tu correo electrónico. Ya empezó a mosquearse: ¿Que pa qué quieres eso? Cuando ya le pregunté por qué banco era, ya empezó: ¿Y tú pa qué quieres tantos datos?</t>
  </si>
  <si>
    <t>Este es un desquiciao.</t>
  </si>
  <si>
    <t>Al cabo de los meses, volvió porque el moca furro arrancó el tubo de los aires acondicionaos de estos portátiles y venía pa que se lo reparara y que la garantía se hiciera cargo.</t>
  </si>
  <si>
    <t>Yo, por suerte, tengo conocimiento sanitario. Empecé a escuchar: ¡po, po, po, po, po, po, po, po, po!</t>
  </si>
  <si>
    <t>Y luego la otra situación fue que vinieron a financiar... A la primera le salió aceptada, a la segunda le salió aceptada y a la tercera le salió denegada. Y me dice: «Venga, vamos a intentarlo con el DNI de mi madre». Digo: «Vale», digo, «pero te explico, para hacer yo esta financiación tiene que estar esa persona físicamente aquí». «Es que mi madre es tetrapléjica, está en una cama y no puede moverse». Digo: «Ya, esa persona me tiene que firmar, tiene que estar presente y tal».</t>
  </si>
  <si>
    <t>El típico padre que quiere regalarle su primer teléfono al niño y tal y que no quiere comprarle una castaña porque es verdad que hay teléfonos que por 100 pavos, mmm, gástate un poco más y te llevas algo mejor. Siempre tu veías que a lo mejor querías financiarlo porque no podía gastarse esos 200 euros, 100 y pico.</t>
  </si>
  <si>
    <t>Y luego estaba el típico niño que venía con el padre y cogía unos rebotes porque el padre le había comprao un Xiaomi y el niño quería un iPhone y el padre como que te miraba y decía: «Tío, ¿cuánto vale el iPhone más barato? Y como intentaba hacer ver al niño, pero el niño era por cojones que el iPhone.</t>
  </si>
  <si>
    <t>Se lo digo al vigilante, tal: Oye, mira que nos han robado ese portátil. Empieza a tirar de cámaras, empieza a tirar de cámaras, empieza a tirar de cámaras y estoy ordenando lo que son los portátiles y en una de estas me encuentro otro portátil igual rajado. 00:10:48,480 --&gt; 00:10:53,019
El tío empieza a mirar cámaras, cámaras, cámaras, cámaras y el tío no solamente había robado 2 portátiles.</t>
  </si>
  <si>
    <t>Y al final, el vendedor no solo vende, sino también recomienda. Y eso puede dar situación de que el que esté comprando sienta que le está engañando cualquier cosa y que tú tengas situaciones incómodas. Yo entiendo que también a ti te habrá faltado el respeto lo más grande. Pobrecita de mi madre, le han dicho de todo.</t>
  </si>
  <si>
    <t>La situación así que más me calentó fue mis primeras Navidades, una cola del copón que me llegó un tío, se me intentó colar delante de 25 personas. Le dije que no iba a atenderlo, que se esperara el turno y cuando llegase el turno, me pegaba con él, si hacía falta, 35 minutos, pero que yo delante de 25 personas no resolvía dudas.</t>
  </si>
  <si>
    <t>Hoy estoy más malo que el copón y aquí tengo pa bebermela mientras estamos grabando el vídeo.</t>
  </si>
  <si>
    <t>Yo no puedo hablar por todo el mundo, pero en mi caso la verdad es que yo me lo pasé estupendamente.</t>
  </si>
  <si>
    <t>La verdad es que el ambiente era superagradable y yo he estado supercómodo y supera gusto trabajando ahí.</t>
  </si>
  <si>
    <t>Es como muy típico tener vergüenza por preguntar por ciertos productos. Hay que lanzar un mensaje a la gente.</t>
  </si>
  <si>
    <t>Nuestra tienda era la planta baja, que era donde está lo que se compra, y luego en la parte de arriba teníamos el párking con el típico vestíbulo, con 2 ascensores para luego acceder a la tienda y nada más. Lo que viene siendo al revés de todas las tiendas del mundo.</t>
  </si>
  <si>
    <t>Pero ¿era un Mercadona de barrio o un Mercadona un poco más industrial? No, no, no, de, de un pueblecillo, de un pueblecillo. Conoces a la gente que está yendo.</t>
  </si>
  <si>
    <t>En nuestra tienda había 10 cajas. Lo que hay en el suelo detrás de las cajas, pues tú no te das cuenta.</t>
  </si>
  <si>
    <t>Un día me pasó eso también, que mi cara no te vas a acercar a decirle: "Disculpe". Yo la verdad es que no me acerco en esas situaciones.</t>
  </si>
  <si>
    <t>No sé si también por necesidad, que eso entonces ya es otra cosilla, que ya, ahí ya no critico.</t>
  </si>
  <si>
    <t>La gente que es tranquila, que quiere guardar con calma y tal, hay veces que también le sabe mal perjudicar al resto. Entonces, se ponen hipermega nerviosos, estresaos. Y dices: «Que no pasa nada, hombre, ya te ayudo yo mismo a guardar en las bolsas».</t>
  </si>
  <si>
    <t>Que, por ejemplo, un día una señora vino llorando, que se había muerto la hermana, no sé qué.</t>
  </si>
  <si>
    <t>Hay un estrés generalizado a la hora de comprar que no, no puede ser.</t>
  </si>
  <si>
    <t>Yo soy Alfonso, estudié Biología, luego un máster de Ingeniería Genética Vegetal. Luego el de profesorao me pilló la pandemia y dije: «Bueno, me preparo la opos de profesorao o me voy en mitad de la pandemia al Reino Unido a ser profesor».</t>
  </si>
  <si>
    <t>¿Qué fuiste, profesor de ciencias?</t>
  </si>
  <si>
    <t>Tú imagínate cómo olía eso. Sacaba las hormonas del aire.</t>
  </si>
  <si>
    <t>Era increíble ver los exámenes, porque era un examen de ciencias traducido a lo que sería un examen de inglés aquí. Rellena huecos, escríbeme esto</t>
  </si>
  <si>
    <t>Un momento en el que me empezaron a tocar un poco la cona da masculina con que soy español. Me llamaban Angry Little Spanish Man. Perdona que me ría.</t>
  </si>
  <si>
    <t>Y les dije: «Pues que sepáis que sois más tontos que todos los niños españoles. A partir de ahora, es a la manera española». Examen típico de 5 preguntas, 2 puntos cada pregunta, y se me pusieron a llorar, suspendieron. De verdad que los niños se bloquean. Porque no están acostumbraos.</t>
  </si>
  <si>
    <t>Los hijos de puta de mi amigo se ríen un montón. «Ahora qué, ¿eh? Tanto que te queríais allí, que la gente era muy educá. Toma». Uy, qué gente.</t>
  </si>
  <si>
    <t>En el anterior video de Alemania, pues se hablaba de que había muchos inmigrantes en institutos y demás, y que te haya tocado a ti tener niños inmigrantes españoles y que los padres no supieran inglés.</t>
  </si>
  <si>
    <t>¿Y qué pasa con los padres británicos? Que se creen los reyes del mambo. Mi niño me está diciendo que no se entera bien de tus clases. Y yo llegar a la madre y yo decirle: Mira, Cindy, tu niño mira más a la ventana que a mí.</t>
  </si>
  <si>
    <t>Los padres oscilan entre supercotillas de que quieren estar encima del niño y a clase con él, padres helicóptero, y tienes a otros que no me cogían nunca el teléfono. Hay anécdotas de padre borracho.</t>
  </si>
  <si>
    <t>Llegó su turno, se lo explicó al padre: Ha sacado un 4, pero vamos a intentar que apruebe para la siguiente y tal.</t>
  </si>
  <si>
    <t>Pero ciencias, la chiquita no daba pa más. Sacó un 4. Llegó su turno, se lo explicó al padre: Ha sacado un 4, pero vamos a intentar que apruebe para la siguiente y tal. Y le cruzó la cara delante mía a la niña.</t>
  </si>
  <si>
    <t>Yo llegué temblando a casa, llamé a mi madre porque yo pensaba que a mí me iban a hacer algo también. Le había tirado una mesa a una persona británica, a un padre, ¿sabes?</t>
  </si>
  <si>
    <t>No, al final me defendieron mi subdirector y mi director. Dos tíos de puta madre.</t>
  </si>
  <si>
    <t>Un japonés hablando de Rajoy, ¿no? Claro, claro. Hay un montón de frases que me encantan.</t>
  </si>
  <si>
    <t>¿Qué estereotipos tenéis dentro de Japón? Lo típico, los del norte son así, los del sur son así. Los de Tokio somos un poco sosos. Podría decir que se parece un poco a Madrid porque, bueno, al final es la capital.</t>
  </si>
  <si>
    <t>O sea, cada vez que conocía a un español por la calle, yo le soltaba las frases de Mariano Rajoy. Primero, hace gracia. Y segundo, con esas frases puedes hacer amigos muy fácil.</t>
  </si>
  <si>
    <t>¿Ellos saben quién es Carlos I? Sinceramente, yo creo que no tienen ni idea. Que no le dan importancia al emperador más grande del mundo mundial. Escúchame, es el segundo vídeo en el que doy-- me doy cuenta que históricamente nos ningunean.</t>
  </si>
  <si>
    <t>La educación alemana prepara a los alemanes para que vengan aquí.</t>
  </si>
  <si>
    <t>Yo cuando llegué, y eso es una comparación que he hecho con mis amigos españoles que han estado aquí, ellos trabajando en un Gymnasium y yo fui la única que me tocó una Stadtteilschule, dije: Coño, pues yo tengo clases donde todos mis alumnos son de familias inmigrantes. Y a los primeros días dije: Bueno, pues igual es normal, porque al fin y al cabo, la, la tasa de inmigración aquí es muy grande.</t>
  </si>
  <si>
    <t>Y coño, mis colegas que están en un Gymnasium, me dicen: Ah, coño, pues los míos son todos de 8 apellidos alemanes.</t>
  </si>
  <si>
    <t>Tú lo que haces dar clases a niños de 12 años y luego vas viendo cómo se te van cayendo los alemanes y acabas teniendo- La ONU a los dieciséis. La ONU y Alemania deja de formar parte de la ONU, casi.</t>
  </si>
  <si>
    <t>Como prioridad, me acuerdo un día, que esto fue un poco choque, ¿no? Porque dije: ¡Ay, hijo! Con la clase de los chiquitos, de 12 años.</t>
  </si>
  <si>
    <t>Un muchacho, eh, de 12 años, ¿eh? «Señora, ¿me puede prestar un boli?». Y nada, pues le presto yo un bolígrafo de los míos y me dice: «Good girl, buena chica».</t>
  </si>
  <si>
    <t>Y yo: «Pero ¿cómo tienes los santos cojones de llamarle esto a una profesora? Que no se te ocurra, llamarme eso, que no soy un perro».</t>
  </si>
  <si>
    <t>Si ven que algo te molesta, pues en vez de parar, como son unos chinchones, van a hacerlo más. Intentando callarle la boca con el good boy, good girl, pues</t>
  </si>
  <si>
    <t>¿Tú, que tienes amigos españoles que se dedican a lo mismo, esto es algo común?</t>
  </si>
  <si>
    <t>Yo pienso en, en el colegio, en el instituto y todos hemos tenido a alguien conflictivo en la clase. Y todos le hemos reído la, la gracia al que era un poco más churriole. Pero llega un punto en el que hasta él mismo se corta porque se está coscando de que se está pasando.</t>
  </si>
  <si>
    <t>Es un sistema de segregación que flipas. Hablamos de Alemania.</t>
  </si>
  <si>
    <t>Yo creo que aquí está muy normalizado. A mí me chocó mucho, pero lo hablas con gente de aquí que lleva toda la vida viviendo allí y es como lo tiene como muy normalizado. Es lo que tú dices: ¿hasta qué punto al niño le influye?</t>
  </si>
  <si>
    <t>¿Cómo ha sido el cambio de la idea preconcebida que tenías de Alemania a lo que tú has visto ya? Ya no solamente con respecto al colegio e instituto, sino en términos generales. Es un país que lo tenemos muy idealizado.</t>
  </si>
  <si>
    <t>O sea, aquí la mayoría de las veces es todo presencial, aun con papeles, o sea, tema de enviar formularios por internet, lo llevan muy regulero. Aquí todo presencial y en papel.</t>
  </si>
  <si>
    <t>Realmente, la educación en España está muy bien y es de valorar. Cómo nos educamos, al fin y al cabo, pues tú creces con niños, pues que son de familias inmigrantes y no pasa nada, y es algo a lo que estás acostumbrada y a la hora de salir en sociedad, pues te hace un poco más flexible.</t>
  </si>
  <si>
    <t>Me encantaría saber cómo fue vuestro primer día trabajando allí en el high school, viniendo de un instituto español y viniendo de toda vuestra experiencia. El primer día tiene que ser espectacular..</t>
  </si>
  <si>
    <t>De las pocas familias que venían, yo las que me fijaba en los outfits, digo, ¿dónde estoy? Gente que me venía en pijama. Y claro, el acento, yo no entendía nada.</t>
  </si>
  <si>
    <t>Por ejemplo, nosotros tenemos un amigo venezolano, estuvimos cenando otras chicas americanas y digamos que a ella le sorprendió como que él no pagara lo de la chica. Y mi amigo dice, a uno se le va a haber un suyo a pachas, ¿no?</t>
  </si>
  <si>
    <t>O sea, yo soy tu profesora. Te estoy diciendo que te calles porque estás haciendo unos comentarios que no, que no. Te callas y punto. Pero es que luego encima vienen y te dicen te voy a reportar.</t>
  </si>
  <si>
    <t>Son supervivientes del sistema, yo muchas veces lo hablo, son supervivientes del sistema. Es temer a pena.</t>
  </si>
  <si>
    <t>Muchas veces pasa, por ejemplo, cuando vamos a los sitios de zona de salir por la noche o tal, es que si hay una pelea, como cada uno lleva su arma, ¿qué es lo primero que sacan?</t>
  </si>
  <si>
    <t>Hay una anécdota que siempre cuento, como es trabajar con famosos.</t>
  </si>
  <si>
    <t>Fue un poco después, a posteriori, como que se decidió y a todo el mundo le gustó la idea y fue como Bueno, grabad sin el porro, por si acaso. Por si acaso tenemos la toma doble, sí.</t>
  </si>
  <si>
    <t>Estuvimos ahí grabando un pequeño anuncio con los Javis. Fue terminar el anuncio y desaparecieron todas las botellas. Todas es todas, ¿eh?</t>
  </si>
  <si>
    <t>Dicen que también lo descubres un poco cuando te haces adulto, pero en este mundo más es que todo el mundo se droga.</t>
  </si>
  <si>
    <t>La misma cosa, tío, también a tener en cuenta.</t>
  </si>
  <si>
    <t>Yo he empezado a poder ganarme la vida justo ahí, a los 28, 29 años. Y es un poco tarde. Ya te cansas de trabajar los fines de semana en otra cosa. Por eso luego mucha gente no aguanta. El filtro es tan grande que es una carrera de aguante, tío.</t>
  </si>
  <si>
    <t>Hoy vamos a hablar con una persona que trabaja en un sitio donde no son 37, pero casi. Vamos a conocer cómo es trabajar en el ciervo de las estrellas.</t>
  </si>
  <si>
    <t>Se nos había roto la jabonera del baño y nosotros no podíamos comprar una jabonera y ponerla. Nos tenía que llegar una específica.</t>
  </si>
  <si>
    <t>Para que te hagas una idea, cada vez que venía una persona educada, nos alegraba el día. Era tanta gente maleducada la que venía. La gente lo justifica con que va con prisa, con que están estresados, porque están ahí de compras. Pero es que tú llevas 8 horas trabajando de pie, atendiendo a muchísimas personas.</t>
  </si>
  <si>
    <t>O sea, nosotros hacíamos la compra en Ramallah y 2 de los chicos hablaban árabe. Entonces entramos en la mezquita, que Ramallah es como la capital prácticamente de la West Bank. Y entonces uno de los chicos coge un Corán y se pone a leerlo. Y de repente se acerca como un hombre barbudo, así que impone, nos mira y nos dice, ¿qué estáis haciendo?</t>
  </si>
  <si>
    <t>¿Y el Cairo qué tal?</t>
  </si>
  <si>
    <t>Por ejemplo, durante el ramadán siempre todo el mundo se mataba por invitarte a aliftar, que es como cuando ya puedes comer. Les veo un poco como culturalmente más parecidos.</t>
  </si>
  <si>
    <t>A lo mejor tiraban en un día cinco mil misiles encima de Tel Aviv, que nunca tiran a Tel Aviv.</t>
  </si>
  <si>
    <t>Mucha gente con la que yo coincidí.</t>
  </si>
  <si>
    <t>Al final pones a unos chavalines que no tienen ni idea, tú ponte con 18 años, te vamos a poner un uniforme y te pone con tus 5 colegas, con los que duermes y vives como toda la semana, te ponen con 2 pibas también que una te gusta y la otra no sé qué, y lo que te dará el rifle y de repente viene un niño y te tiene una piedra.</t>
  </si>
  <si>
    <t>Primero, ¿cómo empieza a trabajar en un skate room?</t>
  </si>
  <si>
    <t>Yo entiendo que la gente se motivará muchísimo y habrá momentos en los que esté dentrísimo.</t>
  </si>
  <si>
    <t>Claro, pero es que tú lo estás observando todo por cámara y por los micrófonos.</t>
  </si>
  <si>
    <t>Tenemos una sala, que es el hall este, que es resolver un asesinato.</t>
  </si>
  <si>
    <t>Yo tengo mucha curiosidad.</t>
  </si>
  <si>
    <t>Soy Alba, vivo en Albacete ahora mismo y estoy terminando magisterio bilingüe. Estuve viviendo en Vietnam 2 años. Hace 10 años,</t>
  </si>
  <si>
    <t>O sea ya el avión,</t>
  </si>
  <si>
    <t>Bueno, yo tengo 20 años, yo aún no estoy en la carrera, yo estoy estudiando Historia, y estoy en los estudios del Museo de Historia de Barcelona para hacer recorridos en los museos. Ahora que ha sido Semana Santa, viene muchísimo turismo nacional. Tú ves a la mujer con ganas de ir y al marido de la mano.</t>
  </si>
  <si>
    <t>Nosotros tenemos un museo en Barcelona, que es el MUBA, el Museo de Historia donde yo estudio. Está el museo y debajo los rectos romanos, ¿no? Y desde unas ventanitas tú puedes ver los rectos romanos.</t>
  </si>
  <si>
    <t>Tú te puedes quedar en la capa superficial de que le ha gustado, le ha impactado, pero es que quizá solo es con esa persona, su mujer murió hace 15 años, su deseo era ver Barcelona juntos, no la han podido ver y lo está viendo él solo.</t>
  </si>
  <si>
    <t>Un fin de semana, venga, la familia va a hacer un tour por el Raval. El bolso por delante, chicos.</t>
  </si>
  <si>
    <t>Por eso yo, por ejemplo, opto por muchas veces en los tours no decir ya mi edad.</t>
  </si>
  <si>
    <t>En el colegio te encuentras un contraste muy grande entre niños que viven ahí porque llevan todas sus generaciones viviendo ahí y no tienen necesidad de salir,</t>
  </si>
  <si>
    <t>Allí viene un chaval inmigrante que está un poco perdido porque lleva poco en España y está como muy sujeto a lo que tú le digas y son muy receptivos, te hacen caso todo el rato y después están los niños que están como si fueran, como si estuvieran más cómodos que en su casa.</t>
  </si>
  <si>
    <t>Pero lo que es dentro de la clase te choca todo. Las mesas están como si las echas así a ojo. Daleadas, despardas, están como si le das las ganas de ponerlas. Lo que menos vas a conseguir es que el niño esté sentado como tiene que estar sentado.</t>
  </si>
  <si>
    <t>Los niños más mayores ya van adquiriendo su propia personalidad en función a lo que van cogiendo. Son un hombre 1 mujer en miniatura y hacen lo que quieren dentro del colegio.</t>
  </si>
  <si>
    <t>Estamos haciendo clases de música y hay un banquito al lado que yo dejé en mi mochila y el móvil tal como me lo saqué del bolsillo lo puse encima.</t>
  </si>
  <si>
    <t>Que los niños, de verdad te digo, si les hablas, yo que como estoy de práctica, tienes un trato un poquito más cercano, le preguntas cosas, tú juegas a la Play, tú no sé qué. Te hablan súper normal, son súper simpáticos.</t>
  </si>
  <si>
    <t>Entre que tienes tan normalizado, familias desestructuradas y que ellos mismos son chicos, te cuentas con toda la tranquilidad. O a mi padre se peleó allí con uno en el barrio, está en el hospital.</t>
  </si>
  <si>
    <t>A ver, que esto no es una cosa aislada, que esto pasa en todos los putos países de todo el mundo, colegios dentro de los guetos, ¿vale?</t>
  </si>
  <si>
    <t>El tema novio, novia. Hay muchos problemas con eso. Las típicas.</t>
  </si>
  <si>
    <t>¿Has tenido algún tipo de problema con algún padre? Porque los padres vienen buscando problemas.</t>
  </si>
  <si>
    <t>No lo hemos comentado, pero ¿cuál es tu concejalía? La parte de juventud, Smart City y empleo.</t>
  </si>
  <si>
    <t>¿Hay un cambio tan disruptivo en un cambio de legislatura cuando gobierna un partido y luego otro?</t>
  </si>
  <si>
    <t>Mi época en la legislatura tenía 2 fases. La primera que era yo en una agencia de colocación y te venía la gente. Y la segunda, un euro con patas.</t>
  </si>
  <si>
    <t>Y Jaén tiene muchas cosas que son problemas y tal. Pero al final se vive de puta madre y esto es tan maravilloso.</t>
  </si>
  <si>
    <t>Eres un agente del caos, me encanta</t>
  </si>
  <si>
    <t>Yo no voy a decir que a mí los clientes siempre me han tratado mal. pobrecillo, qué pena.</t>
  </si>
  <si>
    <t>Y a veces me lo decía mi encargado me dice, es que esto es el corte inglés. Le dije: no, pero con esto es el supermercado del corte inglés.</t>
  </si>
  <si>
    <t>Y me acuerdo que vino una mujer mayor y su hijo. pasaron toda la compra. yo les pasé toda la compra, les pasé un cupón y la aceptó,</t>
  </si>
  <si>
    <t>Lo gracioso es que he vuelto y tengo tics de hablar en francés, porque claro, yo ya he estado hablando francés. En vez de decir qué, ahora digo muchas veces quoi.</t>
  </si>
  <si>
    <t>Espérate, ¿estamos enfocando este vídeo como una reconciliación con Francia?</t>
  </si>
  <si>
    <t>Estoy hablando de cosas que para mí son importantes, como de mi cultura o cosas que igual son un poco serias.</t>
  </si>
  <si>
    <t>Muchas veces no sabías hasta qué punto era intensidad o hasta qué punto querían hacerse los únicos y diferentes. Eso va con la edad.</t>
  </si>
  <si>
    <t>En Francia es que daba igual cómo hicieses estas clases porque se te dormían en clase. No te prestaban atención, no te contestaban, no te hacían caso, no te decían nada.</t>
  </si>
  <si>
    <t>Pues nada, cuéntame un poco, ¿cuáles fueron tus primeros choques culturales de repente? Vienes de Madrid, que bueno, que también es una ciudad súper tocha, pero de repente llegas a Berlín.</t>
  </si>
  <si>
    <t>Describe lo que es el Kit Kat, por favor.</t>
  </si>
  <si>
    <t>La gentrificación se está adueñando de los sitios que debían ser para nosotros. Nos lo ponen difícil para que seamos realmente nosotros el público objetivo.</t>
  </si>
  <si>
    <t>Tal vez podríamos hacer un vídeo sobre la noche en el centro o en Madrid en general. Fliparías. A mí me han meado en la barra de sacarse la polla y mearme en la barra. El mundo de la noche es un puterío que flipas.</t>
  </si>
  <si>
    <t>Es muy detective, es como mi trabajo. O sea, que dices tú, ¿qué ha ocurrido? Porque hay sangre en esta pared y a la vez bragas, ¿sabes?</t>
  </si>
  <si>
    <t>Por contextualizar un poco, ¿qué deportes se practican en este deporte deportivo?</t>
  </si>
  <si>
    <t>¿La primera experiencia bestia que tuviste?</t>
  </si>
  <si>
    <t>Normalmente suelen ser gente muy amable, ¿vale? Pero está la típica hija de puta o hijo de puta.</t>
  </si>
  <si>
    <t>Es que, claro, al final, yo, al haberlo pasado tan mal, teniendo depresiones tan grandes, siendo autista, que afecta mucho a cómo percibes el mundo, que no es lo mismo que el resto, yo tuve que buscarme unas herramientas que dije: si me tengo que quedar en este mundo, tiene que ser así.</t>
  </si>
  <si>
    <t>Ah, bueno, lo de Xavi.</t>
  </si>
  <si>
    <t>Y me dice, a los bajinis han dicho entre ellos que por qué te tienen a ti atendiendo a la gente si no sabes francés y no sirve.</t>
  </si>
  <si>
    <t>Hace poco, tío, me vino una clienta a devolverme un zapato. Yo cogí el zapato, le di la vuelta y venía llenito de arena de la playa. Y me dice la tipa que es que en su casa hay arena. Ya, pero es que esto se lo ha puesto.</t>
  </si>
  <si>
    <t>¿Cuál es la avería típica? Tienen el router apagado, igual el cable de la fibra lo tienen quitado. Llega otro técnico, ve que no hay otro puerto disponible, le quita y se ponen ellos. Se arranca el cable de fibra y se lo cargan.</t>
  </si>
  <si>
    <t>Mira, ¿me puedes configurar Alexa, tal, no sé qué? Digo, sí. Era una de estas que tenía una pantallita, le empiezo a poner</t>
  </si>
  <si>
    <t>A Gibraltar va el que no puede venir a España ahora con el Brexit porque no tienen visado, no tienen cosas.</t>
  </si>
  <si>
    <t>Ahora ya más o menos después de tantos años me defiendo bien con el inglés.</t>
  </si>
  <si>
    <t>¿Alguien que no ha habido cojones de entender que haya terminado la conversación y todavía no te haya enterado de qué iba la cosa?</t>
  </si>
  <si>
    <t>La cosa más típica sería que pueda servir a la gente que está viendo este vídeo y decir, oye, ten cuidado con esto. Lo veo todos los putos días o lo veo todas las semanas, ten cuidado.</t>
  </si>
  <si>
    <t>Siempre contactas tú con tu banco para preguntar si lo que ha pasado es verdad. Si ha pasado algo, nosotros lo podemos ver y te podemos ayudar.</t>
  </si>
  <si>
    <t>Bueno, no le voy a responder yo a la pregunta, pero le voy a facilitar yo un contacto para que usted se pueda informar de si al hospital puede acceder el silla de ruedas su madre o no puede. Que no era de pago, porque nosotros miramos siempre que sea gratuito. Y se lo doy.</t>
  </si>
  <si>
    <t>Que si el doctorado para adelante Que guay lo que hago Que si qué guay mis viajes Que me hagan un canal de YouTube ¿Cómo ha sido dejar todos los viajes y toda la movida y volver a ser médica?</t>
  </si>
  <si>
    <t>El centro de salud, en una zona rural, es un pueblo que tiene población, o sea que no son 200 personas, sí que hay gente, pero hay una zona rural muy extensa y en esa zona no hay tanta gente.</t>
  </si>
  <si>
    <t>Sí me da la sensación, pura impresión personal, o sea, no tengo estadísticas en la mano ni nada, pero sí me da la sensación de que hay más cohesión social. Conoce al vecino enfrente, le conoce el de abajo, le conoce el del pan, le conoce no sé qué.</t>
  </si>
  <si>
    <t>Está súper bien conocer lo que hay fuera, pero también está muy bien conectar con lo que tienes cerca. O sea, volver y no ser una extraña.</t>
  </si>
  <si>
    <t>¿Por qué os vais a Japón? ¿Cómo se toma esa decisión?</t>
  </si>
  <si>
    <t>Después de haber construido toda tu vida para irte a Japón, llegas a Japón. ¿Qué te parece Japón?</t>
  </si>
  <si>
    <t>Ah, por cierto, son niños pijos de cojones. Sí, porque en un colegio de estos de Se piensan que no tenemos madres, que somos pobres.</t>
  </si>
  <si>
    <t>La semana que viene tenemos Open School, que vienen los padres a ver cómo dan clases los niños. Y los graban con el móvil. Mira, mi niño, que se sabe el A, B, C, D. En plan, se sientan como al fondo de la clase en un montón de sillas y se quedan así, rollo, 2 horas grabándote viva mientras tú le enseñas al chiquillo.</t>
  </si>
  <si>
    <t>Una niña se ha pegado con otra y a la otra le gusta mucho inventar.</t>
  </si>
  <si>
    <t>¿Cómo es la primera vez que llega a Disneyland París?</t>
  </si>
  <si>
    <t>Cuando vamos de forma temporal, estamos en residencias de Disney. No tenemos que buscar la vivienda.</t>
  </si>
  <si>
    <t>Yo sé que cuando me llaman por Cruz Roja es que algo ha pasado.</t>
  </si>
  <si>
    <t>Me llevaron a mí a la caseta de la Cruz Roja. Y en ese momento yo tenía 17 años. 3 días para los 18.</t>
  </si>
  <si>
    <t>Era un evento que lo había patrocinado a Cruz Roja. Que se vengan algunos que vendan cupones. Mandaron a los 3 mejores.</t>
  </si>
  <si>
    <t>Hola. Soy José. Me dedico a gestionar pisos turísticos. Bueno, más que gestión, a lo que es el check-in.</t>
  </si>
  <si>
    <t>El volumen más grande de los que tenemos son bloques enteros de apartamentos. Que no son tantos, son 3 bloques.</t>
  </si>
  <si>
    <t>Aquí lo que ha empezado a venir en los últimos años a Sevilla es gente que consume Sevilla como si fuese un parque de atracciones. Sangría, paella ¿pero tú te has informado de lo que hay aquí?</t>
  </si>
  <si>
    <t>Una de mis compañeras de cuarto se pasaba hasta las 3 de la mañana haciendo vida de mamá con su mujer y al día siguiente se traía a un tío a la habitación.</t>
  </si>
  <si>
    <t>A esto el señor, el cliente, venía cada día a recepción, a la misma hora, a preguntar por mí, para llamar al taller, para preguntar cómo iba la cosa. Le preguntaba, pues mira, es que mi cliente está un poco estresado porque no sabe cómo está yendo la reparación</t>
  </si>
  <si>
    <t>Hay 2 cosas que me llaman la atención y creo que fue de los primeros 2 años cuando aún no estaba acostumbrada a cómo era Irlanda y tal.</t>
  </si>
  <si>
    <t>Mi carrera es de diseño de vestuario y nada más acabar la carrera, pues me puse a trabajar en Netflix, en la serie de Valhalla.</t>
  </si>
  <si>
    <t>La oficina donde trabajábamos estaba al lado del templo al dios Hanuman, que es el dios mono. Tienen un concepto en ese templo de dejar que los monos pasen, coman, entonces es como un poco adoración.</t>
  </si>
  <si>
    <t>¿Tú al siendo occidental, blanco, caucásico, te has sentido observado?</t>
  </si>
  <si>
    <t>Es curioso, o sea, a ver, no dista mucho de lo que podría ser una discoteca aquí en España, por ejemplo, ¿no? En la discoteca sí que se nota los ricos que están allí en sus reservados.</t>
  </si>
  <si>
    <t>Hay un estereotipo sobre cómo los indios hablan en inglés.</t>
  </si>
  <si>
    <t>Hay sitios que va todo el mundo y yo de verdad que quiero saber los entresijos de los personajacos que deben de ir al MediaMarkt.</t>
  </si>
  <si>
    <t>Me he dedicado a trabajar en MediaMarkt, pues 2 años y medio. Por suerte o por desgracia, donde me ha tocado es justamente el centro de Málaga, justamente en Vialia, donde pasa un montón de gente y donde está todo el tipo de chusma.</t>
  </si>
  <si>
    <t>Y encima yo tenía la parte gaming, sobre todo los teclaos, los ratones, donde venían los típicos niños cebolletas allí a tocar los, los tecladito</t>
  </si>
  <si>
    <t>Claro, tú imagínate un viejo, mi compañero peleándose con él, otro hombre justamente detrás puteando a mi compañero porque decía que el teléfono le iba mal y Santa Lucía le había dicho que la reparación tenía que ser por parte de ellos.</t>
  </si>
  <si>
    <t>Aparece el churumbel por la puerta, pasando y diciendo: ¿A quién le toca la patata caliente? Porque tú imagínate, aguantar a ese tío, tela</t>
  </si>
  <si>
    <t>Cuando ya le pregunté por qué banco era, ya empezó: ¿Y tú pa qué quieres tantos datos? Chillando allí en la mitad de la tienda, pegando porrazos.</t>
  </si>
  <si>
    <t>¿Ahí como tienes que salir del paso? Te tienes que inventar todo lo que tú puedas porque el tío está como una puta cabra pegando porrazos y tú lo que quieres es lárgate lo más pronto posible.</t>
  </si>
  <si>
    <t>Allí en la tienda te decían que ese tipo de marrones no se le devolvía el dinero, pero claro, cuando viene un tío así desquiciao, tú no quieres tenerlo en la tienda dando por culo todo el santo día, entonces tú lo que tú quieres es quitarlo de en medio.</t>
  </si>
  <si>
    <t>Gente que te intenta regatear, se cree que si se lleva 2 portátiles, se lo voy a, se le va a bajar el precio. Efectivamente, ni que yo fuera el dueño de allí de la tienda. Hermano, si yo me llevo estos 2 portátiles, ¿en cuánto me lo dejas?</t>
  </si>
  <si>
    <t>Me quedó pillao, veo al vigilante que se levanta, para automáticamente la escalera mecánica y me veo a un hombre mayor sentado en el suelo al lado del vigilante, chorreando de sangre. Yo me metí en el cuartillo, empecé a coger suero, empecé a limpiarle las heridas para ver cómo tenía la cara. La cara la tenía hecha un Cristo.</t>
  </si>
  <si>
    <t>Al que se le cae el pelo es a mí, porque tú imagínate que pillas el DNI de cualquier persona, le tramitas una financiación y a la persona que si por un casual le sale aceptada, al que le meten un marrón es a la otra persona.</t>
  </si>
  <si>
    <t>Hostia, a mí, por ejemplo, me duele. A mí ese tipo de cosas siempre me ha marcado mucho de que quiere el niño por cojones eso y el padre se lo tiene que comprar porque si no el niño coge el rebote y la lía parda. Si fuera mi padre, ya me hubiera cruzado la boca con un galletón.</t>
  </si>
  <si>
    <t>El tío había robado Nintendo Switch, mandos de Play y había robado en lo que viene siendo una aproximación de casi unos seis mil euros en la tienda. El muy cazurro se vio que ya o estaría harto de robarnos allí y, y tal y quiso ponerlo un poco más difícil.</t>
  </si>
  <si>
    <t>Yo no iba con chapa de Apple, ni iba con los compañeros de Samsung, ni iba con los compañeros de Xiaomi. Yo iba a mi bola.</t>
  </si>
  <si>
    <t>Llegó un momento dado que me dijo: Si al final la sangre va a llegar al río. Ya me calenté, le pegué un porrazo a la mesa y le digo: Mira, no tengo ganas de aguantarte ni a ti ni a las tonterías que tú tienes.</t>
  </si>
  <si>
    <t>Hoy vamos a hablar de ese supermercao donde tú ibas a comprar hace un añillo porque era más barato que el copón y ahora es más caro que la Virgen.</t>
  </si>
  <si>
    <t>La verdad es que el ambiente era superagradable y yo he estado supercómodo y superagusto trabajando ahí.</t>
  </si>
  <si>
    <t>Yo no he visto un uniforme más cómodo en mi vida. Mira que tiene la fama de ser feo. No, feo de cojones, la verdad es que sí</t>
  </si>
  <si>
    <t>No hay que tener vergüenza a la hora de preguntar, porque te preguntan cada chorrada que hay que ir con desvergüenza absoluta.</t>
  </si>
  <si>
    <t>El gerente de ese día de la tienda va a la parte de arriba a ver, a revisar que todo estuviera correcto y baja y me dice: "Hostia, he pisao una mierda, pero es que da la sensación como que en el vestíbulo ha habido alguien que se ha cagado y ha ido dando saltos hacia adelante".</t>
  </si>
  <si>
    <t>O sea, si alguien roba, ya sabes que ha robao y lo ves a la semana siguiente y dices: "Cuidado con este, queee no vaya a hacer aquí la 1314".</t>
  </si>
  <si>
    <t>Viene un día un señor y dice: "Os acaban de robar entre las cajas, que se ha arrastrado por el suelo de las cajas y se ha pirao el tío robando".</t>
  </si>
  <si>
    <t>Un día también me intentan distraer por la espalda. Lo hicieron con el auténtico culo, porque es que ni tan siquiera me giré.</t>
  </si>
  <si>
    <t>Yo sé hay alguien que va a robar leche, un paquete de pasta, arroz, agua, pues esa gente, pues Te la suda.</t>
  </si>
  <si>
    <t>Un señor estaba recogiendo las cosas mientras hablaba por teléfono con una mano y luego iba guardando tranquilamente con la otra. Y había un señor por detrás que supongo que no tendrá tanta paciencia: «Gilipollas, imbécil».</t>
  </si>
  <si>
    <t>En ese momento, una señora que estaba casi sola y, hostia, te afecta un poquillo porque te da lástima, pero estamos ahí en la función.</t>
  </si>
  <si>
    <t>No entiendo la mentalidad que tenemos de que el Mercadona es barato porque no hacen ofertas ni pa atrás.</t>
  </si>
  <si>
    <t>Esta vez, una de mis regiones favoritas, la región del fish and chips, de la peña con los dientes de aquella manera, de esa gente que todo el mundo habla en su idioma, pero ellos no hablan en el idioma de nadie. Vamos a conocer cómo es Inglaterra.</t>
  </si>
  <si>
    <t>No me gustó el doctorado porque todo el mundo era precario, perdío y había una chavala que se puso a graduar con 35 años, porque al fin se habían independizado los padres y dije no, esto no es para mí.</t>
  </si>
  <si>
    <t>Profesor de Biología, Física y Química, en el equivalente a segundo de la ESO a segundo de bachillerato. Lo mejor de cada casa. Así que telita.</t>
  </si>
  <si>
    <t>Es que, Dios mío, tenía un par de hermanos que les daba clase y claro, vinieron sin saber inglés como pa manejarse. Como yo era un profesor muy simpático, muy servicial, el subdirector me dijo: «Oye, ponte los exámenes con esto, tradúcele y tal» Yo le largaba la respuesta, qué coño.</t>
  </si>
  <si>
    <t>Los problemas están mismos por puntos. Si haces una cosa, tiene un puntito. Si haces una cosa, tiene otro puntito. Allí se lo dan mascaísimo.</t>
  </si>
  <si>
    <t>No te preocupes, es que eran todos más altos que yo, si es que es normal. Que yo era muy cachondo para ellos también y yo me hacía el enfadao.</t>
  </si>
  <si>
    <t>Los hijos de puta de mi amigo se ríen un montón. «Ahora qué, ¿eh? Tanto que te queríais allí, que la gente era muy educá. Toma».</t>
  </si>
  <si>
    <t>No he discutido yo con británicas de estas feas. Porque se me colaban en el puto Tesco.</t>
  </si>
  <si>
    <t>Y tenía también una familia de franceses. Voy a romper una lanza a favor de los franceses. Los franceses eran muy atentos. Los franceses se cuidan mucho entre ellos, como una mente colmena.</t>
  </si>
  <si>
    <t>Alguna que otra vez me han echado bronca a mí su directora y mi jefe de estudios. Por favor, que se te nota que eres español.</t>
  </si>
  <si>
    <t>Hacíamos como una noche del AMPA cada final de trimestre. Iban un poco como en cinta transportadora. Nosotros nos quedábamos en nuestra silla e iban pasando los padres por turnos. Pues le tocó a una muchachilla que era de letras.</t>
  </si>
  <si>
    <t>Llegó su turno, se lo explicó al padre: Ha sacado un 4, pero vamos a intentar que apruebe para la siguiente y tal. Y le cruzó la cara delante mía a la niña. Se me metieron los 7 males en el cuerpo.</t>
  </si>
  <si>
    <t>Tuvo la poca vergüenza de pegarle a su hija delante de un profesor. Borracho como una cuba.</t>
  </si>
  <si>
    <t>Mi subdirector era un señor ex militar retirado con un doctorado en Shakespeare y más rojo que rojín.</t>
  </si>
  <si>
    <t>Mi frase favorita sería: "Lo que nosotros hemos hecho, cosa que no hizo usted, es engañar a la gente". Es que es la hostia, de verdad, tío.</t>
  </si>
  <si>
    <t>Tío, ¿quién te enseñó español para hablar tan bien?</t>
  </si>
  <si>
    <t>¿La música española te gusta? Sí, Canto del Loco, Amaral, La Oreja de Van Gogh. Esto es muy fuerte, tío.</t>
  </si>
  <si>
    <t>La mayoría de los humoristas son de Osaka, o sea que se conocen por ser cachondos.</t>
  </si>
  <si>
    <t>Como una persona que eres japonés: ¿no te parece como un poco raro que prácticamente todo el mundo esté que no caga con Japón?</t>
  </si>
  <si>
    <t>De hecho, en 2022, cuando Juegos Olímpicos aquí en Japón, vi a Kureha, le solté una frase de Mariano Rajoy. Y se meó de risa.</t>
  </si>
  <si>
    <t>Tal cual que para ellos, o sea, la idea de España: playa es sol, sangría es fiesta, paella y toros. O sea, tú les enseñas una foto de Asturias o de Galicia, se buguean, dicen: No, esto no es España.</t>
  </si>
  <si>
    <t>Para que después vengan a Mallorca, se compren su casa y hay un barrio en Mallorca que esté todo escrito en alemán. Me sabe mal decirlo, porque digo: Coño, no, son estereotipos, vamos a romper los estereotipos, pero es que no pueden.</t>
  </si>
  <si>
    <t>Y coño, mis colegas que están en un Gymnasium, me dicen: Ah, coño, pues los míos son todos de 8 apellidos alemanes. Hostia, no jodas.</t>
  </si>
  <si>
    <t>Y te da que pensar: Si se supone que esta separación la hacen porque rinden más o rinden menos, ¿por qué cojones tengo yo niños en clase que son unas bestias estudiando? Cuando académicamente eres brillante, porque eres un puto coco.</t>
  </si>
  <si>
    <t>Es que claro, los niños son un pozo de sorpresas.</t>
  </si>
  <si>
    <t>Un niño me vio y me dijo: ¿Está usted casada? ¿Tiene usted pareja? Pues a ti te la suda. Estás en clase de español.</t>
  </si>
  <si>
    <t>Si ven que algo te molesta, pues en vez de parar, como son unos chinchones, van a hacerlo más.</t>
  </si>
  <si>
    <t>Bueno, nada, si acabé hace poco, hasta una semana antes de acabar hemos estado discutiendo con él por eso. Y él empezó a hacerlo y después empezaron otros también a hacerlo. Y claro, es como la gilipollez se contagia.</t>
  </si>
  <si>
    <t>Claro, lo comenté con los que están en el Gymnasium y ellos me decían: «Hostia, pues a mí eso no me ha pasao nada. Vaya a tener su niño y se lleva una hostia con la mano abierta y cosas así», me decían.</t>
  </si>
  <si>
    <t>Cuando juntas lo problemático con lo problemático, pues lo único que vas a tener son problemas. Es un sistema de segregación que flipas.</t>
  </si>
  <si>
    <t>Me río porque es como: «Bueno, todos sabemos la movida, ¿no? Eh, no hace falta mencionar, ¿no? Venga, a Alemania, ¿no?» Dices: «Coño, no hemos aprendido nada, cago en la puta.</t>
  </si>
  <si>
    <t>Tanto si te lo coges por la banda de: «Bueno, claro, es que es una statute schule ¿entonces tú no eres tan listo?» Ya estás como categorizando al niño un poco, ¿no? O sea, tú estás aquí porque tú no eres tan listo, entonces. Meritocracia a los 12 años, tócate los huevos.</t>
  </si>
  <si>
    <t>Yo lo tenía muy idealizado cuando vine, porque te venden la hostia, encontrarás trabajo porque había mucha oferta de trabajo, no sé qué.</t>
  </si>
  <si>
    <t>A mí lo que me hace gracia es que luego nos traten a nosotros como si fuésemos el culo del mundo.</t>
  </si>
  <si>
    <t>Y, pues, eso, que no es oro todo lo que reluce.</t>
  </si>
  <si>
    <t>Ha sido un shock, pero tampoco ha sido tanto porque he vivido afuera, el inglés lo hablo bien, entonces para mí no me ha costado tanto acomodarse, también lo fue porque mi instituto es muy caótico, te dicen todo de hoy para mañana, o sea, la organización brilla por su ausencia, entonces eso es lo que más me costó.</t>
  </si>
  <si>
    <t>Y el primer día de clase, pues claro, como te meten tanta caña y tienes que mostrar que es así, tú no tienes que pasar ni una del primer momento así súper tan tan tan tan tan.</t>
  </si>
  <si>
    <t>Voy a hacer un inciso. A mí también me pasa porque yo digo América. En realidad me refiero a estadounidenses. Y luego viene gente de Latinoamérica diciendo, perdona, es usted un puto subnormal porque América es todo, no solo los putos yankees.</t>
  </si>
  <si>
    <t>Es verdad que el año pasado era una alumna que siempre me estaba retando. Yo me mandaba una tarea y ella siempre me tenía que discutir cualquier cosa, no sé qué. Encima ella era una alumna de las que faltaba mucho. Pues yo con ella ya había tenido un poco de rifirrafe y de que siempre ella me discutía.</t>
  </si>
  <si>
    <t>Yo lo que te decía antes de que a mí me ha cambiado un poco el chip, el chip en cuanto a las notas, porque es que ves realmente el background de a todos y lo que ves es que para ellos no es importante esto.</t>
  </si>
  <si>
    <t>Y ha habido muchas muertes así por una pelea en una calle, porque por una discusión, saliendo de un bar de copas, pam, pam, al final un muerto porque han sacado la arma.</t>
  </si>
  <si>
    <t>Cuando haces una campaña, obviamente, siempre tiras de creadores de contenido o famosos, ya sea un futbolista, músicos. Y para una campaña que hicimos con Exhibit, un rapero muy famoso, que más se conoce por haber tuneado coches, hicimos una campaña muy guay con él, el tío majísimo, fue encantador, pero joder, nos pidió un bolsón de marihuana.</t>
  </si>
  <si>
    <t>A ver, es que en la publi el tema de la droga es bastante curioso, ¿eh? Joder, hasta que no te enfrentas a gente que de verdad va todos los días puesta, no entiendes cómo funciona realmente, porque mucha gente se cree rockstar.</t>
  </si>
  <si>
    <t>Una de las cosas, tío, que me quedó también muy claro, dicen que también lo descubres un poco cuando te haces adulto, pero en este mundo más es que todo el mundo se droga.</t>
  </si>
  <si>
    <t>Yo entraba de becario justo en el aniversario de una agencia, alquilaron un bar, lo vistieron todo entre gringo, latino, de este rollito. Y tío, yo, claro, era mi primer día.</t>
  </si>
  <si>
    <t>Yo trabajaba en un edificio, en una multinacional. Lanzan un comunicado, una agencia de todos súper pijos y todos súper moneymakers y aquí somos todos la hostia, pues había un zurullo, tío, un zurullo fuera del váter.</t>
  </si>
  <si>
    <t>Y que a mí me dio mucha rabia cuando entré en la industria, y es que es una industria que yo siento muy clasista. Ya no solo por con quien trabajas y todo eso, sino por el propio acceso. Joder, si vives en Madrid o en Barcelona, que es la ciudad donde está todo, cuando te tienes que venir aquí, tío, tienes que estudiar el máster, que además es un máster que se ha sacado de debajo de la manga.</t>
  </si>
  <si>
    <t>Ya no es solo que seas el más talentoso, que tengas las mejores ideas o que seas el mejor diseñando o el mejor escribiendo. Es que tienes que tener un pulmón financiero de tus padres o huevos a trabajar. Los fines de semana en otra cosa, a buscarte freelance por tu cuenta y cobrarlos en negro y a buscarte la vida</t>
  </si>
  <si>
    <t>Hola, yo me llamo Claudi y efectivamente trabajo en Starbucks donde pagas 37 euros porque te saquen un riñón y digan tu nombre. Y encima ya ni lo apuntamos.</t>
  </si>
  <si>
    <t>Yo voy a abrir un melón. En tus vídeos se critica mucho a los franceses. Yo hoy vengo a defenderles, tío. Son los menos tocahuevos.</t>
  </si>
  <si>
    <t>Era por la mañana, pero te estoy hablando 7 y media. Vemos entrar a una chica y a un chico jovencitos. Se pusieron ahí enfrente de la barra y empezaron a magrearse, a darse unos buenos besitos y nosotras diciendo, bueno, pues bien.</t>
  </si>
  <si>
    <t>Entonces, claro, una mujer nos pide de repente a la barra y nos dice, quiero una hoja de reclamaciones, tenéis la jabonera estropeada. Y claro, empezamos a hablar con ella, le dejo yo aquí la barra, lavarse las manos, no pasa nada. Ella erre que erre que no.</t>
  </si>
  <si>
    <t>Realmente en esos 2 años que he estado ahí era otra persona completamente distinta. Yo vivía amargada día a día. De verdad que te consume que la gente te trate tan tan tan mal.</t>
  </si>
  <si>
    <t>Entonces fui, miraba los pisos, era a lo mejor como un bajo a tomar por el culo con humedades 1 habitación asquerosa. Mil euros cada uno. Conseguí llorarle un montón a los de la residencia. Puede que haya un sitio, pero tienes que compartir con 5 israelíes. Me doy con un canto en los dientes.</t>
  </si>
  <si>
    <t>Y nos lleva como a una sala, grupo a lo mejor de 10 hombres sentados alrededor, nos sienta y nos dice, preguntad lo que queráis. Y nos pasamos como 2 horas hablando del Islam, preguntándole cosas y cuál es la percepción del cielo, del Islam, de qué opina del cristianismo, oye, he oído esto, ¿qué te parece esto del tal? Claro, entonces salimos ya con este tío, porque nos hemos hecho ir a panas después de 2 horas hablando, tengo ahí una foto con la Polaroid con todo</t>
  </si>
  <si>
    <t>Había una chica, esta tía era del Reino Unido, y su familia era súper religiosa, pero súper religiosa a lo bestia, protestante. Lo típico de falda hasta los tobillos, nunca había hecho nada con nadie y tal.</t>
  </si>
  <si>
    <t>¿Y el Cairo qué tal? Está muy guapo como unas pirámides que dices, Dios, es probablemente la cosa más tocha de la humanidad.</t>
  </si>
  <si>
    <t>Hicimos una ruta de 14 días. Íbamos a Urgeada y hay un tío muy random que nos empieza a seguir. No me acuerdo ni cómo se llama.</t>
  </si>
  <si>
    <t>Sí que es verdad que a lo mejor con gente israelí, evidentemente yo, muchos amigos míos de allí, en plan, son judíos y no israelíes y todo súper bien y son buena gente, pero sí que es verdad que quizá el sentimiento general, sobre todo al principio, es como que muchas veces eran un poco... no despectivos, pero sí que miraban algo como por encima del hombro.</t>
  </si>
  <si>
    <t>Yo me fui de Jerusalén como en julio del 2023 y había muchas tensiones muy heavies. A lo mejor tiraban en un día cinco mil misiles encima de Tel Aviv, que nunca tiran a Tel Aviv.</t>
  </si>
  <si>
    <t>Claro, yo me acuerdo muchas veces que a lo mejor estaba donde mi joyero, porque yo tenía allí un joyero en Jerusalén que el tío estaba pinzado de cojones.</t>
  </si>
  <si>
    <t>Ten en cuenta que el servicio militar es obligatorio hombres y mujeres. Es como que, claro, tú imagínate que tú le das a un chaval de 18 años un AR-15 y le dices, es que te vas a poner como este traje y te vas a poner como de gallito delante con todos tus colegas a defender la tierra prometida porque eres un enviador de Dios.</t>
  </si>
  <si>
    <t>En los checkpoints, claro, es que toda la gente era de mi edad y no es como un servicio militar en Finlandia. Sí, sí, que no es la mili. O sea, te cogen y te mandan a Líbano.</t>
  </si>
  <si>
    <t>Es curioso porque estuve anteriormente en otra sala de miedo, que yo vi una oferta en Instagram en un scape room que había hecho, que había jugado, y dije, pues venga, de perdidos al río, ¿por qué no?</t>
  </si>
  <si>
    <t>Además, lo que mola es eso. Gracias a la gente que se mete muy de lleno.</t>
  </si>
  <si>
    <t>Pero a mí lo que más gracia me hace, entre comillas, las familias. Ahí es la hostia.</t>
  </si>
  <si>
    <t>Hay un cadáver, tal, no sé qué, no sé cuántos, hay que quitar los gusanitos Hay un momento clave, que es de tensión, y cogió mi compañera o así como hacemos de poli malo y dijo «Venga, que os voy a mandar a todas con Dios».</t>
  </si>
  <si>
    <t>Estás viendo el scape room y puedes ver muchos tipos de personas, pero ¿cómo se desarrolla un cani? Un grupo de canis que están ahí.</t>
  </si>
  <si>
    <t>Cuando tenía 12 años, mi padre estaba buscando trabajo y lo típico de que echas todas las ofertas, pues a ver qué sale. Y le cogieron y dijo: bueno, pues ahora hay que probar. ¿Y de qué era el trabajo? De ingeniero de puentes. Oye, vaya puta pasada de curro.</t>
  </si>
  <si>
    <t>Una persona que no había salido a Albacete se ve en un avión 12 horas lleno de vietnamitas. Que yo, claro, pues vietnamitas, pues había visto muy poca gente vietnamita en mi vida, probablemente. Escuchándolos hablar flipando en colores</t>
  </si>
  <si>
    <t>¿Y tu profesor sigue por allí? Creo que se jubiló ya porque la había estado trabajando muchísimos años en plan en un montón de colegios de todos lados.</t>
  </si>
  <si>
    <t>Es como la imagen preciosa y fantástica de decir, anda, mira qué bien, qué ganas va a tener este hombre de escucharme. Y luego seguro que el que más habla es el marido. Unas chapas.</t>
  </si>
  <si>
    <t>Una vez se vio una mujer que se queda mirando el vidrio, me coge del brazo y me dijo que por qué los romanos construyen hacia abajo. La gente se descojonó.</t>
  </si>
  <si>
    <t>Bueno, pues estaban las gárgolas de las iglesias, tal, tal, tal, tal. Una iglesia en Barcelona que se llama Santilli Pereri, que es una iglesia preciosa, fue bombardeada en la Guerra Civil.</t>
  </si>
  <si>
    <t>Hay muchísima gente que se piensa que aquí en España es como que nos educan con que Colón era el salvador y bla, bla, bla. Cuando vienen aquí, yo creo que de buena fe como que nos quieren cambiar totalmente esa visión.</t>
  </si>
  <si>
    <t>Padres o madres que vienen a ver a su hijo aquí a Barcelona, están haciendo con ellos un tour y quizás no vieron al hijo desde hace un año. Están emocionados porque ven lo que el hijo está consiguiendo y ven que están en un sitio chulo.</t>
  </si>
  <si>
    <t>Ha habido robos en los tours. Eso es otro melón que podemos abrir.</t>
  </si>
  <si>
    <t>Da un poco de rabia porque al fin y al cabo tú lo que quieres hacer es un tour chulo en 2 horas explicando la historia de los judíos y cristianos, yo que sé, cualquier cosa, y te van a mirar con la cara de, ya, pero es un joven independentista catalán, entonces es un poquito complicado quitarse este estigma.</t>
  </si>
  <si>
    <t>¿Pero Antonio Gaudí sigue vivo? Una polla que te han preguntado si sigue vivo.</t>
  </si>
  <si>
    <t>Una de las cosas que me gusta es el cuñado histórico. Yo lo identifico siempre con las catedrales. Un imán para los cuñados históricos que se pongan delante de una fachada y digan esto es románico, esto es gótico, esto tiene de todo.</t>
  </si>
  <si>
    <t>Después, familias más normativas, digamos, que vienen buscando lo mejor que pueden, pero acaban en esos colegios, en ese contraste de niños súper buenos, súper bonitos. Allí no hay término medio.</t>
  </si>
  <si>
    <t>En su casa tienen 0 educación, no tienen ningún tipo de límites y que lleguen al colegio 1 profesor le diga, siéntate, saca el libro, lo ven como, yo estoy aquí porque me obliga a la ley.</t>
  </si>
  <si>
    <t>Como prioridad en ese tipo de colegios, quieres que el niño esté de 9 a 2 y que no haya pasado nada grave, que los niños salgan contentos del cole.</t>
  </si>
  <si>
    <t>¿A ti te habrán vacilado los más grandes? Te vacilan sabiendo que te están vacilando.</t>
  </si>
  <si>
    <t>Yo el recorrido que hago a casa lo hago muchas veces acompañado de niños porque paso por el barrio. Y el niño entra, adiós profe, se mete a su casa que es un bajo con la que está la puerta abierta.</t>
  </si>
  <si>
    <t>Y pasa una clase de quinto que vendría en educación física o no sé qué un chaval con el que no habla ni nada me dice, yo que tú me guardaba el móvil. Y a mí me quedo impactado, no de, ostia, que me lo vayan a robar, sino cómo de asumido tienes que tener el concepto de robar como para que recomiendas a un prospecto, guárdalo porque es que te lo van a robar porque no sé qué.</t>
  </si>
  <si>
    <t>Lo que pasa es que no les gusta el colegio. Yo me imagino un niño de esos diciendo quiero estudiar la carrera y los padres diciendo pero tú eres gilipollas, tú en cuanto tengas edad te vas a poner a trabajar conmigo.</t>
  </si>
  <si>
    <t>Fue una super exagerada, pero las propias familias se tienen que ir de los barrios porque tienen problemas. No los niños, sino los padres con otras familias. Y cambian de colegio, el niño ya, pues lo que lleve mínimamente aprendido, ahora se resetea.</t>
  </si>
  <si>
    <t>¿Necesita algún puto método educativo para conseguir rescatar por lo menos unos pocos de esa mierda o hay que resignarse? Ya está, por haber nacido en un sitio estás perdido.</t>
  </si>
  <si>
    <t>Que me ha puesto los cuernos, es que es un cabrón, es que se ha ido con 3 de la misma clase, es que se ha ido con la de quinto y el más chico, estas cosas las hay en el colegio</t>
  </si>
  <si>
    <t>He tenido un problema muy gordo con un padre, pero no fue en una tutoría. Porque los padres vienen buscando problemas.</t>
  </si>
  <si>
    <t>Yo me he fijado como objetivo terminar estos años y decir, hay menos parado porque empleo ha servido para hacer match. Hay una empresa, hay uno que necesita una empresa, solo con eso yo creo que ya tendría para llenar mi jornada laboral.</t>
  </si>
  <si>
    <t>Me encantaría encontrarme como cuando entras en una empresa que te encuentras El onboarding.  una memoria con todos los proyectos, qué está por hacer, qué queda, qué presupuesto tengo</t>
  </si>
  <si>
    <t>Cuéntame movidas que te hayan dicho, tío. Te coja ahora de repente tu vecina del cuarto y te empieza a dar un chapón que te cagas.</t>
  </si>
  <si>
    <t>Aquí sigues teniendo la sensación de barrio, comunidad. Conozco al vecino de enfrente al otro, no sé qué, no sé qué, no sé cuánto. Esa mierda no existe en Madrid. Y a la vez existe menos en otros sitios.</t>
  </si>
  <si>
    <t>Uno de ellos, por, ejemplo, le llamaban el Patillas, que no sé por qué le llamaban el Patillas, porque no tenía patillas. Era un hombre mayor con mucha mala leche. Venía con su bastón y siempre pasaba por las cajas de autopago.</t>
  </si>
  <si>
    <t>Lo mismo. te encontrabas a la señora que decías que llevo 50 años comprando aquí, pero luego, cada vez que venía, te preguntaba dónde estaban los huevos unas fantasmadas, tío</t>
  </si>
  <si>
    <t>Al final se supone que no puedes insultar porque queda feo, aunque sí que reconozco que a veces me han mandado a la mierda. Y yo he mandado a la mierda también.</t>
  </si>
  <si>
    <t>No, yo también admito, que yo me he calentado muchas veces y no me he liado a palos, porque mira que un día casi me tienen que separar de uno, porque me dijo que me iba a cruzar la cara. Y yo le dije: hazlo al tío gritando e insultando a su mujer</t>
  </si>
  <si>
    <t>Fue una vez una mujer y llevaba un carro de la compra petado hasta arriba. Lo pasé tal y ya me empezó a decir de malas formas, que necesitaba otro carro. Pues, ves a buscarlo, ¿no?</t>
  </si>
  <si>
    <t>Es un supermercado como el Mercadona, como el Carrefour, como el Lidl o como el Día. No estamos hablando de arriba, que los vendedores te tienen que hacer la pelota porque te tienen que vender, tienen que ganar comisiones.</t>
  </si>
  <si>
    <t>Pero luego el siguiente cupón que pasé no la aceptó porque había subido las bolsas de plástico y las bolsas de plástico no contaban. Entonces, claro, hubo que anular toda la compra, volver a empezar de nuevo y se pilló un mosqueo.</t>
  </si>
  <si>
    <t>Mi madre lleva un cachondeo conmigo tremendo diciéndome que he vuelto siendo un pato.</t>
  </si>
  <si>
    <t>Odian menos que hables en español con ellos que hables en inglés. A los ingleses les tienen una tirria.</t>
  </si>
  <si>
    <t>Por ejemplo, sí que me hicieron hablar un poco de la guerra civil o una clase que tuve que hablar de la dana de Valencia. Y claro, yo estar hablando de algo que para mí puede ser un poco complicado y tener a un chaval al lado que está todo el rato haciendo coñas y metiéndose contigo, pues para mí eso era horrible.</t>
  </si>
  <si>
    <t>Había mucha gente que me decía que quería venir de vacaciones a España. Y yo le decía a ti en el aeropuerto, cuando te pregunten, di que vas a Portugal. Y no me pillaban el lore.</t>
  </si>
  <si>
    <t>Me soltaron un zasca con el tema de novios. Un niño de 13 años que me dejó temblando.</t>
  </si>
  <si>
    <t>Pero llegó un momento en el que yo estaba entrando en clase y de repente me veo a 4 o 5 de mis estudiantes con la cara completamente rayada a boli. Mi primer pensamiento fue una locura.</t>
  </si>
  <si>
    <t>Una de las cosas también muy bonitas de esa edad son los amoríos. ¡Uf, qué puterío! Habían unos baños mixtos en el instituto. Yo en esos baños no entré nunca.</t>
  </si>
  <si>
    <t>Y yo me tiraba un fin de semana entero preparando clases y currándomelas y trabajando y haciendo PowerPoint y preparando escape rooms para que luego en clase se me durmiesen 5, 7 estuviesen hablando, 3 no me estuviesen escuchando 2 me estuviesen abortando la clase.</t>
  </si>
  <si>
    <t>O sea, yo llegué y sube 7 días seguidos saliendo de fiesta, sin exagerar. Y claro, la gente flipaba, en plan, esta tía, ¿qué coño le pasa? Y la gente súper maja. Los de mi resi, españoles. Los demás, no.</t>
  </si>
  <si>
    <t>Kit Kat es una discoteca en la que básicamente se va a follar. O sea, la gente va en pelotas, van hasta el culo, evidentemente, pero luego por dentro mola un montón la decoración, ¿eh?</t>
  </si>
  <si>
    <t>Ya no es la caca, ya no son los guiris, ya es el ambiente del centro por la noche. Desde los NPCs que te rapean con el micro en plan, no, yo, la chica pelirroja, no sé qué, Está el de Michael Jackson, que lleva como un guante. Es una persona que se le ve que algo no está bien, llevaba como un guante blanco y hacía lo de caminar para atrás.</t>
  </si>
  <si>
    <t>Aquí donde me viese una cámara súper simpática. Lo que pasa es que si me tocas los cojones, hermano, había gente que me decía, no, pero ponme la copa más larga.</t>
  </si>
  <si>
    <t>Y al final el centro está petado de guiris en general, que al final también entiendo que eso mueve dinero y es lo que nos da de comer, pero que deberíamos adueñarnos nosotros también de nuestro propio espacio y disfrutarlo.</t>
  </si>
  <si>
    <t>Brother, de sacarse la polla y mear en la barra. Además, era una barra en forma de L y me meó justo por donde yo le podía ver la polla. O sea, brother, vi una polla meando.</t>
  </si>
  <si>
    <t>Yo entiendo lo que dices, lo del tema de la megadestrucción de un váter. O sea, que dices, diarrea de esta de pa-pa-pa-pa-pa-pa por todo el váter que digo, te has tenido que manchar la espalda.</t>
  </si>
  <si>
    <t>Hay una zona exterior que tiene pádel, después tiene el típico gimnasio normal, una zona del gimnasio que está adaptada a spinning, o sea, todo bicicletas, en plan, ¿sabes? Los putos locos estos que van pum, pum, pum, a tope, que dices tú, vaya putas ganas a las 9 de la mañana.</t>
  </si>
  <si>
    <t>No me pillo tanto en shock porque yo he trabajado también casi 2 años en un Burger King. Los baños del Burger King es como una especie de mili para esto. O sea, en plan Voy a Afganistán, sí, pero yo ya lo he visto todo.</t>
  </si>
  <si>
    <t>Hay una movida que yo le llamo el volcán, que es cuando un váter se atasca, atasca un váter con diarrea, ojo, es jodidísimo. Tienes que estar muy fucked por dentro.</t>
  </si>
  <si>
    <t>Y yo tengo un carro con un cubo con agua sucia, un cubo con agua limpia. Sale de sus clases, se bebe, le queda un poquito de agua y en vez de tirarla, ir al lavabo y tirarla porque le pesará o yo que sé, hace así, clic, clic, clic, y me la vacía en el cubo de agua limpia.</t>
  </si>
  <si>
    <t>Entonces me he capado de cosas que simplemente no me producían ningún bien, y la mentalidad, sobre, todo, que mucha gente tiene de voy a alcanzar el trabajo de mis sueños o un trabajo que me dé mucho dinero. Creo que más importante que incluso el dinero o el trabajo de tus sueños es encontrar un trabajo en el que tú te veas a gusto. Puede ser algo que sea ni fun ni fa, ¿sabes?</t>
  </si>
  <si>
    <t>A esto venía porque luego El tío lleva gomina en la piscina, bro. El tío lleva gomina en la piscina, que se lo dije a mi compañero, le metí 2 codos y dije, bro, lleva gomina.</t>
  </si>
  <si>
    <t>Tradúcele al francés este que si literalmente no saben español, veraneando en España y mucho menos inglés, que es el idioma internacional, dile que se vayan a Bordeaux a tomarse un vino. Y mi compañero se lo dijo. Me estoy vengando de lo que hizo Pepe Botella, o sea.</t>
  </si>
  <si>
    <t>Obviamente, un poquito de postureo de vez en cuando. Un poco de decirte que has ido de vacaciones en tal sitio. Es que una foto bonita no hace daño a nadie. No hace falta no hacer fotos.</t>
  </si>
  <si>
    <t>Me dejó todo lleno de arena y me seguía insultando, tío. Cansada de que gritara, la pedí que se fuera. Y tuvo que venir el de seguridad a decirla que se fuera o que dejara de gritar. Se van a un centro donde no haya mi marca y allí, claro, como no es suyo, no se molestan, ven que el ticket es de otro centro, pim pam, luego te lo mandan por traspaso y te llega el producto, pues hecho una mierda.</t>
  </si>
  <si>
    <t>Muchas veces son animales, los perros se comen el cable de fibra y te comen 60 pavos por rotula de esas. Una vez me tocó también una que estaba súper indignado, o sea, le llamé yo para avisarle de que iba y me empezó a calentar la cabeza como que llevábamos no sé cuánto tiempo, no sé qué.</t>
  </si>
  <si>
    <t>Dice, ah, y es que tampoco se poner el wifi en el teléfono. A mí me da mucho apuro cuando te dan el teléfono a ellos, porque muchas veces te tienes que meter en el navegador y te encuentras cosas raras.</t>
  </si>
  <si>
    <t>También el que está en Gibraltar paga menos. Eso para el inglés, para el que es de aquí, trabaja allí, te follan vivo. Yo hago las 2 declaraciones. Yo trabajando en el McDonald's de Gibraltar pagué 760 euros de hacienda.</t>
  </si>
  <si>
    <t>El problema es al principio cuando empecé que hay cosas que a ti te piden y tú dices ¿qué coño me está pidiendo este? Unos nuggets, unas patatas, una Coca-Cola normal, un cheeseburger sin cheese y sin onion.</t>
  </si>
  <si>
    <t>Sí, sí, he tenido algunas. Bueno, bueno, no sé decirte qué, porque no tenía ni puta idea de lo que me estaba diciendo.</t>
  </si>
  <si>
    <t>Una señora mayor que me llama, me dice, la tarjeta que me han robado en un bar, no sé qué, bla, bla, bla. Es que fui a orinar y cuando volví ya no estaba.</t>
  </si>
  <si>
    <t>Estafas. Y hay que tener mucho cuidado porque son muy hijos de puta, ¿eh? Al principio puedes decir, bueno, es que esto cae los tontos, ¿no? De lo difícil no cae.</t>
  </si>
  <si>
    <t>Hasta de la agencia tributaria te llaman. Hace unos años llamaban a gente haciéndose pasar por la agencia tributaria Renta Básica Universal. Pedían que para verificar que son ellos, que mandaran un bizum de 100 euros a X número. Claro, luego ni renta ni polla.</t>
  </si>
  <si>
    <t>Me dice, este teléfono es de pago. Le digo, no, caballero, no es de pago. Es de pago. Empeñado yo que no, caballero, que no es de pago. Me muteo y escucho que dice, la subnormal esta que no se entera de nada. Me desmuteo y le digo, pues caballero, lo que va a hacer es buscar a otra subnormal que se entere de algo, ¿eh?</t>
  </si>
  <si>
    <t>Yo lo cuento así y digo, jajaja, qué gracioso, porque en realidad no le estás haciendo nada malo, porque le estás cambiando la luz. Quiero decir que tampoco es que le estés poniendo la hipoteca de su vida.</t>
  </si>
  <si>
    <t>Raquel se quedó para nuestros corazones en este canal. Y cada 2 por 3 gente que ha vuelto a ver el vídeo, o gente nueva que ha descubierto los vídeos, dice, ¿cuándo va a volver esta chiquilla? Ha vuelto.</t>
  </si>
  <si>
    <t>Es que no he dejado de viajar. Ahora viajas a Burgos. Aparte de viajar a Burgos Es bonito que flipas, ¿eh? La zona donde curro yo es bien de bonita</t>
  </si>
  <si>
    <t>Fuimos a casa de un señor, de una pareja británica, muy monos, en la zona más rural de los rurales de los rurales de Burgos. Llevaban como pollas de años ahí.</t>
  </si>
  <si>
    <t>Ves de todo, vas a la casa de fulanito, ves las condiciones en las que vive fulanito, si está solo y tiene los hijos en no sé dónde, no se vale por sí mismo y la casa está no sé cómo y lo ves.</t>
  </si>
  <si>
    <t>O sea, que si tú vas preguntando, en plan, oye, Eugenia, sí, pues lleva tiempo viniendo sola, o lleva tiempo que se le ve más cansada, o tiene una identidad, un círculo que la identifica y que la cuida de alguna. Y en la ciudad me parece como que estamos más anonimizados todos. En la ciudad somos NPC.</t>
  </si>
  <si>
    <t>Invertir tiempo en crear esa conexión con tu entorno también es muy importante. No lo visibilizamos lo suficiente en plan de ¡guau, qué guay, se va por el mundo, es brutal, es una hostia!</t>
  </si>
  <si>
    <t>Yo tenía ya mi delusion desde los 12 años, siendo básicamente una otaku cerda de mierda, pero una rata mala. Pero claro, de los 12 años a los 22 dices, ¿cómo coño me voy yo a Japón?</t>
  </si>
  <si>
    <t>Japón, yo me lo meto por el culo. O sea, Japón es la mejor mierda que yo he pasado en mi vida. Pero tanto lo bueno como lo malo, ¿eh?</t>
  </si>
  <si>
    <t>Están como tan completamente comidos con lo que es el dinero y todo eso que se piensan que nos preguntan cuánto cobramos. Me lo pone como en un papel, rollo, me pone tu cobra, no sé cuánto has cobrado.</t>
  </si>
  <si>
    <t>Que tú ahora nos veas así en plan con las pintas y todo eso. Yo cuando voy a trabajar cada día me tengo que quitar los nostros y me escondo el septum. Me tengo que poner unas fajas. O sea, hacer el play pretend de tu puta vida. Ropa así como medio formalilla, no sé qué.</t>
  </si>
  <si>
    <t>Pues entonces tú tienes que hacerle la triquiñuela mental a la que le gusta inventar de que en verdad ha sido un accidente para que no llegue y le diga a la madre que se han pegado porque si no la otra chiquilla va a tener un montón de consecuencias.</t>
  </si>
  <si>
    <t>Es muy mágico todo. También muy top secret. Lo lleva muy a rajatabla el tema de los trabajadores no subir cosas en redes sociales.</t>
  </si>
  <si>
    <t>Las condiciones están muy bien. Esto es exclusivo de trabajadores. Mira qué tipo de merchandising hay. Es esta chaquetita que la ves así y dices que está bien.</t>
  </si>
  <si>
    <t>Son tan orgullosos del francés. Francia lo mejor, los franceses lo mejor, la gastronomía francesa lo mejor y yo me cago en la gastronomía francesa.</t>
  </si>
  <si>
    <t>Mira, yo me llamo Iván, para todo aquel que no me conozca. Y como ya he explicado perfectamente, yo he trabajado hablando mal y pronto, dando el coñazo a la gente para intentar que acepten a algún compañero ir a la vivienda.</t>
  </si>
  <si>
    <t>Me giro y viene así con la mano así y trae un puto periquito verde, tío. Que se ha caído de un árbol. Digo, pues ya está. De veterinario. Le abro la ala, le empiezo a mirar. Y ahora digo, tío, yo ahora qué hago con el puto periquito, tío.</t>
  </si>
  <si>
    <t>Pero tío, Tuvieron que llamar a mi madre. Es que encima, por un día que se pilla de vacaciones mi madre, tío, le tengo que dar por culo, tío. Me quitaron hasta la puta riñonera de la Cruz Roja, tío.</t>
  </si>
  <si>
    <t>La Cruz Roja dijo que iba a denunciar a la policía en mi nombre, que no sé qué. Luego la policía pidió perdón. Una movida más rara, tío. Jódeme más esta vida gitana que tengo, vamos.</t>
  </si>
  <si>
    <t>Ese día me hice récord de media España de Cruz Roja, creo que fue, tío. 218 cupones en un día. O sea parecía eso, tío, lleno de coches de que digo, hermano, tío, aquí cada cual caga más dinero. Y yo, pues depende del sitio, tengo un speech.</t>
  </si>
  <si>
    <t>Me abriste el MD como diciendo, me dedico a esto, pero que tampoco es santo de mi devoción</t>
  </si>
  <si>
    <t>Hay de todo. Hay propietarios que les da igual, van a sacar la mayor rentabilidad posible. Pero también tengo propietarios que se cuidan mucho de a quién meten, hablan con ellos antes de aceptar o tienen unos criterios bastante estrictos. Tengo uno, por ejemplo, que solo acepta familias con buenas reviews.</t>
  </si>
  <si>
    <t>O también está el típico que te dice no, no, yo no quiero tourist traps, quiero una experiencia auténtica de aquí. Y tú les ves y dices no sabes lo que estás pidiendo.</t>
  </si>
  <si>
    <t>Es un puterío. En resumen, tú no puedes liarte con ningún pasajero, no puedes tener ningún tipo de relación. Y yo pensaba que eso estaba bastante prohibido.</t>
  </si>
  <si>
    <t>La gente tiene mucho odio contra los franceses y lo entiendo, pero tengo que decir que yo en mi caso desarrollé un odio con la gente italiana. Es como un español, pero en nivel de cuñado como al máximo.</t>
  </si>
  <si>
    <t>Vamos a abrir ese melón. En el anterior vídeo hablamos de sitios menos pudientes, ahora estamos hablando de sitios pudientes. Hablamos de colegios privados ultracatólicos en el centro de Madrid, en los cuales yo me he cruzado con la mayor chusma que te puedes imaginar.</t>
  </si>
  <si>
    <t>Una vez, creo que fue el mes de julio más o menos, había un cliente francés. Típico cliente francés de unos 50, 60 años, ¿vale? Que se le abrió el coche y tuvo que contactar con el seguro de Francia. A esto el señor no hablaba ni pipa de español, ¿sabes?</t>
  </si>
  <si>
    <t>El del taller me suelta, tal cual. Dile a ese gabacho de mierda que no se preocupe, que su coche va a ser listo el viernes a la tarde.</t>
  </si>
  <si>
    <t>Siempre que he grabado algún vídeo en Inglaterra y he pillado a un irlandés o una irlandesa, el comentario estrella que siempre me han soltado en todos los vídeos que he grabado allí ha sido cagarse los muertos de Inglaterra de arriba abajo.</t>
  </si>
  <si>
    <t>Pues estábamos de fiesta y al volver, lo típico, porque allí todos los bares y todas las discotecas cierran a las 2 de la mañana. A las 2 de la mañana, a tu puta casa. Y ahí ya van los irlandeses como los grecos, o sea, van súper mercedora.</t>
  </si>
  <si>
    <t>El rigor histórico es un poco... A mí me gusta mucho, ¿vale? Me gusta muchísimo la historia de la moda. Y soy bastante de, ¿por qué eso no lleva lo correcto? ¿Han hecho algo bueno de no llevar cuernos? Por lo menos han hecho eso bien. Las cosas que llevan y cosas así, obviamente, el rigor histórico se lo pasan un poco por el arco del triunfo.</t>
  </si>
  <si>
    <t>Bueno, antes de pasar la anécdota, yo te tengo que preguntar, porque eso es algo que tiene muchísima fama de la India, de su gastronomía, y sobre todo, de la experiencia de muchos amigos míos que han ido allí, es la primera cagalera.</t>
  </si>
  <si>
    <t>Estos monos, que van en manadas, 30 o 40 monos, a lo mejor, saltaban a la zona de la embajada. Tú los ves de lejos y dices, joder, qué majos, tal, o sea, veías a los monos a las madres con los monos enganchados aquí, veías a los monos grandes que parecían a veces albóndigas, ¿sabes? En plan, de lo gordos que estaban.</t>
  </si>
  <si>
    <t>Te tratan diferente, a bien y a mal. Te consideran que eres clase alta, te consideran que tienes dinero, entonces te ven como una cartera con patas en ocasiones.</t>
  </si>
  <si>
    <t>Te hacen todo el espectáculo cuando pides una botella de Don Periñón o lo que sea de champán. Que son Madrid estándar, también te diré. Esto es capi. Muchos pequeños nicolases indios seguramente Hay mucho Froilán indio Sí, no sé, supongo que será ir viendo pie por pie ver quién tiene agujeros o no</t>
  </si>
  <si>
    <t>Los derechos de la mujer a veces dejan bastante que desear. Sigue estando al orden del día que la mujer se quede en casa, tareas del hogar, o sea, lo típico rancio que es eso.</t>
  </si>
  <si>
    <t>Hay mucha A ver, no te rías, porque nosotros tampoco los españoles somos pa' tirar cohetes, ¿vale?</t>
  </si>
  <si>
    <t>Es que esto tiene que ser maravilloso porque te puedes encontrar de to. De una idea, nos lo va a contar el invitado de hoy.</t>
  </si>
  <si>
    <t>¿En qué departamento estabas? Yo estaba en como se conoce, nuevos medios, tanto telefonía como informática.</t>
  </si>
  <si>
    <t>"¿Porque esto qué tipo de membrana tiene?" Imagínate. Yo ahí tenía que salirme como yo pudiera, ahí es cuando tenía que salir. Con unas formas tan técnicas que tú dices: "¿Me está vacilando o me lo está diciendo en serio?"</t>
  </si>
  <si>
    <t>Tú imagínate, en un momento va que ta-- como esa persona entró, lo que le llegó. Caballero, que yo no le pongo el porno, aquí no estoy para ponerle el porno, que yo estoy para repararle el teléfono, yo para ponerle el porno no se lo pongo.</t>
  </si>
  <si>
    <t>El churumbel llega: vengo pa financiar, no sé qué. Claro, tú tienes que pedirle ciertos datos: nombre, DNI, correo electrónico, ese tipo de cosas. Por suerte, venía con la madre, que la pobrecita mía aguanta eso</t>
  </si>
  <si>
    <t>Hubo un momento dado que vino un compañero mío por la espalda y me quitó una grapadora que tenía al lado.</t>
  </si>
  <si>
    <t>Le salió denegado, se lo expliqué, tal, no lo entendió, salió cabreao. Al cabo de los meses, volvió porque el moca furro arrancó el tubo de los aires acondicionaos de estos portátiles y venía pa que se lo re-- pa que la garantía se hiciera cargo.</t>
  </si>
  <si>
    <t>Se le hizo la devolución, se le cambia la máquina y fuera.</t>
  </si>
  <si>
    <t>Efectivamente, ni que yo fuera el dueño de allí de la tienda. Hermano, si yo me llevo estos 2 portátiles, ¿en cuánto me lo dejas? Pues al mismo precio.</t>
  </si>
  <si>
    <t>El tío cayó de una escalera mecánica y cortándose con todos los escalones. Fue porque el nieto se iba a caer y para que el nieto no se cayera, lo cogió y se cayó él. A todo esto, la frase que le suelta el nieto es: ¿Qué pasa, abuelo? ¿Ya no vamos al cine?</t>
  </si>
  <si>
    <t>Llegó un momento dado que casi me da un bofetón. «Pues tú pierdes la venta y atenta a las consecuencias, porque mi padre está en la cárcel».</t>
  </si>
  <si>
    <t>Hostia, a mí, por ejemplo, me duele. A mí ese tipo de cosas siempre me ha marcado mucho de que quiere el niño por cojones eso y el padre se lo tiene que comprar porque si no el niño coge el rebote y la lía parda.</t>
  </si>
  <si>
    <t>Siempre le he intentado hacer ver a la gente cuando venía por un portátil, venía por un móvil, la necesidad suya. Porque Apple ha hecho mucho daño. Opinión personal, gastarte 400 500 euros más en un portátil que tiene las mismas prestaciones pero que tiene mejores altavoces que otros, para mí personalmente no me lo gastaba.</t>
  </si>
  <si>
    <t>Se fue al otro MediaMarkt de Málaga y allí mismo, tal como entró por la puerta, lo trincaron. En la tienda que yo he estado, por desgracia, la vigilancia faltaba y mucho.</t>
  </si>
  <si>
    <t>Me estás intentando engañar porqueee tu compañera me ha dicho lo contrario. Y es como yo le digo, yo soy neutral, yo voy de rojo, la que te está intentando meter la marca es la compañera que lleva Xiaomi en la mitad de la espalda.</t>
  </si>
  <si>
    <t>Ni la sangre va a llegar al río ni nada, digo, no te pienses atender. Digo: Ahora mismo voy a llamar al vigilante y te voy a echar por la puerta.</t>
  </si>
  <si>
    <t>Vamos a descubrir los secretos del Mercadona.</t>
  </si>
  <si>
    <t>Yo no he vestido un uniforme más cómodo en mi vida. Mira que tiene la fama de ser feo. No, feo de cojones, la verdad es que eso sí, no, no. Pero cómodo es.</t>
  </si>
  <si>
    <t>Pero cómodo es. El pantalón supercómodo, la camisa superbién, estaba trabajando supera gusto, te podías mover bien en verano con manga larga y no pasabas calor.</t>
  </si>
  <si>
    <t>Estar delante de los champús y que te pregunten dónde están los champús, hijo mío. Yo lo entiendo, porque al final es un insulto a la propia inteligencia.</t>
  </si>
  <si>
    <t>Se ve que había bolillas de mierda antes de llegar a los ascensores, por lo que la-- eso se veía. Rápidamente, enviaron a alguien para limpiarlo y tal, pero bueno, yo estaba en la caja, yo no me entero, ¿no?</t>
  </si>
  <si>
    <t>Los robos están al orden del día. Un día, ¿qué pasó? En nuestra tienda había 10 cajas. Lo que hay en el suelo detrás de las cajas, pues tú no te das cuenta. Viene un día un señor y dice: "Os acaban de robar entre las cajas, que se ha arrastrado por el suelo de las cajas y se ha pirao el tío robando".</t>
  </si>
  <si>
    <t>Qué ha cogido del supermercao pa poder hacer eso, porque ahora- Y es saber qué cojó, qué cogió, pero es que también que te intentan distraer por la espalda.</t>
  </si>
  <si>
    <t>Vi perfectamente el pasillo central y veo a un señor, no con un carro, sino este le tenía una técnica más sofisticada, que eran 2 bolsas.</t>
  </si>
  <si>
    <t>Hablando en plano, básicamente. Hay que ser sincero. Robar está mal en cualquier en cualquier contexto, pero bueno, lo entiendes.</t>
  </si>
  <si>
    <t>Nosotros escuchamos, al menos yo escuchaba. Habla lo que quieras con esa persona, que se descargue un poco contigo y oye, yo bien a gusto que lo hacía.</t>
  </si>
  <si>
    <t>O sea, tú vas al Carrefour o vas a no sé dónde, el 3 por 2. Tienes algún tipo de incentivo. Si vas con la tarjetilla tuya deee, de acumulación de puntos, te descuentan no sé cuánto en el producto de que sea. En el Mercadona, no.</t>
  </si>
  <si>
    <t>Vamos a conocer cómo es Inglaterra.</t>
  </si>
  <si>
    <t>Ahora soy consultor de una empresa y pues nada.</t>
  </si>
  <si>
    <t>Cuando huelen fuerte ya, ¿eh? Oh, ya ves tú, un colegio británico, que eso está pa guardar el calor. Tú imagínate cómo olía eso.</t>
  </si>
  <si>
    <t>Y yo le decía: «No, no, es la A.| Vamos a ver, entre españoles hay que ayudarnos».</t>
  </si>
  <si>
    <t>[cambio de tema]</t>
  </si>
  <si>
    <t>Y se reían, sobre todo con los de cuarto que tenía ya un poco más de feeling. También lo empezó a usar el conserje o el de reprografía. Y les dije: «Pues que sepáis que sois más tontos que todos los niños españoles.</t>
  </si>
  <si>
    <t>Uy, qué gente. No he discutido yo con británicas de estas feas.</t>
  </si>
  <si>
    <t>El Tesco es como el Carrefour de allí. Y además, yo tenía unos grandes de estos que tenían hasta ropa. Yo iba todos los viernes y nos va una tía vieja de estas rubias, morena de haberse venido a la playa de aquí de España, de, de Málaga, y se me cuela.</t>
  </si>
  <si>
    <t>Eran de los mejores padres que yo he tenido. Los peores, los británicos.</t>
  </si>
  <si>
    <t>¿Yo qué le hago? ¿Me meto en lejía? ¿Dejo de mirar al sol durante 3 años a ver qué pasa?</t>
  </si>
  <si>
    <t>Era pura de letras la tía. Pero ciencias, la chiquita no daba pa más. Sacó un 4. Llegó su turno, se lo explicó al padre: Ha sacado un 4, pero vamos a intentar que apruebe para la siguiente y tal. Y le cruzó la cara delante mía a la niña.</t>
  </si>
  <si>
    <t>Cogí a la niña, me la llevé pa atrás, le tiré la mesa encima al deste y le empecé a gritar en español, que porque me cogieron los otros profesores, que me iba a por él. Porque es que era la típica niña de metro 20, metro 30, monísima, que no ha hecho daño a una mosca ni he hecho daño a nadie.</t>
  </si>
  <si>
    <t>Y le quitaron la custodia y se quedaron la custodia los abuelos y luego tardó en venir un par de semanas. La niña estaba de moratones por todo el cuerpo, pero claro, como se lo hacía por debajo de las camisetas, pues ahí no podíamos hacer nosotros nada.</t>
  </si>
  <si>
    <t>Mi subdirector era un señor ex militar retirado con un doctorado en Shakespeare y más rojo que Rojín. Era antimonárquico, lo amaba. Cuando vino la policía dijeron: No, este no ha hecho na.</t>
  </si>
  <si>
    <t>Era antimonárquico, lo amaba. Cuando vino la policía dijeron: No, este no ha hecho na. Por nuestro lado, no hay ningún problema.</t>
  </si>
  <si>
    <t>Dime que te sabes la del alcalde. "Es el vecino el que elige al alcalde y es al alcalde el que quiere que sean los vecinos el alcalde".</t>
  </si>
  <si>
    <t>Hice una carrera de Estudios Hispánicos, por eso hablo español. Aparte de eso, siempre estaba con mis amigos españoles. O sea, estando en Japón, de entre 4 a 7 hablaban en español y era el único japonés en ese grupo hispanohablante.</t>
  </si>
  <si>
    <t>Me encanta. Amaral me parece la mejor artista de España.</t>
  </si>
  <si>
    <t>De hecho, hay un vídeo en el que hacen como experimento social. Si haces como este, este gesto y como si estuvieras disparando, a los de Osaka hacen: ¡uh! Y si lo hicieras con los de Tokio, te dirían como: "¿Qué estás haciendo?"</t>
  </si>
  <si>
    <t>Sí, la verdad es que sí. Todo el mundo está metido en el tema de animes y viene aquí comprando figuras y todo eso. A mí me parece bien, pero que es raro.</t>
  </si>
  <si>
    <t>Sí, hicimos fotos y tal, ¿sabes?</t>
  </si>
  <si>
    <t>El primer día que aterricé, me vino a buscar la profesora con la que trabajé en el colegio al aeropuerto y me dijo: Asegúrate de tener amigos españoles, porque si no, no vas a salir de tu casa.</t>
  </si>
  <si>
    <t>En Navidad quisimos hacer como unas guirnaldas para decorar la escuela, ¿no? Y bueno, como somos una asignatura de español, pues queríamos hacer algo, yo qué sé, con Feliz Navidad. Y la profe me dijo: Pues podemos pintar toros.</t>
  </si>
  <si>
    <t>Y te da que pensar: Si se supone que esta separación la hacen porque rinden más o rinden menos, ¿por qué cojones tengo yo niños en clase que son unas bestias estudiando?</t>
  </si>
  <si>
    <t>O sea, que hablan mejor español que yo. ¿Qué haces en esta Stadtteilschule?</t>
  </si>
  <si>
    <t>Como prioridad, me acuerdo un día, que esto fue un poco choque, ¿no? Porque dije: ¡Ay, hijo! Con la clase de los chiquitos, de 12 años. Un niño me vio y me dijo: ¿Está usted casada? No, hombre, no, no estoy casada, que soy joven.</t>
  </si>
  <si>
    <t>Y me dijo: Bueno, es que mi padre me dice que me tengo que casar con una española porque son muy hot, calientes.</t>
  </si>
  <si>
    <t>Si ven que algo te molesta, pues en vez de parar, como son unos chinchones, van a hacerlo más. Pues un mes y pico y ya está. Bueno, nada, si acabé hace poco, hasta una semana antes de acabar hemos estado discutiendo con él por eso.</t>
  </si>
  <si>
    <t>Intentando callarle la boca con el good boy, good girl, pues Pues un mes y pico y ya está. Bueno, nada, si acabé hace poco, hasta una semana antes de acabar hemos estado discutiendo con él por eso. Y él empezó a hacerlo y después empezaron otros también a hacerlo.</t>
  </si>
  <si>
    <t>¿Tú, que tienes amigos españoles que se dedican a lo mismo, esto es algo común? Claro, lo comenté con los que están en el gimnasio y ellos me decían: «Hostia, pues a mí eso no me ha pasao nada.</t>
  </si>
  <si>
    <t>Otras experiencias tendrán, obviamente, supongo. Al final, esto es lo que pasa siempre. Si tú tienes distintos tipos de niños y al final son niños que están repitiendo las cosas que ven en su casa y no los mezclas</t>
  </si>
  <si>
    <t>Hablamos de Alemania. Me río porque es como: «Bueno, todos sabemos la movida, ¿no? Eh, no hace falta mencionar, ¿no? Venga, a Alemania, ¿no?» Dices: «Coño, no hemos aprendido nada, cago en la puta.</t>
  </si>
  <si>
    <t>Algo sí ha mejorao, ¿no? Sí, ahora están en clase.</t>
  </si>
  <si>
    <t>O sea, tú estás aquí porque tú no eres tan listo, entonces. Meritocracia a los 12 años, tócate los huevos.</t>
  </si>
  <si>
    <t>Por ejemplo, en el tema burocrático, estos también le pasan a uno por la cara en Alemania mil veces. O sea, aquí la mayoría de las veces es todo presencial, aun con papeles, o sea, tema de enviar formularios por internet, lo llevan muy regulero.</t>
  </si>
  <si>
    <t>No estamos tan mal. No es que no estemos tan mal, es que estamos bien.</t>
  </si>
  <si>
    <t>Que por mucho que Alemania, pues, tenga el título de Alemania con las letras en oro, no es así. Tiene sus grietas y no funciona, yo creo, tan bien como nos creemos.</t>
  </si>
  <si>
    <t>Mi instituto tiene una gran cantidad de alumnos hispanos y entonces están en el programa de ELD. En cuanto llegan, rellenan un formulario, en su casa rellenan que tienen otra lengua que no es el inglés, se les hace como un test de inicio para ver el nivel que tienen, entonces les ponemos en distintos niveles, yo tengo el nivel más bajito, que es un inglés 0, y entonces pues se les da clases, ¿no? En cuanto llegan, rellenan un formulario, en su casa rellenan que tienen otra lengua que no es el inglés, se les hace como un test de inicio para ver el nivel que tienen, entonces les ponemos en distintos niveles, yo tengo el nivel más bajito, que es un inglés 0, y entonces pues se les da clases, ¿no?</t>
  </si>
  <si>
    <t>Pues el primer día del colegio llegas ahí, yo llevo mi presentación, me presento, hago una exposición, a la mínima que yo, hermosa, acento, ¿no? Y claro, sobre todo el impacto del primer día al segundo día era que, por ejemplo, a primera hora les facilitan el desayuno en la cafetería.</t>
  </si>
  <si>
    <t>Y tienen toda la razón del mundo. Lo que pasa es que eso es por culpa de las películas que hemos visto nosotros que llaman a los yankees todo el rato como americanos.</t>
  </si>
  <si>
    <t>Y pues un día llegó por la mañana y me dijo Miss Fabra como que ¿por qué tenía ella 10 en la tarea? Digo, digo, porque mira, digo, porque llevas toda la semana ausente, este día y este día. Una tarea, la cual tú no estabas, digo, yo te he puesto ausente, tenías un 0, digo, pero si tú hoy quieres hacer la actividad, yo te la doy y la recuperas y tal.</t>
  </si>
  <si>
    <t>Al final tienen que labrarse una vida y su vida está fuera de la escuela. Al final salen de aquí las horas que están hasta las 350 y se van al trabajo hasta las 12 de la noche.</t>
  </si>
  <si>
    <t>Sí, no, no me sorprendió, la verdad. Pero yo cuando vi alguna bolsa así dije que son 2 días de campaña, me refiero. No te da tiempo.</t>
  </si>
  <si>
    <t>En la publi mueve mucha pasta. Claro, hay gente que se le queda todavía el tío, pues yo me meto una por la mañana y me voy a la oficina, ¿sabes?</t>
  </si>
  <si>
    <t>Yo entraba de becario justo en el aniversario de una agencia, alquilaron un bar, lo vistieron todo entre gringo, latino, de este rollito. Y tío, yo, claro, era mi primer día. Yo había trabajado ese día, a las 5 y media había cortado, fui al bar y de repente llegué y el tío que me había contratado Ofreciéndome un globo Así gigante Con un vapor dentro Y yo esto es una cámara oculta ¿Me vas a despedir?</t>
  </si>
  <si>
    <t>Y tío, yo, claro, era mi primer día. Yo había trabajado ese día, a las 5 y media había cortado, fui al bar y de repente llegué y el tío que me había contratado Ofreciéndome un globo Así gigante Con un vapor dentro Y yo Esto es una cámara oculta ¿Me vas a despedir?</t>
  </si>
  <si>
    <t>Eso se hizo viral y todo el mundo, claro, al final los conocemos todos, aunque estéis en agencias diferentes, todo el mundo empezó a hacerse eco, salió hasta en Twitter...</t>
  </si>
  <si>
    <t>Es un máster privado que no existe, no está regulado ni nada. Hay muchas escuelas que lo hacen, está muy guay, es verdad que te enseñan el oficio, pero joder. Después de pagar 4 años de carrera, igual podríamos ahorrarnos, ¿no? Ahorrarnos los cinco mil o diez mil euros que vale ese máster.</t>
  </si>
  <si>
    <t>Que luego parece que todo lo que digo es malo. Gran parte es malo. Pero la industria es muy guay. O sea, si te gusta esto, si te gusta pensar o dedicarte a sacar ideas, que es a lo que al final se dedica un creativo, es muy gratificante, tío.</t>
  </si>
  <si>
    <t>¿Ah, no apuntáis el nombre? No, ya la gracia de apuntarse quito hace tiempo, ahora va todo con etiquetas.</t>
  </si>
  <si>
    <t>De verdad, te lo juro, o sea, llegan, te piden su café latte y ya está, y no te dan por culo Pero es que tengo 3 nacionalidades, les metí a un patadón, tengo top 3 Empezando por abajo, los chinos son unos maleducados Y yo les volví a decir Pero bueno, por lo menos nos han pedido en mi cara que te agradece Eso está bien, eh Luego los segundos, bueno, es que están ahí los portugueses y los italianos</t>
  </si>
  <si>
    <t>Limpiando un vaso, sí. Y se estaban comiendo, literal. Se levanta el chico y se va al baño. 30 segundos, se levanta la chica y se va para el baño. Pasa media hora, me da por preguntarle a mi compañera, oye, ¿tú has visto salir a estos 2 de la tienda? Porque no había nadie, yo salgo al baño de los chicos Pone el código y estaban ahí Pasándoselo súper bien</t>
  </si>
  <si>
    <t>Y el motivo por el que quería lavarse las manos era porque un negrito de la calle le había tocado. Palabras textuales.</t>
  </si>
  <si>
    <t>Y ver la clase de gente que hay, que no tiene respeto. Yo sé que hay muchas veces que la gente lo hace porque no se da cuenta o porque van con prisa a todos lados. Al final te tienes que parar un momento y ver que la persona que te está atendiendo es una persona humana, no es un robot.</t>
  </si>
  <si>
    <t>Yo no sabía que Jerusalén iba a hacer un frío que te cagas. No tenía edredón y me pasé, no sé si te digo, a lo mejor los 6 meses durmiendo en el saco de dormir hasta que no me compré una almohada.</t>
  </si>
  <si>
    <t>Y nos empieza como a dar una vuelta por la ciudad. Pero no sé si es como que te digo que sales con Brad Pitt en Los Ángeles y todo el mundo empieza como a acercarse, a hacerle fotos, a abrazarle a tal.</t>
  </si>
  <si>
    <t>¿Sabes el síndrome de Jerusalén, que es que la gente viene y le da un sentimiento muy heavy de no a Jesucristo? Pues yo creo que le pasa lo contrario, sea, fue heavy metal.</t>
  </si>
  <si>
    <t>Ramadán, Ramadán. Se llamaba Rabadán. Te lo juro por mi madre que se va a Rabadán y era en Rabadán cuando lo conocimos. Era un pesado el tío, que en verdad lo mirábamos con cariño al pobre, pero era un pesado.</t>
  </si>
  <si>
    <t>Evidentemente no es todo el mundo. La gran mayoría de la gente es súper maja.</t>
  </si>
  <si>
    <t>A lo mejor tiraban en un día cinco mil misiles encima de Tel Aviv, que nunca tiran a Tel Aviv. Claro, yo me acuerdo muchas veces que a lo mejor estaba donde mi joyero, porque yo tenía allí un joyero en Jerusalén que el tío estaba pinzado de cojones.</t>
  </si>
  <si>
    <t>Yo no tenía cobertura. Me acuerdo un día que fui para adentro, estuvimos un par de horas hablando, salí, 34 llamadas perdidas, un montón de mensajes, un talillo, ¿qué pasa? Y nada, que habían estado tirando cohetes, que si estaba bien y que si tal.</t>
  </si>
  <si>
    <t>Claro, se te O sea te quedas loco. Es que yo toda la peña que conocía de mi edad es que han tenido que ir.</t>
  </si>
  <si>
    <t>[acaba la conversación]</t>
  </si>
  <si>
    <t>Además, lo que mola es eso. Gracias a la gente que se mete muy de lleno. ¿Se ponen nerviosos? Sí, la gente se pone nerviosa.</t>
  </si>
  <si>
    <t>Niños que dices, joder, es que este niño está pasándolo mal en casa, 100 por 100. Y a los padres esos como que les saben muy mal, en plan rollo, joder, puto niño, tenía razón.</t>
  </si>
  <si>
    <t>Tan rollo comentario de repente. Se pone a subir una corriendo las escaleras, se asoma mi jefe, me asomo yo, sube otra señora y escuchamos cómo está vomitando. Le preguntamos qué ha pasado, porque está vomitando y tal. Se ha emocionado, ha dicho lo de Dios y se ha venido muy arriba. Luego nos enteramos de que eran monjas.</t>
  </si>
  <si>
    <t>Eso es lo peor, eh. Es que es lo puto peor. Porque es que son muy duros. También te digo, cambia mucho si el cani Esto es como un poco Fisiología del cani Si el cani va con grupo de amigos o si va con grupo de amigos y amigas.</t>
  </si>
  <si>
    <t>Como es el recuerdo de tu chiquitilla, y que te diga tu padre, niña, que nos vamos de Albacete.</t>
  </si>
  <si>
    <t>Bajo, y de repente nos recoge un señor, y yo empiezo como a ver todo distinto, en plan, la carretera distinta, las casas distintas.</t>
  </si>
  <si>
    <t>Estuvo en Botsuana. Y yo sí que he mantenido contacto por email. Algún día me gustaría reencontrarme con él.</t>
  </si>
  <si>
    <t>Que te lo explican a ti. Claro, y yo soy catalán.</t>
  </si>
  <si>
    <t>¿Cómo respondes eso? Conforme pasa el tiempo, ciertas civilizaciones se van poniendo una encima de otra.</t>
  </si>
  <si>
    <t>Hay gente que pregunta que si las gárgolas son cañones para disparar.</t>
  </si>
  <si>
    <t>Hay gente que no sabe lo que es Cataluña. Gente de Argentina, México, Colombia. Yo cuando viajo a un sitio, intento mirar un poco dónde voy, ¿no? Hay gente que este paso lo suele omitir y te dice que si Cataluña es la capital de Barcelona.</t>
  </si>
  <si>
    <t>Eres testigo de cosas muy bonitas.</t>
  </si>
  <si>
    <t>Hablas del Raval y te dicen, claro, es que tú esto no lo has vivido, tal, porque tú es que eres muy joven, tú esto no lo has vivido, no sé qué, tal.</t>
  </si>
  <si>
    <t>Vamos a San Felipe Neri, que es una plaza que se ve en las marcas de los bombardeos de la guerra civil. La parte fascista bombardeó y ahí vivían niños huérfanos, refugiados de Alcalá de Henares. Esos niños murieron con los bombardeos.</t>
  </si>
  <si>
    <t>Y te han dicho algo del tranvía, pero ¿cómo le pude pillar?</t>
  </si>
  <si>
    <t>Gente que le dice a su amigo, a su pareja, lo ves.</t>
  </si>
  <si>
    <t>Si es que hasta los mismos padres muchas veces no lo llevan al colegio,</t>
  </si>
  <si>
    <t>De verdad, allí el concepto, vale, hoy toca que me toca las multiplicaciones de un dígito.</t>
  </si>
  <si>
    <t>Tú, 10 minutos menos de recreo, ¿qué te dicen con toda la cara? Ey, que me han castigado también.</t>
  </si>
  <si>
    <t>¿Qué vas a comer? No, es que mi madre no está, llega de trabajar a las 5 y digo, ¿y tú qué vas a comer? Me dice, pues cogeré algo de comer que no sé qué.</t>
  </si>
  <si>
    <t>Que cualquier cosa que te puedas imaginar, te la han contado.</t>
  </si>
  <si>
    <t>Se habla con los padres y se intenta recomendar otro colegio, pero muchas veces son los mismos padres que quieren que el niño esté en el colegio más cercano.</t>
  </si>
  <si>
    <t>Luego van cayendo otras cositas. Zona de bajas emisiones, tendido de fibra óptica por toda la ciudad.</t>
  </si>
  <si>
    <t>Eso no se hace. He tenido que salir fuera a pedirlo. Preguntas a las personas y tienes la información. Cuando yo me vaya, dejar mi onboarding para que el que venga siguiente, que en 2 días de estudio, 3 días de lectura, se pusiera el día de cuáles eran mis planes, puede estar de acuerdo, puede no estar de acuerdo, pero por lo menos que pueda continuar.</t>
  </si>
  <si>
    <t>He salido del notario. Se abalanza sobre mí la señora que trabaja allí. Me coge del brazo. Tú trabajas en el ayuntamiento. ¿Qué concejalía llevas?</t>
  </si>
  <si>
    <t>Hay ocio, tío. La gente se cree que no. El centro está de puta madre. Jaén como destino turístico gastronómico.</t>
  </si>
  <si>
    <t>Le tenían prohibido pasar por las cajas normales porque siempre insultaba y agredía a las compañeras con el bastón.</t>
  </si>
  <si>
    <t>O a algún cliente le he llamado gilipollas y me ha insultado. Ha empezado diciendo: gilipollas, y yo ante todo, soy honesto.</t>
  </si>
  <si>
    <t>Luego el tío, gritándome e insultándome a mí por un envío a domicilio que no había llegado al mínimo, no se le podía hacer. no sé qué.</t>
  </si>
  <si>
    <t>Oye, estoy pasando la compra, yo no te voy a traer otro carro. Me dijo: ah, que no me lo vas a ir a buscar tú.</t>
  </si>
  <si>
    <t>Aquí somos todos iguales. Aquí yo no te voy a tratar ni mejor ni peor. Te voy a tratar como todos.</t>
  </si>
  <si>
    <t>El hombre me hizo llamar a la encargada. le dijo como que la obligación del supermercado era formarme antes de ponerme en la caja y que si no servía para estar ahí, que me fuera.</t>
  </si>
  <si>
    <t>Las veces que me decís sí, digo oui, oui, oui.</t>
  </si>
  <si>
    <t>Era más porque se la sudaba todo, él lo que quería era dejar el colegio, pero no le dejaban.</t>
  </si>
  <si>
    <t>¿Y los niños conocen el lore? Los niños saben que nos conquistaron, sí.</t>
  </si>
  <si>
    <t>Son chavales, entonces yo intentaba encontrar puntos en común con ellos. Y a mí los videojuegos me gustan mucho. Y digo, pues mira, yo juego un poco de todo. Me gusta mucho Assassin's Creed. He jugado al LOL. Me mira fijamente y me dice, ¿tú has jugado al LOL? ¿Tú no tienes novio, ¿verdad?</t>
  </si>
  <si>
    <t>Me pongo en lo peor porque prefiero ponerme en lo peor y luego que las cosas mejoren y no tener que avisar a la vía escolar, que era por así decirlo como los del control del colegio o a la dirección.</t>
  </si>
  <si>
    <t>Habían unos que eran en la planta baja. Me da miedo lo que me pueda encontrar en este baño.</t>
  </si>
  <si>
    <t>Entonces se nota ese déficit de atención. Se nota mucho, mucho.</t>
  </si>
  <si>
    <t>Los alemanes son gilipollas perdidos, lo siento mucho. Literalmente, vas en el metro, te miran así, súper serio, como que les miras de vuelta y te siguen mirando.</t>
  </si>
  <si>
    <t>Agradecimiento a la interiorista, maravilloso. Y luego tiene un dragón que escupe fuego, que dices, ¿qué cojones?</t>
  </si>
  <si>
    <t>Le digo, ¿vas a dejar propina? Y yo, sí. Y le digo, pues si tienes para dejar propina, tienes dinero para pagarte otra.</t>
  </si>
  <si>
    <t>Los locales que han sido toda la vida para nosotros, en plan la Vía Láctea, por ejemplo, mi madre conocía la Vía Láctea o el Chapandán.</t>
  </si>
  <si>
    <t>Vi una polla meando y lo sacó el de seguridad.</t>
  </si>
  <si>
    <t>La peña yo creo que se va orgullosa de lo que ha hecho. Nada de me voy a ir corriendo, no, no.</t>
  </si>
  <si>
    <t>Y luego tiene unas piscinas interiores y unas piscinas exteriores que solo salen en verano, que verano es duro.</t>
  </si>
  <si>
    <t>O sea, en plan rollo Pero así basto que dije, joder, para hacer una zona pija, igual no son tan modositos, fue en plan, llego al baño, unas bragas en el suelo, en plan rollo extendidas, había un poco de sangre y no sé por qué, pensé</t>
  </si>
  <si>
    <t>Y pasa mucho en los váteres que si tú tiras una vez de la cadena, hace como el y luego vuelve a subir un poco, ¿vale? Entonces se queda un poco elevado el nivel del agua.</t>
  </si>
  <si>
    <t>Disculpe, es que ese cubo es de agua limpia.Y me dice, no, no, si el agua está limpia.</t>
  </si>
  <si>
    <t>Pero que digas: joder, yo llego a mi trabajo. no llego con ganas de morirme. no salgo con ganas de morirme. salgo con ganas de mi tiempo libre y gestionarte, tío, y gestionarte luego ya.</t>
  </si>
  <si>
    <t>Tiene medio comprado el Georgie, la empresa entera.</t>
  </si>
  <si>
    <t>Estar en una playa de puta madre, le echas una foto a la playa porque hay una puesta de sol impresionante, no hay ningún tipo de problema. Cada uno es libre de hacer lo que quiera como quiera.</t>
  </si>
  <si>
    <t>Llego y tenían el cable de fibra quitado del router.</t>
  </si>
  <si>
    <t>Ese hombre, por ejemplo, lo último que había buscado era, ¿qué es el kissing en el sexo?</t>
  </si>
  <si>
    <t>Y tú decís que también que te pidas una hamburguesa de queso sin cheese y sin onion, que es algo que nunca entenderé del mazón.</t>
  </si>
  <si>
    <t>Y oigo una voz por detrás que le dice, pero para aquí no le digas que fuiste a orinar.</t>
  </si>
  <si>
    <t>Típico de te mandan un mensaje, tu le das. Eso todavía es fácil, relativamente fácil de evitar, pero ya cuando te mandan un mensaje que te viene desde el número de teléfono de tu banco. Igual que el de tu banco, sin faltas de ortografía raras, que antes las descubríamos por eso.</t>
  </si>
  <si>
    <t>Me daba una pelita cada vez que llamaba alguno con eso. La gente que necesita la renta extra de inclusión, porque pobrecito, tendrán para sobrevivir los gustos. Y encima les roban.</t>
  </si>
  <si>
    <t>Venga, muy buenos días. Y creo que sí, que en los hospitales se puede acceder en silla de ruedas.</t>
  </si>
  <si>
    <t>Normalmente las ofertas que había eran bastante buenas, pero sí que te ibas diciendo, joder, esta señora me ha llamado por lo de Nefertiti y le he hecho un contrato de luz totalmente innecesario, ¿sabes?</t>
  </si>
  <si>
    <t>¡Hola!</t>
  </si>
  <si>
    <t>También ves lo contrario, ves que la sociedad tiene mucha más cohesión, o sea, todo el mundo se conoce.</t>
  </si>
  <si>
    <t>Un día le pasa algo a Eugenia y viene la del tercero y le dice, sí, pues es que lleva 3 semanas que no sé qué. A mí me pasa algo en mi casa y yo no con mis vecinos.</t>
  </si>
  <si>
    <t>Sí, pero también es brutal trabajar la cohesión con tu familia, con tu círculo de amigos, de amigas.</t>
  </si>
  <si>
    <t>Hago letras, descubrí que había una carrera en Granada, que es lengua moderna, que es la edad japonesa. Y cuando terminamos dijimos, hostia, es que el año que viene como que no queremos hacer un máster.</t>
  </si>
  <si>
    <t>Que aquí la gente dice, tienes que ver las luces y sombras de Japón porque no sé qué. Está la de Iman que está tumbado perdido.</t>
  </si>
  <si>
    <t>Y te lo enseñan así, en plan, así como por debajo, rollo, tu cobra esto. Y yo en plan, niño, que eres un niño de 10 años, ¿sabes lo que te digo, hermano?</t>
  </si>
  <si>
    <t>No, pero en verdad ha sido un accidente. Aunque la niña la estuviese moliendo a hostias.</t>
  </si>
  <si>
    <t>Mira por detrás. Hay mucha gente que lo revende por internet porque los fanáticos de Disney lo compran. Todos los meses Disney saca lotes de como 15 o 20 pins.</t>
  </si>
  <si>
    <t>Es verdad. Yo he estado en restaurantes franceses y todo, comiendo gastronomía allí. Yo he hecho el intento y no está mal.</t>
  </si>
  <si>
    <t>Y ese era mi objetivo, que la gente fuera a la vivienda e intentar vender alarma.</t>
  </si>
  <si>
    <t>Como no me lo pongo en el hombro y empieza a vender cupones, tío. Pues llamé al Seprona.</t>
  </si>
  <si>
    <t>Me quitaron hasta el rollo del papel de datáfono.</t>
  </si>
  <si>
    <t>Por ejemplo, en Torremolinos, yo soy gay. Cuando veo a alguien muy Este no le gusta a Pedro Sánchez, pues yo soy de VOX. Cuando veo a uno que digo, mira, este es un poquillo perro flauta, pues yo soy republicano a muerte, ¿sabes?</t>
  </si>
  <si>
    <t>A mí fue un salvavidas económico. De hecho, estoy terminando un máster habilitante para lo mío, que es psicología, y deseando estoy de soltar esta mierda.</t>
  </si>
  <si>
    <t>En el momento en el que ven edades bajas, grupo de amigos y empiezan a ver, uy, esto huele a despedida soltera, por ejemplo, no aceptan.</t>
  </si>
  <si>
    <t>Aparte de que el turismo se ha cargado la típica experiencia digamos de un bar en Sevilla, un bar en Sevilla la gente se pedía una caña y se la bebía de pie en la puerta. Eso ya es inviable.</t>
  </si>
  <si>
    <t>Tenía un compañero, me hizo un tour por el barco, señalándome todos los puntos donde había tenido sexo con pasajeros. Todos eran gays.</t>
  </si>
  <si>
    <t>Es así, o sea, les encanta montar un escándalo, les encanta hacerse notar borrachos.</t>
  </si>
  <si>
    <t>Era un campamento urbano en el que yo tenía niños de segundo de primaria, en el cual había un niño que su madre trabajaba en el colegio. Pues a ese niño, como la madre trabajaba en el colegio, no se querían juntar con él jugar con él, luego además en ese colegio yo tenía por contrato que yo no podía ni rezañar ni castigar ni quejarme a los padres</t>
  </si>
  <si>
    <t>Me pidió ayuda para traducirle, para contactar con el taller, para saber dónde tiene que llevarlo, a qué hora podía llevarlo, etcétera, ¿vale?</t>
  </si>
  <si>
    <t>Y le digo, le comento al cliente. El viernes a la tarde va a ser listo.</t>
  </si>
  <si>
    <t>Eso es una cosa que tenemos en común los españoles y los irlandeses, odiar a los ingleses.</t>
  </si>
  <si>
    <t>Porque llevan bebiendo desde las 5 de la tarde y no se controlan.</t>
  </si>
  <si>
    <t>Yo me levantaba a las 4 de la mañana y volvía a las 8 de la tarde a casa.</t>
  </si>
  <si>
    <t>Cuando te vas a un sitio extranjero, lo primero que te dicen es no bebas el agua del grifo, porque no estás acostumbrado, Cuando te vas a un sitio extranjero, lo primero que te dicen es no bebas el agua del grifo, porque no estás acostumbrado, te dicen</t>
  </si>
  <si>
    <t>De hecho, una anécdota que tuve, 3 de la tarde, estaba echándome un cigarro abajo, estaban todos los monos jugando, tal, no sé qué, y yo así de lejos, un poco, como a 5 o 10 metros, y de repente estaban 2 monitos pequeños jugando.</t>
  </si>
  <si>
    <t>No digo todo el mundo, por supuesto, pero muchas veces los comerciantes piensan, oye, voy a intentar encasquetarle y están en todo su derecho.</t>
  </si>
  <si>
    <t>Cogen y delante Cuando ya les está mirando todo el mundo Después del espectáculo, cogen las botellas de champán Cogen una palangana y empiezan a volcar las enteras Dentro de la palangana Y luego nos van a beber, se las llevan y las tiran Chulería pura Cuando ves esto comparado con la realidad que existe en la calle Nos quedamos flipados cuando llegamos el primer día que salimos</t>
  </si>
  <si>
    <t>Y, por ejemplo, los matrimonios concertados aún existen. Es algo que siempre se ha parodiado en prácticamente casi todas las comedias americanas y británicas.</t>
  </si>
  <si>
    <t>Hablan muy bien inglés, o sea, realmente es idioma oficial también a nivel nacional, entonces es algo que está bastante extendido.</t>
  </si>
  <si>
    <t>There are places that everyone goes to, and I'm genuinely curious to know the details about the types of people who visit MediaMarkt.</t>
  </si>
  <si>
    <t>I've worked at MediaMarkt for about two and a half years. Luckily, or perhaps unfortunately, I was assigned to the store in Málaga city centre, specifically in Vialia, which gets a huge amount of foot traffic and attracts all sorts.</t>
  </si>
  <si>
    <t>And on top of that, I had the gaming section, especially the keyboards and mice, where all those typical kids would come to mess around with them.</t>
  </si>
  <si>
    <t>Then, the child walks through the door, passing by and saying, "Who's got the hot potato?" Because you can imagine, dealing with that kid was quite something.</t>
  </si>
  <si>
    <t>"When I asked him which bank it was, he immediately started getting agitated: 'And why do you need all that information?' He was shouting right there in the middle of the shop, getting really aggressive.</t>
  </si>
  <si>
    <t>"So, how do you deal with situations like that? You have to come up with whatever you can think of because the guy is completely out of control, acting like a madman, and all you want to do is get out of there as quickly as possible.</t>
  </si>
  <si>
    <t>"At the shop, they'd tell you that they didn't give refunds for that type of product. But, of course, when a customer comes in like that, completely distraught, you don't want them causing trouble in the shop all day, so all you want to do is get rid of them."</t>
  </si>
  <si>
    <t>People try to haggle with you, thinking that if they buy two laptops, they'll get a discount. It's as if they think I'm the owner of the shop. Listen, if I buy these two laptops, what price will you give them to me for?</t>
  </si>
  <si>
    <t>I was completely taken aback. I saw the security guard get up and immediately stop the escalator. Then I saw an elderly man sitting on the floor next to the guard, bleeding profusely. I went into the small room and started getting saline solution. I began cleaning his wounds to see what his face looked like. His face was a mess.</t>
  </si>
  <si>
    <t>The one who ends up getting stressed is me, because imagine you use someone else's ID, you process a funding application, and if, by chance, it's approved, the person who actually deserves it is the one who gets into trouble.</t>
  </si>
  <si>
    <t>Right, for me, it's upsetting. I've always found that kind of thing very impactful – the child wanting something just to be difficult, and the father having to buy it because otherwise the child will throw a tantrum and cause a huge scene. If that were my father, he would have given me a good smack.</t>
  </si>
  <si>
    <t>"He had stolen a Nintendo Switch, PlayStation controllers, and, roughly speaking, goods worth almost six thousand euros from the store. That cheeky bloke clearly got fed up with stealing from us there, and he probably wanted to make it a bit harder for us.</t>
  </si>
  <si>
    <t>"I wasn't representing Apple, or going around with the Samsung team, or with the Xiaomi team. I was just doing my own thing."</t>
  </si>
  <si>
    <t>At one point, he said to me, "Well, if it comes down to it, things will escalate." I got really angry, I slammed my hand on the table, and I said, "Listen, I don't want to deal with you or the nonsense you're spouting."</t>
  </si>
  <si>
    <t>Today, we're going to talk about that supermarket where you used to go shopping about a year ago because it was cheaper than [another supermarket name]. Now, it's more expensive than anything!</t>
  </si>
  <si>
    <t>The truth is, the atmosphere was really lovely, and I felt incredibly comfortable and at ease working there.</t>
  </si>
  <si>
    <t>I've never worn a more comfortable uniform in my life. You know, it has a reputation for being ugly. No, it's really ugly, to be honest.</t>
  </si>
  <si>
    <t>You shouldn't feel embarrassed to ask questions, because people will ask you all sorts of silly things, so you have to be completely open and honest.</t>
  </si>
  <si>
    <t>The manager on duty that day went upstairs to check, to make sure everything was alright, and then came down and said to me: "Bloody hell, I stepped in something awful, but it felt like someone had gone to the toilet in the entrance hall and then hopped around.</t>
  </si>
  <si>
    <t>So, if someone steals something, you know they've done it, and you see them the following week, and you think: \"Be careful with this one, they might cause trouble here</t>
  </si>
  <si>
    <t>"One day, a man came in and said, 'Someone has just stolen something from between the boxes. He crawled along the floor behind the boxes and made off with it while stealing.'</t>
  </si>
  <si>
    <t>One day, something similar happened to me. Someone tried to distract me from behind. They actually did it with their backside, because I didn't even turn around.</t>
  </si>
  <si>
    <t>I know there are people who are going to steal milk, a packet of pasta, rice, water, and so on. Well, frankly, you don't care.</t>
  </si>
  <si>
    <t>"There was a gentleman packing his things while talking on the phone with one hand, and then calmly putting them away with the other. And there was another gentleman behind him, who I suppose didn't have as much patience: 'You idiot, you fool.'"</t>
  </si>
  <si>
    <t>At that moment, there was a woman who was practically on her own, and, honestly, it affects you a little because you feel sorry for her, but we're there, doing our job.</t>
  </si>
  <si>
    <t>I don't understand this mindset we have that Mercadona is cheap, because they don't really offer any discounts.</t>
  </si>
  <si>
    <t>This time, we're visiting one of my favourite regions, the land of fish and chips, of those people with that distinctive look, those folks that everyone talks about in their own language, but who don't speak anyone else's language. Let's find out what England is really like.</t>
  </si>
  <si>
    <t>I didn't enjoy the PhD programme because everyone was in a precarious situation, feeling lost. There was this young woman who finally graduated at the age of 35, because her parents had finally let her move out, and I thought, 'No, this isn't for me.</t>
  </si>
  <si>
    <t>I was a teacher of Biology, Physics, and Chemistry, covering the equivalent of Year 8 to Year 13. The best of each subject, so to speak. That's all there is to it.</t>
  </si>
  <si>
    <t>Honestly, my God, I had a couple of brothers who were taking classes from me, and of course, they didn't know any English, so they couldn't manage. Because I was a really friendly and helpful teacher, the deputy headmaster said to me, 'Listen, why don't you give them the exams, and translate them for them?' So I'd just tell them the answers, you know.</t>
  </si>
  <si>
    <t>"The problems are marked out of points. If you do something, you get a point. If you do something else, you get another point. They mark it all very meticulously."</t>
  </si>
  <si>
    <t>"Don't worry, it's just that they were all taller than me, which is normal, I suppose. They also found me quite amusing, and I would pretend to be angry.</t>
  </si>
  <si>
    <t>"My friend's kids are laughing a lot. 'So, what now, eh? You were going on and on about how much you loved it there, how polite everyone was. Here you go.'"</t>
  </si>
  <si>
    <t>"I've never had a row with any ugly British women. They used to sneak into Tesco, you know."</t>
  </si>
  <si>
    <t>"And I also had a family from France. I'm going to defend the French. The French were very considerate. They look out for each other a lot, like a collective mind.</t>
  </si>
  <si>
    <t>Sometimes, the headmistress and my head of studies have had a go at me. Please, it's obvious you're Spanish.</t>
  </si>
  <si>
    <t>We used to have an evening event organised by the parents' association at the end of each term. It was a bit like an assembly line. We would stay in our seats, and the parents would come by in shifts. It was this young girl's turn, and she was studying humanities.</t>
  </si>
  <si>
    <t>It was her turn, and she explained it to the father: "She got a 4, but we're going to try to help her pass the next one." Then, she crossed her face in front of me, and the little girl looked upset. I felt a wave of anger wash over me.</t>
  </si>
  <si>
    <t>She had the audacity to hit her daughter in front of a teacher. She was completely drunk.</t>
  </si>
  <si>
    <t>"No, in the end, my deputy head and my head teacher defended me. Two absolutely brilliant guys.</t>
  </si>
  <si>
    <t>My deputy director was a retired military officer with a PhD in Shakespeare, and he was very, very left-wing.</t>
  </si>
  <si>
    <t>"My favourite line would be: 'What we have done, something you didn't do, is deceive people.' It's just brilliant, honestly, mate."</t>
  </si>
  <si>
    <t>"Mate, who taught you Spanish so you could speak it so well?"</t>
  </si>
  <si>
    <t>Do you like Spanish music? Yes, Canto del Loco, Amaral, La Oreja de Van Gogh. This is really good, mate.</t>
  </si>
  <si>
    <t>Most comedians are from Osaka, so they're known for being quite cheeky.</t>
  </si>
  <si>
    <t>"As a Japanese person, don't you think it's a bit strange that practically everyone seems to have a negative opinion of Japan?"</t>
  </si>
  <si>
    <t xml:space="preserve">Actually, in 2022, when the Olympic Games were held here in Japan, I saw Kureha, and I said one of Mariano Rajoy's phrases to her. And she burst out laughing.
</t>
  </si>
  <si>
    <t>"For them, the idea of Spain is all about beaches, sunshine, sangria, paella, and bullfighting. So, if you show them a picture of Asturias or Galicia, they'll say, 'No, that's not Spain.'"</t>
  </si>
  <si>
    <t>"So that they then come to Mallorca, buy their houses, and there's a whole neighbourhood in Mallorca where everything is written in German. I hate to say it, because I say, "Come on, no, those are stereotypes, let's break the stereotypes," but it's just the way it is.</t>
  </si>
  <si>
    <t>And then, my colleagues who work in the Gymnasium told me, "Oh, all my students have eight German surnames." "Bloody hell," I said.</t>
  </si>
  <si>
    <t>"It really makes you think: If the point of separating students is supposed to be about their academic performance, whether they're doing well or not, then why do I have students in my class who are absolute geniuses? Students who are just incredibly bright, real whizzes."</t>
  </si>
  <si>
    <t>"The thing is, kids are full of surprises."</t>
  </si>
  <si>
    <t xml:space="preserve">"One child saw me and said, 'Are you married? Do you have a partner? Well, I don't care. You're in Spanish class.'"
</t>
  </si>
  <si>
    <t>And I said, "But how dare you call a teacher that? Don't you even think about calling me that, I'm not a dog."</t>
  </si>
  <si>
    <t>"If they see that something bothers you, instead of stopping, these cheeky people will just do it more."</t>
  </si>
  <si>
    <t>Well, nothing much, but I only recently finished, and even up to a week before I finished, we were still arguing with him about it. He started it, and then others started doing it too. And of course, it's like stupidity is contagious.</t>
  </si>
  <si>
    <t>"Of course, I mentioned it to the people at the Gymnasium, and they told me: 'Wow, that hasn't happened to me at all. Imagine having your child and then getting slapped in the face with an open hand, or something like that,' they said.</t>
  </si>
  <si>
    <t>When you put troublemakers together with troublemakers, all you're going to get are problems. It's a system of segregation, it's unbelievable.</t>
  </si>
  <si>
    <t>"I laugh because it's like: 'Well, we all know what's going on, right? No need to mention it, right? Come on, let's go to Germany, right?' You say: 'Damn, we haven't learned anything, I'm so frustrated.'"</t>
  </si>
  <si>
    <t>Whether you approach it from the angle of: "Well, of course, it's a *statute school*, so you're not that bright, are you?" You're already categorising the child a little bit, aren't you? I mean, you're here because you're not that bright. Meritocracy at 12 years old? Don't be ridiculous.</t>
  </si>
  <si>
    <t>"When I came here, I had a very idealized view of Germany, because they paint a very rosy picture. They tell you you'll easily find a job because there's a lot of demand, and all sorts of other things.</t>
  </si>
  <si>
    <t>What I find amusing is that they then treat us as if we're the last people on Earth.</t>
  </si>
  <si>
    <t>"And, well, that's the thing – not everything that glitters is gold."</t>
  </si>
  <si>
    <t>"It was a shock, but not too much because I'd lived abroad before, and I speak English well, so it wasn't too difficult for me to adjust. Also, my school back in Spain was very chaotic; things were constantly changing from one day to the next, so the organisation was practically non-existent. That's what I found most difficult."</t>
  </si>
  <si>
    <t>"And on the first day of school, well, of course, you're thrown in at the deep end and you have to put on a show, pretending everything's fine. You can't let on that you're struggling, not even for a second."</t>
  </si>
  <si>
    <t>"Let me interrupt for a moment. I experience the same thing because I say 'America.' Actually, I'm referring to Americans. And then people from Latin America say, 'Excuse me, but you're a complete idiot because America is everything, not just those bloody Yankees.'</t>
  </si>
  <si>
    <t>"It's true that last year, she was a student who was constantly challenging me. I would assign a task, and she would always argue about something, I don't know what. And on top of that, she was a student who was frequently absent. I had already had a few disagreements with her, and she would always argue with me."</t>
  </si>
  <si>
    <t>"What I was saying earlier is that my perspective has changed a bit, particularly regarding grades. It's because you really see the backgrounds of everyone, and what you realise is that this [grades] isn't important to them.</t>
  </si>
  <si>
    <t xml:space="preserve">"There have been many deaths like that, from fights in the street, because of an argument, sometimes coming out of a bar, and then *bang, bang* – in the end, someone's dead because they pulled out their weapon."
</t>
  </si>
  <si>
    <t>When you run a campaign, obviously, you always try to get content creators or celebrities involved, whether it's a footballer or a musician. For a campaign we did with Exhibit, a very famous rapper who's also known for modifying cars, we did a really cool campaign with him. He was a lovely guy, really charming, but, honestly, he asked us for a bag of marijuana.</t>
  </si>
  <si>
    <t>Right, well, the thing about drugs in the advert is quite interesting, isn't it? Honestly, you don't really understand how it works until you meet people who are genuinely using it every day. A lot of people just think they're rock stars.</t>
  </si>
  <si>
    <t>One thing that became very clear to me, and I think people often realise this as they get older, is that in this world, everyone is using something.</t>
  </si>
  <si>
    <t>"I started as an intern just as an agency was celebrating its anniversary. They rented a bar and decorated it with all sorts of things – American, Latin American, that kind of vibe. And, you know, it was my first day."</t>
  </si>
  <si>
    <t xml:space="preserve">
I used to work in a building, at a multinational company. They put out a statement – a really posh agency, full of people obsessed with making money, and they acted like they were the best. But there was this incident, you know, something happened outside the toilet.</t>
  </si>
  <si>
    <t>And what really annoyed me when I first entered the industry is that it feels very class-based. Not just because of who you work with and all that, but also because of access. It's frustrating. If you live in Madrid or Barcelona, which is where everything is, when you have to come here, you have to do the master's degree, which, by the way, is a master's degree that seems to have been pulled out of thin air.</t>
  </si>
  <si>
    <t>It's not just about being the most talented, having the best ideas, or being the best at design or writing. You either need financial support from your parents, or you need to be really driven and willing to work hard. You have to work weekends doing other things, find freelance work on your own, get paid "under the table," and just generally hustle to make ends meet.</t>
  </si>
  <si>
    <t>"Hi, my name's Claudi, and yes, I work at Starbucks, where you pay €37 for them to make you a coffee and call out your name. And on top of that, they don't even write it down anymore."</t>
  </si>
  <si>
    <t>Okay, I'm going to open a melon. In your videos, you criticise the French a lot. But today, I'm here to defend them, mate. They're the least intrusive.</t>
  </si>
  <si>
    <t>It was in the morning, but I'm telling you this at 7:30. We saw a young girl and a young guy walk in. They went and sat at the bar and started getting all affectionate, giving each other proper kisses, and we were just thinking, "Okay, fine."</t>
  </si>
  <si>
    <t>So, of course, a woman suddenly came up to the bar and said, "I want a complaint form, you have a broken soap dispenser." And, naturally, we started talking to her. I told her, "You can use the bar here to wash your hands, it's no problem." But she kept insisting, "No, no."</t>
  </si>
  <si>
    <t>"Honestly, in those two years I was there, I was a completely different person. I was miserable day after day. It really takes a toll on you when people treat you so badly.</t>
  </si>
  <si>
    <t>So, I went to look at some flats, and they were all awful – basically, damp, cramped one-bedroom places. And they were charging a thousand euros each. I managed to get the people at the student accommodation to feel sorry for me. There might be a place available, but you'd have to share with five Israelis. I'm just grateful to have somewhere to stay.</t>
  </si>
  <si>
    <t>He led us to a room, where there was a group of about 10 men sitting around. He sat us down and told us to ask anything we wanted. We spent about two hours talking about Islam, asking him questions, and discussing his views on heaven, Islam, and Christianity. We asked him about various things we had heard, and what he thought about them. Of course, we left with this guy; we had spent two hours chatting, and I even have a Polaroid photo of us all.</t>
  </si>
  <si>
    <t>There was this girl, she was from the UK, and her family was incredibly religious, like, extremely religious, Protestant. The typical thing, you know, skirts down to her ankles, she'd never done anything with anyone before.</t>
  </si>
  <si>
    <t>"And what about Cairo? It's really beautiful, like you said, with those pyramids. Wow, it's probably the most impressive thing humanity has ever created.</t>
  </si>
  <si>
    <t>"We did a 14-day trip. We were in Urgeada, and there was this really random guy who started following us. I can't even remember his name.</t>
  </si>
  <si>
    <t>Yes, it's true that perhaps when dealing with Israelis, and obviously I have many friends there, some of whom are Jewish but not Israeli, and everything is fine, they're good people, but it's also true that perhaps the general feeling, especially at first, was that they were sometimes... not disrespectful, but they did seem to look down on things a bit.</t>
  </si>
  <si>
    <t>"I left Jerusalem in July 2023, and there was a lot of very intense tension. They might launch five thousand missiles at Tel Aviv in a single day, which they never usually do."</t>
  </si>
  <si>
    <t>"Of course, I remember many times when I might have been at my jeweller's. I had a jeweller in Jerusalem, and the guy was a real character."</t>
  </si>
  <si>
    <t>"Keep in mind that military service is compulsory for both men and women. It's like, imagine giving an 18-year-old a rifle – an AR-15, for example – and telling them, 'You're going to put on this uniform, and you're going to stand there like a rooster, in front of all your mates, defending the promised land because you're a messenger of God.'</t>
  </si>
  <si>
    <t>At the checkpoints, of course, everyone was around my age, and it's not like military service in Finland. Yes, yes, it's not the military. Basically, they pick you up and send you to Lebanon.</t>
  </si>
  <si>
    <t>"It's funny because I used to work at another scare attraction. I saw an advertisement on Instagram for an escape room that I had played before, and I thought, 'Well, why not give it a go?'"</t>
  </si>
  <si>
    <t>"And, what's great about it is that. Thanks to the people who really get involved."</t>
  </si>
  <si>
    <t xml:space="preserve">But what I find most amusing, and I put "amusing" in quotes, are the families. That's where things get really interesting.
</t>
  </si>
  <si>
    <t>"There's a body, or something like that, I don't know how many there are. We have to get rid of the little worms [referring to evidence or clues]. There's a key moment, a tense one, and my colleague, or we do it like this, plays the role of the "bad cop" and says, "Right, I'm sending you all to your maker."</t>
  </si>
  <si>
    <t>You're watching the escape room, and you can see all sorts of people, but what's it like when "chavs" are involved? A group of "chavs" are there.</t>
  </si>
  <si>
    <t>"When I was 12, my dad was looking for a job, and you know how it is – you apply for everything to see what comes up. He got offered a position and said, "Well, I suppose we have to give it a try." What kind of job was it? It was as a bridge engineer. Wow, that sounds like a tough job.</t>
  </si>
  <si>
    <t>There was this person who hadn't been to Albacete, and they found themselves on a 12-hour flight completely full of Vietnamese people. And, well, I, of course, had probably seen very few Vietnamese people in my life. I was just completely fascinated listening to them talking.</t>
  </si>
  <si>
    <t>Is your teacher still there? I think he's probably retired now, because he worked for a very long time, at loads of different schools all over the place.</t>
  </si>
  <si>
    <t xml:space="preserve">It's like a lovely, fantastic image: you think, 'Look how great, how eager this man will be to listen to me.' And then, of course, the husband is probably the one who does most of the talking. He's a real chatterbox
</t>
  </si>
  <si>
    <t>"Once, I saw a woman staring at the glass. She grabbed my arm and asked me why the Romans built downwards. Everyone burst out laughing."</t>
  </si>
  <si>
    <t>Okay, so there were the gargoyles on the churches, you know, like that. There's a church in Barcelona called Santilli Pereri, which is a beautiful church, that was bombed during the Civil War.</t>
  </si>
  <si>
    <t>A lot of people think that here in Spain, we're taught from a young age that Columbus was the saviour, and all that kind of thing. But when they come here, I believe that, in good faith, they genuinely want to completely change that perspective.</t>
  </si>
  <si>
    <t>Parents or mothers who come to Barcelona to see their child are often taken on a tour, and perhaps haven't seen their child for a year. They're excited because they see what their child has achieved and that they're in a great place.</t>
  </si>
  <si>
    <t>There have been thefts on these tours. That's another issue we can discuss.</t>
  </si>
  <si>
    <t>It's a bit frustrating because ultimately, you want to create an engaging tour in two hours, explaining the history of Jews and Christians, or anything else, and people will look at you and think, "Oh, but he's a young Catalan separatist," and it's a little difficult to shake off that label.</t>
  </si>
  <si>
    <t>But is Antonio Gaudí still alive? Seriously, someone actually asked me if he was still alive.</t>
  </si>
  <si>
    <t>One of the things I like is the "historical know-it-all." I always associate them with cathedrals. They're like a magnet for these people who stand in front of a facade and say things like, "This is Romanesque, this is Gothic, this has everything."</t>
  </si>
  <si>
    <t>"Later, you find families who are, let's say, more conventional, who are looking for the best possible education for their children, but they end up in these schools, where there's this stark contrast between incredibly well-behaved and well-presented children. There's no in-between."</t>
  </si>
  <si>
    <t>At home, they receive no education; they have no boundaries whatsoever. Then they arrive at school, and one teacher tells them, "Sit down, take out your book," and they see it as, "I'm here because the law forces me to be."</t>
  </si>
  <si>
    <t>The priority in schools like that is to ensure the child is there from 9 to 2, and that nothing serious has happened, that the children leave school happy.</t>
  </si>
  <si>
    <t>Did the older kids ever tease you? They tease you knowing they're teasing you.</t>
  </si>
  <si>
    <t>"I often walk home with children because I pass through the neighbourhood. And the child comes along, says goodbye to the teacher, and goes into their house, which is a ground-floor flat with the door open."</t>
  </si>
  <si>
    <t>Then, a group of fifth-grade students walks by – they were probably on their way to PE or something. This kid, someone I don't even talk to, says to me, "You should put your phone away." I was completely taken aback. Not because I thought someone was going to steal it, but because of how casually he suggested it. It's like he's so used to the idea of theft that he feels the need to warn someone. "Put it away," he says, "because someone's going to steal it, you know."</t>
  </si>
  <si>
    <t>"The thing is, they don't like school. I can imagine one of those kids saying, 'I want to study a degree,' and the parents saying, 'But you're an idiot, as soon as you're old enough, you're going to start working with me.'"</t>
  </si>
  <si>
    <t>It was a huge exaggeration, but families sometimes have to move out of the neighbourhoods because they're having problems. It's not the children, but the parents who are having issues with other families. And they change schools, so the child, who has already learned a certain amount, essentially has to start all over again.</t>
  </si>
  <si>
    <t>"Does it require some kind of educational method to at least save a few from that mess, or do we have to just accept it? Is it the case that if you're born in a certain place, you're doomed?"</t>
  </si>
  <si>
    <t xml:space="preserve">That he cheated on me, well, he's a jerk, he ran off with three girls from the same class, he went off with the girl from the fifth grade and the youngest boy. These things happen in school.
</t>
  </si>
  <si>
    <t>I had a really big problem with a parent, but it wasn't during a tutoring session. Because parents often seem to be looking for trouble.</t>
  </si>
  <si>
    <t>"My goal for these years is to be able to say that there are fewer unemployed people because the employment initiatives have helped to connect people with jobs. There's one company, and someone who needs a company... just that would be enough to fill my working week, I think."</t>
  </si>
  <si>
    <t>"I'd love to experience the kind of onboarding process you get when you join a company – that comprehensive introduction. Having a record of all the projects, what needs to be done, what's left to do, and the budget you have available... that would be fantastic."</t>
  </si>
  <si>
    <t>Tell me some stories, mate. Imagine your neighbour from next door suddenly starts giving you a really passionate kiss, and you're completely taken aback.</t>
  </si>
  <si>
    <t>Here, you still get that feeling of a neighbourhood, a community. I know the neighbour opposite, the one next door, I don't know, just a lot of people. That kind of thing doesn't exist in Madrid. And it's less common in other places too.</t>
  </si>
  <si>
    <t xml:space="preserve">One of them, for example, they called him "Patillas" (which means "sideburns"), although I don't know why they called him that, because he didn't have sideburns. He was an older man, and he had a really bad temper. He would come along with his walking stick, and he always went through the self-checkout lanes.
</t>
  </si>
  <si>
    <t>The same thing happened. I met the lady you mentioned, the one you said you've been buying from here for 50 years, but then, every time I came, she'd ask me where the eggs were – it was completely absurd, mate.</t>
  </si>
  <si>
    <t>Ultimately, you're not supposed to insult people because it looks bad, although I do admit that sometimes people have told me to go to hell. And I've told people to go to hell too.</t>
  </si>
  <si>
    <t>"No, I also admit that I've often gotten angry, but I've never come to blows. Poor guy, it's a shame. There was one day when they almost had to separate me from someone because he told me he was going to "cross my face." And I told him, "Go ahead and do it, you old geezer, while you're shouting and insulting my wife."</t>
  </si>
  <si>
    <t>Once upon a time, there was a woman, and she was pushing a shopping trolley that was completely full. I walked past, and she started talking to me in a really rude way, saying she needed another trolley. So, I said, "Well, why don't you go and get one, then?"</t>
  </si>
  <si>
    <t>It's a supermarket like Mercadona, like Carrefour, like Lidl, or like Día. We're not talking about high-end stores, where the salespeople have to flatter you because they have to sell something and earn commissions.</t>
  </si>
  <si>
    <t>"But then, the next coupon I tried to scan didn't work because the price of the plastic bags had gone up, and plastic bags weren't eligible for the discount. So, of course, the entire transaction had to be cancelled, we had to start all over again, and the customer got really upset."</t>
  </si>
  <si>
    <t>My mum's been giving me a lot of stick, teasing me relentlessly, saying I've come back completely clueless.</t>
  </si>
  <si>
    <t>They actually prefer it if you speak to them in Spanish rather than in English. They have a bit of a dislike for the English.</t>
  </si>
  <si>
    <t>"For example, I was asked to talk about the Spanish Civil War, or about a class I had where we discussed the 'danza de Valencia'. And, of course, I was talking about something that could be a bit difficult for me, and there was this kid next to me who was constantly making jokes and teasing me. For me, that was awful."</t>
  </si>
  <si>
    <t xml:space="preserve">People often told me they wanted to come on holiday to Spain. And I would tell them, "When you're at the airport, if they ask you where you're going, say you're going to Portugal." And they wouldn't suspect a thing.
</t>
  </si>
  <si>
    <t>They completely blindsided me with the boyfriend topic. A 13-year-old boy who left me speechless.</t>
  </si>
  <si>
    <t>But then there was a moment when I was walking into class, and suddenly I saw 4 or 5 of my students with their faces completely covered in pen markings. My first thought was that something terrible had happened.</t>
  </si>
  <si>
    <t>One of the lovely things about that age is the romances. Oh, what a mess! There were mixed-sex bathrooms at the school. I never went into those bathrooms.</t>
  </si>
  <si>
    <t>"And I would spend an entire weekend preparing lessons, working really hard on them, creating PowerPoint presentations, and even designing escape rooms, just for the students to fall asleep during the class, for 5 or 7 of them to be talking, for 3 not to listen to me, and for 2 to completely disrupt the class."</t>
  </si>
  <si>
    <t>Basically, I arrived and went out partying for seven days in a row, and I'm not exaggerating. And of course, people were amazed, like, "What the heck is wrong with this girl?" But everyone was really nice. The people in my student accommodation were Spanish. The others weren't.</t>
  </si>
  <si>
    <t>"Kit Kat is a nightclub where, basically, people go to have sex. I mean, people go there naked, completely bare, obviously, but the interior design is really cool inside, you know?</t>
  </si>
  <si>
    <t>It's not just about the bad things anymore, or the tourists. It's about the atmosphere in the city centre at night. There are these people, the "NPCs," who come up to you with a microphone and start talking, like, "No, it's me, the redhead girl, I don't know what." And there's the one dressed as Michael Jackson, wearing a glove. You can tell something's not quite right with him; he was wearing a white glove and just walking backwards.</t>
  </si>
  <si>
    <t>Here, I saw this really friendly-looking camera. But, you know, if you're messing with me, mate, there were people who would say, "No, but give me the longest glass."</t>
  </si>
  <si>
    <t>And in the end, the city centre is full of tourists, and I understand that this generates money and that's what keeps us going, but we should also take ownership of our own spaces and enjoy them.</t>
  </si>
  <si>
    <t>Mate, someone pulled out their penis and peed on the bar. And it was an L-shaped bar, and they peed right where I could see their penis. So, mate, I saw a penis peeing.</t>
  </si>
  <si>
    <t>"I understand what you're saying, about the complete destruction of a toilet. So, you're saying you had this massive, prolonged diarrhoea, filling the entire toilet, and you must have gotten it all over your back."</t>
  </si>
  <si>
    <t>There's an outdoor area with a padel court, then there's the usual gym, and a section of the gym that's set up for spinning – basically, just bikes. You know, those crazy people who go "pum, pum, pum," pushing themselves to the limit, and you think, "What on earth are you doing at 9 in the morning?"</t>
  </si>
  <si>
    <t xml:space="preserve">I wasn't *that* shocked, because I also worked at a Burger King for almost two years. The bathrooms at Burger King are like a kind of training ground for this sort of thing. In other words, it's like, "Okay, I'm going to Afghanistan," but I've already seen it all.
</t>
  </si>
  <si>
    <t>There's this thing that I call "the volcano," which happens when a toilet gets blocked, especially if someone's had diarrhoea – it's a nightmare. You really have to be in a bad state to experience that.</t>
  </si>
  <si>
    <t>"And I have a trolley with a bucket of dirty water and a bucket of clean water. Students come out of their classes, they drink something, and they have a little water left. Instead of throwing it away, or going to the toilet to pour it down because it's too much effort, or whatever, they do this," – and they make a clicking sound – "and they empty it into the bucket of clean water."</t>
  </si>
  <si>
    <t>"So, I've cut out things that simply didn't bring me any good. And I think that the mindset that many people have – that they're going to achieve their dream job or a job that pays them a lot of money – is, in my opinion, less important than finding a job where you actually feel comfortable. It could be something that might seem insignificant, you know?</t>
  </si>
  <si>
    <t xml:space="preserve">
That's exactly what I wanted to talk about. This guy, he's got hair gel on in the swimming pool, mate. He's got hair gel on in the swimming pool, and I told my colleague, I gave him a proper telling-off, and I said, "Mate, you've got hair gel on."</t>
  </si>
  <si>
    <t>Translate this for them into French: if they literally don't speak Spanish, and they're on holiday in Spain, let alone English, which is the international language, tell them to go to Bordeaux and have a glass of wine. And my colleague told them that. I'm getting my own back on Pepe Botella, that's what I'm doing.</t>
  </si>
  <si>
    <t xml:space="preserve">Obviously, a little bit of showing off now and then. A bit of telling people you've been on holiday in such and such a place. It's just that a nice photo doesn't hurt anyone. There's no need to avoid taking photos.
</t>
  </si>
  <si>
    <t>She left it completely full of sand and continued to insult me. I was tired of her shouting, so I asked her to leave. Eventually, security had to come and tell her to either leave or stop shouting. They went to a different store where my brand is sold, and of course, since it's not their store, they don't bother. They see that the receipt is from another location, and then, without any fuss, they process the return and the product arrives, completely damaged.</t>
  </si>
  <si>
    <t>"Often, it's animals. Dogs chew through the fibre optic cable, and those connectors cost around £60 to replace. Once, I had a customer who was incredibly angry. I called him to let him know I was coming, and he immediately started complaining, saying we'd been taking too long, or something like that. I don't really remember what he said."</t>
  </si>
  <si>
    <t>"And it's also the case that I can't even connect to the Wi-Fi on my phone. I feel really awkward when they give you the phone, because often you have to go into the browser and you find all sorts of strange things."</t>
  </si>
  <si>
    <t>Those in Gibraltar also pay less tax. But for someone from here who works there, they really take advantage of you. I have to file two tax returns. When I was working at the McDonald's in Gibraltar, I paid 760 euros in taxes.</t>
  </si>
  <si>
    <t>The problem was at the beginning, when I started. They would ask you for things, and you'd think, "What the heck are they asking for?" Like, a portion of nuggets, some chips, a regular Coca-Cola, a cheeseburger with no cheese and no onion.</t>
  </si>
  <si>
    <t>Yes, yes, I've had a few. Well, well, I can't really tell you what, because I had absolutely no idea what she was talking about.</t>
  </si>
  <si>
    <t>An elderly woman called me and said, "They stole my card in a bar, I don't know what to do, blah, blah, blah." It's just that I went to the toilet, and when I came back, it was gone.</t>
  </si>
  <si>
    <t>"Scams. And you really have to be careful because they're absolute scoundrels, you know? At first, you might think, 'Well, only gullible people fall for that, right?' But it's not always that simple."</t>
  </si>
  <si>
    <t>"They even call you from the tax agency. A few years ago, they called people pretending to be the "Universal Basic Income" tax agency. They would ask for a €100 Bizum payment to "verify" their identity. Of course, then you'd get neither income nor anything else.</t>
  </si>
  <si>
    <t>He tells me, "This phone number is chargeable." I say, "No, sir, it's not chargeable." He insists, "Yes, it is." I'm determined to correct him, saying, "No, sir, it's not chargeable." Then he mutes the call, and I hear him say, "That idiot doesn't understand anything." He unmutes the call, and I say, "Well, sir, what you should do is find another idiot who actually knows something, eh?"</t>
  </si>
  <si>
    <t>I tell the story like this, and I laugh, because in reality, you're not doing anything wrong, you're just changing the lightbulb. I mean, you're not completely ruining their life.</t>
  </si>
  <si>
    <t xml:space="preserve">Raquel will always hold a special place in our hearts on this channel. And every now and then, people who have rewatched the video, or new viewers who have discovered our videos, ask, "When is this young woman coming back?" Well, she's back.
</t>
  </si>
  <si>
    <t>It's not like I've stopped travelling. Now I'm travelling to Burgos. Besides travelling to Burgos, it's lovely, isn't it? The area where I work is really beautiful.</t>
  </si>
  <si>
    <t>We went to the house of a couple, a British couple, who were lovely. They lived in the most rural part of rural Burgos – it was really out in the sticks. They'd been living there for ages.</t>
  </si>
  <si>
    <t>"You see all sorts of things. You go to someone's house, and you see the conditions they live in. You might find that someone is living alone, with their children somewhere else, and they're struggling to manage. You see the state of their house, and it's clear they're not doing well."</t>
  </si>
  <si>
    <t>So, if you were to ask, for example, "Hey, Eugenia, is everything alright?" you might notice that she's been coming alone for a while, or that she seems more tired lately, or that she has a certain identity, a group of people who recognise her and look out for her. In the city, it seems to me that we're all more anonymous. In the city, we're all just NPCs (non-player characters).</t>
  </si>
  <si>
    <t>Investing time in building that connection with your surroundings is also very important. We don't highlight it enough, like "wow, that's amazing, she's travelling the world, it's incredible!"</t>
  </si>
  <si>
    <t>I'd already had this dream since I was 12 years old, basically being a complete geek, but a really awful one. But then, from 12 to 22, you think, "How the hell am I going to get to Japan?"</t>
  </si>
  <si>
    <t>Japan, frankly, I couldn't care less about it. In other words, Japan was the worst experience of my life. But it had its good and bad points, you know?</t>
  </si>
  <si>
    <t>They're completely obsessed with money and all that, so they assume we're asking them how much we earn. They write it down on a piece of paper, like, "Here's your rate," or something, I don't know how much they've charged.</t>
  </si>
  <si>
    <t>"Now you see us like this, all made up and everything. But when I go to work every day, I have to take off my piercings and hide my septum. I have to put on shapewear. Basically, I have to put on a fake version of myself for my entire working life. I have to wear clothes that are sort of semi-formal, I don't even know what to call it."</t>
  </si>
  <si>
    <t>So, you need to subtly convince the child who likes to make things up that it was genuinely an accident, so she doesn't go running to her mother and say they fought, otherwise the other girl will face a lot of consequences.</t>
  </si>
  <si>
    <t>"It's all very magical. And also very top secret. They're very strict about the employees not posting anything on social media."</t>
  </si>
  <si>
    <t>"The conditions are really good. This is exclusively for employees. Look at the kind of merchandise they have. It's this little jacket; you see it and think, "That's nice."</t>
  </si>
  <si>
    <t>They're so proud of French culture. France is the best, the French are the best, French cuisine is the best, and I, frankly, don't care for French cuisine.</t>
  </si>
  <si>
    <t>"Right, so my name is Iván, for anyone who doesn't know me. And as I've already explained perfectly, I used to work by being unpleasant and, frankly, a bit of a pain to people, trying to persuade them to let a colleague into their home.</t>
  </si>
  <si>
    <t>I turn around, and there he is, holding his hand out like this, with a bloody green budgie. It had fallen out of a tree. I said, "Right, well." So, I took it to the vet. I opened its wing and started examining it. And then I thought, "What am I going to do with this bloody budgie?"</t>
  </si>
  <si>
    <t>But seriously, they had to call my mum. And to top it all off, because my mum happens to have a day off, I have to deal with this. They even took away the bloody Red Cross pouch I had.</t>
  </si>
  <si>
    <t>The Red Cross said they were going to report the police on my behalf, I don't know what for. Then the police apologised. It was just another weird thing, mate. Honestly, this nomadic life I have is really getting to me.</t>
  </si>
  <si>
    <t>"That day, I think I set a record for Cruz Roja across all of Spain. I sold 218 coupons in a single day. It was crazy, honestly. There were so many cars, and you could just tell everyone was making a lot of money. And me? Well, it depends on the location, I have a different approach for each place."</t>
  </si>
  <si>
    <t>You mentioned, as it were, that I'm involved in this, but it's not really my passion.</t>
  </si>
  <si>
    <t>"There's a real mix of landlords. Some just want to get the most profit possible, and don't really care who they rent to. But I also have landlords who are very careful about who they let in, they talk to potential tenants before agreeing, or they have very strict criteria. For example, I have one who only accepts families with good references.</t>
  </si>
  <si>
    <t>Then there's the typical person who says, "No, no, I don't want tourist traps, I want an authentic experience." And you look at them and think, "You don't know what you're asking for."</t>
  </si>
  <si>
    <t>"It's a complete mess. Basically, you can't get involved with any of the passengers, you can't have any kind of relationship. And I thought that was pretty strictly forbidden."</t>
  </si>
  <si>
    <t>People have a lot of animosity towards the French, and I understand that, but I have to say that, in my case, I developed a dislike for Italians. They're like Spaniards, but on the absolute highest level of being annoying.</t>
  </si>
  <si>
    <t>Okay, let's get into this. In the previous video, we talked about less affluent areas, but now we're talking about affluent areas. We're talking about ultra-Catholic private schools in the centre of Madrid, where I've encountered the most pretentious people you can imagine.</t>
  </si>
  <si>
    <t>Once, I think it was sometime in July, we had a French customer. The typical French customer, around 50 or 60 years old, you know? His car had broken down, and he had to contact his insurance company in France. The thing is, the gentleman didn't speak a word of Spanish, you see?</t>
  </si>
  <si>
    <t>The mechanic told me, straight up, "Tell that bloody foreigner not to worry, his car will be ready on Friday afternoon."</t>
  </si>
  <si>
    <t>Whenever I've filmed a video in England and happened to interview an Irish person, the most common comment I've received in all the videos I've made there is something along the lines of "let's criticise the English from top to bottom."</t>
  </si>
  <si>
    <t>"So, we were out celebrating, and when we got back, it was the usual thing – because everywhere, all the pubs and clubs, close at 2 in the morning. 2 in the morning, and you're straight home. And then you see the Irish, like the Greeks, really letting loose, you know?</t>
  </si>
  <si>
    <t>"The historical accuracy is a bit... well, I really like it, okay? I'm a huge fan of fashion history. And I often think, 'Why isn't that done correctly?' Have they done a good job of not including horns? At least they've done that well. Of course, when it comes to the costumes and things like that, they don't really pay much attention to historical accuracy."</t>
  </si>
  <si>
    <t>Okay, before I tell you the story, I have to ask you something. It's something that India is very famous for, particularly its cuisine, and also something that many of my friends who have been there have experienced: the first bout of diarrhoea.</t>
  </si>
  <si>
    <t>"These monkeys, which travel in groups of around 30 or 40, would sometimes jump into the embassy area. You'd see them from a distance and think, "Wow, they're so cute," or you'd see the mothers with their babies clinging to them. And then there were the big monkeys, which sometimes looked like meatballs, you know, just because they were so fat.</t>
  </si>
  <si>
    <t>You're treated differently, both positively and negatively. People assume you're from a wealthy background, that you have money, and sometimes they see you as a walking cash machine.</t>
  </si>
  <si>
    <t>"They put on a whole show for you when you order a bottle of Don Perignon or whatever champagne. That's standard in Madrid, I'll tell you. It's all very showy. There are probably a lot of little Indian "Nicolases" there. Lots of Indian "Froiláns," you know. Yeah, I don't know, I guess you just have to see for yourself, take it one by one and see who's got money."</t>
  </si>
  <si>
    <t>"Sometimes, women's rights leave a lot to be desired. It's still common to hear that women should stay at home, do housework, you know, the usual outdated ideas.</t>
  </si>
  <si>
    <t>There's a lot... Look, don't laugh, because we Spaniards aren't exactly perfect either, okay?</t>
  </si>
  <si>
    <t xml:space="preserve">There are places that everyone goes to, and I'm genuinely curious to know all the details about the characters who are supposed to be going to MediaMarkt.
</t>
  </si>
  <si>
    <t>"I've been working at MediaMarkt for about two and a half years. Luckily, or maybe unluckily, I ended up working at the Málaga store, right in Vialia, which is a really busy place and attracts all sorts."</t>
  </si>
  <si>
    <t>"And I was in charge of the gaming section, specifically the keyboards and mice, where all those typical young kids would come to try them out."</t>
  </si>
  <si>
    <t>"Right, just imagine an old man, my colleague, arguing with him, and another man right behind him, verbally abusing my colleague because he said the phone wasn't working properly, and Santa Lucía had told him that the repair had to be done by them."</t>
  </si>
  <si>
    <t>Then, the kid walks through the door, casually saying, "Who's got the hot potato?" Because you can imagine, having to deal with that guy... it's a nightmare.</t>
  </si>
  <si>
    <t>"When I asked him which bank it was, he started going off: 'And why do you want all that information?' He was shouting there, right in the middle of the shop, getting really aggressive."</t>
  </si>
  <si>
    <t>In the shop, they'd tell you that they didn't give refunds for products like that, but obviously, when you get someone like that, completely unhinged, you don't want them in the shop causing trouble all day, so all you want to do is get rid of them.</t>
  </si>
  <si>
    <t>People try to haggle with you, thinking that if they buy two laptops, I'll, or they'll, get a lower price. As if I'm the owner of the shop. Mate, if I buy these two laptops, how much will you let me have them for?</t>
  </si>
  <si>
    <t>I was caught completely off guard. I saw the security guard standing up, he immediately stopped the escalator, and I saw an elderly man sitting on the floor next to the guard, bleeding profusely. I went into the utility room, started getting saline solution, and began cleaning his wounds to see what his face looked like. His face was a mess.</t>
  </si>
  <si>
    <t>The one who ends up losing their hair is me, because imagine you use someone else's ID, apply for financing, and then the person who, by chance, gets it approved ends up getting into trouble.</t>
  </si>
  <si>
    <t>"And then there was the typical kid who would come in with their dad, and they'd throw a tantrum because the dad had bought them a Xiaomi, but the kid wanted an iPhone. And the dad would look at me and say, 'Mate, how much does the cheapest iPhone cost?' He was trying to reason with the kid, but the kid was just being stubborn and insisted on having the iPhone."</t>
  </si>
  <si>
    <t>"Bloody hell, it bothers me, you know. I've always found it upsetting when a child wants something purely out of spite, and the parent ends up buying it just to avoid a tantrum. If that were my dad, he'd have slapped me across the face with a biscuit."</t>
  </si>
  <si>
    <t>"So, the guy had stolen a Nintendo Switch, PlayStation controllers, and had taken goods worth approximately €6,000 from the store. He was clearly fed up with stealing from us there, and he wanted to make things a bit more difficult."</t>
  </si>
  <si>
    <t xml:space="preserve">"I wasn't there representing Apple, or with the Samsung team, or with the Xiaomi team. I was just there on my own."
</t>
  </si>
  <si>
    <t>"There was a point where he said to me, 'Well, eventually, things are going to boil over.' I got really angry, I slammed my fist on the table, and I said, 'Listen, I don't want to put up with you or the nonsense you're spouting.'</t>
  </si>
  <si>
    <t>Today, we're going to talk about that supermarket you used to go to a few years ago because it was cheaper than "El Copón," but now it's more expensive than anything.</t>
  </si>
  <si>
    <t>"To be honest, the atmosphere was really pleasant, and I felt really comfortable and at ease working there."</t>
  </si>
  <si>
    <t>As for the uniform, I've never worn anything more comfortable in my life. People say it's ugly, but honestly, it's really, really ugly.</t>
  </si>
  <si>
    <t>There's no need to be embarrassed when asking questions, because people will ask you the most ridiculous things, so you have to be completely upfront.</t>
  </si>
  <si>
    <t>"The manager on duty went upstairs to check, to make sure everything was alright, and then came down and said to me, 'Bloody hell, I just stepped in something awful, but it looks like someone had an accident in the lobby and then hopped around."</t>
  </si>
  <si>
    <t>So, if someone steals something, you know they've done it, and then you see them the following week and you say: \"Watch out for this one, they might cause trouble here.</t>
  </si>
  <si>
    <t>"One day, a man came in and said, 'Someone just stole something from between the boxes. He crawled along the floor behind the boxes and then ran off while stealing it.'"</t>
  </si>
  <si>
    <t>One day, someone also tried to distract me from behind. They did it in a really blatant way, because I didn't even turn around.</t>
  </si>
  <si>
    <t>I know there's someone who's going to steal milk, a pack of pasta, rice, water, well, those people... frankly, you couldn't care less.</t>
  </si>
  <si>
    <t>"A man was picking things up while talking on the phone with one hand, and then calmly putting them away with the other. And there was a man behind him, who I suppose didn't have as much patience: 'You idiot, you fool'."</t>
  </si>
  <si>
    <t>At that moment, there was this woman who was practically on her own, and honestly, it affects you a little because you feel sorry for her, but we're still there, doing our job.</t>
  </si>
  <si>
    <t>"I don't understand the mindset we have that Mercadona is cheap, because they don't offer any discounts or promotions whatsoever."</t>
  </si>
  <si>
    <t>This time, we're heading to one of my favourite regions: the land of fish and chips, the place with all those people with funny teeth, that crowd everyone talks about, who speak in their own language, but don't speak anyone else's. Let's find out what England is really like.</t>
  </si>
  <si>
    <t>"I didn't like the PhD program because everyone was in a precarious situation, feeling lost. There was this girl who graduated at 35 because her parents had finally let her move out, and I thought, 'No, this isn't for me.'"</t>
  </si>
  <si>
    <t>"I was a teacher of Biology, Physics, and Chemistry, covering everything from the equivalent of Year 8 to Year 12. The best of everything. So there you go.</t>
  </si>
  <si>
    <t>Well, God, I had a couple of brothers who I was teaching, and of course, they didn't know any English, so they couldn't manage. Since I was a really friendly and helpful teacher, the deputy headmaster said to me, 'Hey, why don't you help them out with the exams? Translate them for them, you know.' So I'd just tell them the answers, what the hell.</t>
  </si>
  <si>
    <t>The problems are scored point by point. If you do something, you get a point. If you do something else, you get another point. They mark it down in incredible detail.</t>
  </si>
  <si>
    <t>"Don't worry, it's just that they were all taller than me, which is normal, I guess. And I was apparently very amusing to them, so I would pretend to be angry."</t>
  </si>
  <si>
    <t>"My friend's kids are laughing a lot. 'So, what now, eh? You were going on and on about how much you loved it here, how polite everyone was. Here you go.'"</t>
  </si>
  <si>
    <t>"I haven't had any arguments with British women like that, you know, the unattractive ones. Because they used to sneak into the Tesco."</t>
  </si>
  <si>
    <t>"And I also had a family from France. I'm going to stick up for the French. The French were very considerate. They really look out for each other, like a hive mind.</t>
  </si>
  <si>
    <t>"The headmistress and my head of studies have given me a telling-off a few times. Please, it's obvious you're Spanish."</t>
  </si>
  <si>
    <t xml:space="preserve">"We used to have an event organised by the parents' association at the end of each term. It was a bit like an assembly line. We would sit at our desks, and the parents would come by in shifts. It was this girl's turn; she was studying humanities.
</t>
  </si>
  <si>
    <t>It was her turn, and she explained it to the father: "She got a 4, but we're going to try to help her pass the next one, and so on." Then, she put her hand on the girl's face in front of me. I felt a wave of anger wash over me.</t>
  </si>
  <si>
    <t>He had the audacity to hit his daughter in front of a teacher. He was completely drunk.</t>
  </si>
  <si>
    <t xml:space="preserve">No, in the end, my deputy director and my director defended me. Two really great guys.
</t>
  </si>
  <si>
    <t>My deputy director was a retired military man, a real gentleman, with a PhD in Shakespeare and a very red face.</t>
  </si>
  <si>
    <t>My favourite line would be: "What we did, which you didn't do, is deceive people." It's just brilliant, honestly, mate.</t>
  </si>
  <si>
    <t>Do you like Spanish music? Yeah, Canto del Loco, Amaral, La Oreja de Van Gogh. This is really good, mate.</t>
  </si>
  <si>
    <t>As a person who is Japanese, don't you think it's a bit weird that practically everyone is so obsessed with Japan?</t>
  </si>
  <si>
    <t>In fact, in 2022, when the Olympics were held here in Japan, I saw Kureha and I blurted out a Mariano Rajoy quote. And she laughed so hard.</t>
  </si>
  <si>
    <t>"Basically, for them, the idea of Spain is beaches, sunshine, sangria, paella, and bullfighting. So, if you show them a picture of Asturias or Galicia, they'll be confused and say, "No, that's not Spain."</t>
  </si>
  <si>
    <t>"So that later they come to Mallorca, buy their house, and there's a whole neighbourhood in Mallorca where everything is written in German. It makes me sad to say it, because I think: "No, that's just a stereotype, we need to break down stereotypes," but they just can't help it."</t>
  </si>
  <si>
    <t>"And you know what, my colleagues who work at a Gymnasium [a type of secondary school] told me: 'Oh, ours are all from families with eight generations of German ancestry.' Bloody hell, you're kidding."</t>
  </si>
  <si>
    <t>And it makes you think: If the purpose of this separation is supposedly to improve performance, whether positively or negatively, then why do I have students in my class who are absolute geniuses? Students who are brilliant academically, because they're just incredibly clever.</t>
  </si>
  <si>
    <t>It's just that, you know, kids are full of surprises.</t>
  </si>
  <si>
    <t>"A kid saw me and said, 'Are you married? Do you have a partner?' Then he added, 'But frankly, I don't care. You're in Spanish class.'"</t>
  </si>
  <si>
    <t xml:space="preserve">"And me, I said, 'But how dare you call a teacher that? Don't you even think about it, don't call me that, I'm not a dog.'"
</t>
  </si>
  <si>
    <t>If they see that something bothers you, instead of stopping, these guys, being the kind of people they are, will just do it more.</t>
  </si>
  <si>
    <t>Well, nothing, I only finished recently, and until a week before I finished, we were still arguing with him about that. And he started doing it, and then others started doing it too. And of course, it's like the stupidity spreads.</t>
  </si>
  <si>
    <t xml:space="preserve">"Yeah, I talked about it with the guys at the Gymnasium, and they told me, 'Wow, that's never happened to me. I've had kids who hit me with an open hand and stuff like that,' they said."
</t>
  </si>
  <si>
    <t>"When you combine problematic behaviour with more problematic behaviour, all you're going to get is more problems. It's a system of segregation that's unbelievable."</t>
  </si>
  <si>
    <t>I'm laughing because it's like: "Well, we all know how it is, right? No need to mention it, right? So, off to Germany, right?" You say: "Damn, we haven't learned anything, I'm so fed up."</t>
  </si>
  <si>
    <t>Whether you look at it from the perspective of: "Well, of course, it's a 'statute school', so you're not that bright, are you?" You're already categorising the child, aren't you? I mean, you're here because you're not that bright. Meritocracy at 12 years old? Get stuffed.</t>
  </si>
  <si>
    <t>"I had a very idealized view of it when I came here, because they paint a very rosy picture. They say you'll find a job easily because there's a lot of job availability, and all sorts of things."</t>
  </si>
  <si>
    <t xml:space="preserve">What I find amusing is that they then treat us as if we're the bottom of the world.
</t>
  </si>
  <si>
    <t>"And, well, that's just it – not everything that glitters is gold."</t>
  </si>
  <si>
    <t>It was a shock, but not that much because I've lived abroad before, and I speak English well, so it wasn't too difficult for me to settle in. Also, it was a bit of a change because my school back home is very chaotic; they tell you everything at the last minute, so the organisation is practically non-existent. That's what I found most challenging.</t>
  </si>
  <si>
    <t>"And on the first day of school, well, of course, you're thrown in at the deep end and you have to show them how it's done, but you can't be overly eager from the very beginning.</t>
  </si>
  <si>
    <t>"Just a quick point. This happens to me too, because I say "America." Actually, I mean "Americans." And then people from Latin America say, "Excuse me, but you're a complete idiot because America is everything, not just those bloody Yankees."</t>
  </si>
  <si>
    <t>"It's true that last year, she was a student who was constantly challenging me. I'd set an assignment, and she'd argue about anything and everything, I don't know what. And on top of that, she was one of those students who was often absent. I'd already had a few disagreements with her, and she was always arguing with me.</t>
  </si>
  <si>
    <t>"What I was saying earlier is that my perspective has shifted a bit, especially regarding grades, because you really see the background of everyone, and what you realise is that this [school] isn't really important to them.</t>
  </si>
  <si>
    <t>And there have been many deaths like that, from fights in the street, because of an argument, coming out of a bar, bang, bang, and in the end, someone dies because they pulled out a weapon.</t>
  </si>
  <si>
    <t>When you run a campaign, obviously, you always involve content creators or celebrities, whether it's a footballer or a musician. And for a campaign we did with Exhibit, a very famous rapper who's also known for modifying cars, we did a really cool campaign with him. He was a lovely guy, really charming, but honestly, he asked us for a bag of marijuana.</t>
  </si>
  <si>
    <t>"Look, the thing about the ad is that the drug element is quite interesting, isn't it? Honestly, you don't really understand how it works until you're dealing with people who are genuinely using it every day. A lot of people think they're rock stars, you know?"</t>
  </si>
  <si>
    <t>"One of the things, mate, that also became very clear to me – they say you also realise this a bit as you get older – but in this world, it's more than just a few people; everyone's on something."</t>
  </si>
  <si>
    <t xml:space="preserve">"I started as an intern just as an agency was celebrating its anniversary. They rented a bar and decorated it with a mix of American and Latin American styles, you know, that kind of vibe. And, well, it was my first day."
</t>
  </si>
  <si>
    <t>So, I used to work in a building, at a multinational company. They put out a statement – this agency was full of posh people, all making loads of money, and we were all supposed to be the best. But then, there was this incident, mate, a real mess. It happened outside the toilet.</t>
  </si>
  <si>
    <t>And it really annoyed me when I first got into the industry, because it's an industry that I feel is very classist. Not just because of who you work with and all that, but also because of access itself. It's frustrating. If you live in Madrid or Barcelona, which is where everything is, when you have to come here, you have to do the master's degree, which is a master's degree that they've just pulled out of thin air.</t>
  </si>
  <si>
    <t>It's not just about being the most talented, having the best ideas, or being the best at design or writing. You either need financial support from your parents, or you need to be tough enough to work. You have to work weekends doing other things, find freelance work on your own, get paid under the table, and just hustle to make ends meet.</t>
  </si>
  <si>
    <t>"Hi, my name is Claudi, and yes, I work at Starbucks, where you pay 37 euros for them to take out a kidney and call your name. And on top of that, they don't even write it down anymore."</t>
  </si>
  <si>
    <t>I'm going to open up about something. In your videos, you criticise the French a lot. Today, I'm here to defend them, mate. They're the least annoying.</t>
  </si>
  <si>
    <t>It was in the morning, but I'm telling you this at 7:30. We saw a young girl and a young guy walk in. They went and stood in front of the bar and started getting all lovey-dovey, giving each other proper kisses, and we were just like, "Okay, good for them."</t>
  </si>
  <si>
    <t>So, of course, a woman suddenly came up to the bar and said, "I want a complaint form, you have a broken soap dispenser." And, well, we started talking to her, and I said, "You can wash your hands here, it's no problem." But she kept insisting, saying "No, no."</t>
  </si>
  <si>
    <t>During those two years I was there, I was a completely different person. I was miserable every single day. It really takes a toll on you when people treat you so badly.</t>
  </si>
  <si>
    <t xml:space="preserve">So, I went there, looking at the flats. They were, at best, tiny studios, probably damp, with one disgusting room. And they were charging a thousand euros each. I managed to get on the good side of the people at the residence, so hopefully, there might be a place, but you'd have to share with five Israelis. Still, I'm happy enough.
</t>
  </si>
  <si>
    <t>"So, he takes us into a room, maybe with about 10 men sitting around, and he sits us down and says, 'Ask us anything you want.' We spent about two hours talking about Islam, asking him questions, and finding out his views on things like heaven, Islam itself, and what he thought about Christianity. He even asked, 'Hey, I've heard this thing about so-and-so, what do you think about it?' Of course, we left with this guy, because after two hours of chatting, we'd really bonded. I even have a Polaroid photo with him, with everything in the background."</t>
  </si>
  <si>
    <t xml:space="preserve">There was this girl, she was from the UK, and her family was incredibly religious, like, extremely religious, Protestant. The usual – long skirts down to her ankles, she'd never done anything with anyone, you know.
</t>
  </si>
  <si>
    <t>So, how was Cairo? It's really beautiful, with those pyramids you mentioned. God, it's probably the most impressive thing humanity has ever created.</t>
  </si>
  <si>
    <t>"We did a 14-day tour. We were in Urgeada, and there was this really random guy who started following us. I can't even remember his name.</t>
  </si>
  <si>
    <t>Yes, it's true that perhaps with Israeli people, and obviously, I have many friends there, some of whom are Jewish but not Israeli, and everything is fine, they're good people. But it is true that perhaps the general feeling, especially at the beginning, was that they were sometimes... not disrespectful, but they did seem to look down on you a bit.</t>
  </si>
  <si>
    <t>"I left Jerusalem in July 2023, and there were a lot of really heavy tensions. They might launch five thousand missiles at Tel Aviv in a single day, which they never usually do."</t>
  </si>
  <si>
    <t>Sure, I remember many times when I was probably at my jeweller's, because I had a jeweller in Jerusalem, and the guy was a real character.</t>
  </si>
  <si>
    <t>Keep in mind that military service is mandatory for both men and women. It's like, imagine giving an 18-year-old a rifle and saying, "Look, you're going to put on this uniform and stand there like a rooster in front of all your mates, defending the holy land because you're a messenger of God."</t>
  </si>
  <si>
    <t>At the checkpoints, of course, everyone was my age, and it's not like military service in Finland. Yeah, yeah, it's not the army. I mean, they pick you up and send you to Lebanon.</t>
  </si>
  <si>
    <t>It's funny because I used to work at another escape room. I saw an advert on Instagram for an escape room that I'd played before, and I thought, "Well, what the heck, why not give it a try?"</t>
  </si>
  <si>
    <t>"What's great about it is that. Thanks to the people who really get involved."</t>
  </si>
  <si>
    <t>"But what I find most amusing, so to speak, are the families. They're absolutely hilarious."</t>
  </si>
  <si>
    <t>"There's a body, or something like that, I don't know what, I don't know how many. We have to get rid of the… little things. There's a key moment, a moment of tension, and my colleague, or we did it like playing the bad cop, said, 'Right, I'm sending you all to meet your maker.'"</t>
  </si>
  <si>
    <t>You can see all sorts of people when you're doing an escape room, but what's it like with a group of "chavs"? There's this group of them over there.</t>
  </si>
  <si>
    <t>"When I was 12, my dad was looking for a job, and you know how it is, you apply for everything and see what comes up. He got offered a job and said, 'Okay, well, now we have to try it.' And what kind of job was it? It was as a bridge engineer. Wow, that's a seriously cool job.</t>
  </si>
  <si>
    <t xml:space="preserve">Someone who hadn't been to Albacete finds themselves on a 12-hour flight filled with Vietnamese people. And me, well, I'd probably seen very few Vietnamese people in my life. I was just staring at them, listening to them talk, completely mesmerised.
</t>
  </si>
  <si>
    <t xml:space="preserve">Is your teacher still there? I think he retired, as he'd been working there for many years, at a whole bunch of schools all over the place.
</t>
  </si>
  <si>
    <t>It's like a beautiful, amazing picture, you think, \"Look how great, how eager this man will be to listen to me.\" And then, you can bet the husband will be the one doing most of the talking. He's a real chatterbox</t>
  </si>
  <si>
    <t xml:space="preserve">Once, there was a woman who was looking at the glass, and she grabbed my arm and asked me why the Romans built downwards. Everyone burst out laughing.
</t>
  </si>
  <si>
    <t>Okay, so there were the gargoyles on the churches, like, you know, all over the place. There's a church in Barcelona called Santilli Pereri, which is a beautiful church, but it was bombed during the Civil War.</t>
  </si>
  <si>
    <t>There are a lot of people who think that here in Spain, we're taught from a young age that Columbus was the saviour, and all that sort of thing. But when they come here, I believe that, in good faith, they want to completely change that perspective.</t>
  </si>
  <si>
    <t>Parents or mothers who come to Barcelona to see their child are often taken on a tour, and perhaps haven't seen their child in a year. They're excited to see what their child is achieving and to see them in such a great place.</t>
  </si>
  <si>
    <t>"There have been thefts on the tours. That's another issue we can discuss."</t>
  </si>
  <si>
    <t>It's a bit frustrating because ultimately, what you want to do is create a great tour in two hours, explaining the history of Jews and Christians, or anything else, and they look at you like, "Oh, but he's a young Catalan independence supporter," and it's a little complicated to shake off that stereotype.</t>
  </si>
  <si>
    <t>Seriously, is Antoni Gaudí still alive? They actually asked me if he was still alive.</t>
  </si>
  <si>
    <t>One of the things I like is the "historical know-it-all." I always associate them with cathedrals. They're like a magnet for historical know-it-alls who stand in front of a facade and say, "This is Romanesque, this is Gothic, this has everything."</t>
  </si>
  <si>
    <t>"Later, you have more "typical" families, let's say, who are looking for the best they can find, but they end up in these schools, experiencing that contrast of really good, really well-behaved children. There's no in-between there."</t>
  </si>
  <si>
    <t>At their homes, they receive no education whatsoever; they have no boundaries. Then, when they arrive at school, if a teacher tells them to sit down and take out their book, they see it as, "I'm here because the law forces me to be."</t>
  </si>
  <si>
    <t>"In those kinds of schools, the priority is that the child is there from 9 to 2, and that nothing serious has happened, that the children leave school happy."</t>
  </si>
  <si>
    <t>Have the older kids ever teased you? They tease you knowing they're teasing you.</t>
  </si>
  <si>
    <t>"I often walk home with kids because my route takes me through the neighbourhood. And the child will come up to me, say 'bye teacher', and then go into their house, which is a ground-floor flat with the door open."</t>
  </si>
  <si>
    <t xml:space="preserve">Then, a student from the fifth grade, probably during a physical education class or something, a guy I don't even talk to, says to me, "You should put your phone away." And I was completely taken aback, not because I thought someone was going to steal it, but because of how casually he assumed that stealing was a possibility, to the point where he was recommending it to someone else. "Put it away," he said, "because someone's going to steal it, you know."
</t>
  </si>
  <si>
    <t>"The thing is, they don't like school. I can imagine one of those kids saying, 'I want to study a particular subject,' and the parents saying, 'But you're an idiot, as soon as you're old enough, you'll come and work with me.'"</t>
  </si>
  <si>
    <t>It was a huge exaggeration, but the families themselves have to leave the neighbourhoods because they're having problems. It's not the children, but the parents having issues with other families. And they change schools, so the child, having learned at least something, now has to start all over again.</t>
  </si>
  <si>
    <t>Do we need some kind of educational method to at least save a few kids from that mess, or do we have to just accept it? Basically, you're screwed just for being born in a certain place.</t>
  </si>
  <si>
    <t>He cheated on me, he's such a jerk, he ran off with three girls from the same class, he went off with a girl from the fifth grade and the youngest one. These things happen in school.</t>
  </si>
  <si>
    <t>"I had a really big problem with a parent, but it wasn't during a tutoring session. Because parents are always looking for trouble."</t>
  </si>
  <si>
    <t>"I've set myself the goal of finishing these years and saying that there are fewer unemployed people because the employment department has helped to connect people with jobs. There's a company, and someone needs a company, and just with that, I think I could easily fill my working hours.</t>
  </si>
  <si>
    <t>"I'd love it if things were like when you join a company and they give you a proper onboarding process. You get a document with all the projects, what needs to be done, what's left, and what budget you have."</t>
  </si>
  <si>
    <t>Tell me about some crazy things people have said to you, mate. Imagine your neighbour from next door suddenly starts giving you a really aggressive shove, and you're completely taken aback.</t>
  </si>
  <si>
    <t>Here, you still get that feeling of being part of a neighbourhood, a community. I know the neighbour across the street, and the one next door, I don't know, just lots of people. That kind of thing doesn't exist in Madrid. And it's less common in other places too.</t>
  </si>
  <si>
    <t>One of them, for example, they called him "The Moustache," although I don't know why they called him that, because he didn't actually have a moustache. He was an older man with a really bad attitude. He'd come along with his walking stick and always went through the self-checkout lanes.</t>
  </si>
  <si>
    <t>It's the same. You'd meet the lady I told you about, the one I said I've been buying things from here for 50 years, but then, every time I came, she'd ask me where the eggs were – it was ridiculous, mate.</t>
  </si>
  <si>
    <t>"Ultimately, you're not supposed to swear, because it looks bad, although I do admit that sometimes people have told me to go to hell. And I've told people to go to hell too."</t>
  </si>
  <si>
    <t>"No, I'll admit, I've also got angry a lot of times, but I haven't come to blows. There was one day, in fact, when I almost had to be pulled away from someone because he told me he was going to break my face. And I told him: "Go ahead, you old geezer, shout and insult my wife."</t>
  </si>
  <si>
    <t>Once upon a time, there was a woman, and she was pushing a shopping trolley that was completely full. I passed by, and she started speaking to me rudely, saying she needed another trolley. Well, go and get it yourself, right?</t>
  </si>
  <si>
    <t>It's a supermarket like Mercadona, like Carrefour, like Lidl, or like Día. We're not talking about those places, where the salespeople have to flatter you because they have to sell something and earn commissions.</t>
  </si>
  <si>
    <t>But then, the next coupon I scanned didn't work because the price of the plastic bags had gone up, and plastic bags weren't eligible for the discount. So, of course, the entire purchase had to be cancelled, and we had to start all over again, which really annoyed her.</t>
  </si>
  <si>
    <t>My mum's been giving me a right hard time, constantly teasing me and saying I've come back being a bit of a fool.</t>
  </si>
  <si>
    <t>They actually prefer it if you speak to them in Spanish rather than English. They have a real dislike for the English.</t>
  </si>
  <si>
    <t>"For example, I was asked to talk about the Spanish Civil War, or a class where I had to discuss the "danza de Valencia". And, of course, I was talking about something that could be a bit difficult for me, and there was this kid next to me who was constantly making jokes and teasing me. That was awful for me."</t>
  </si>
  <si>
    <t>A lot of people told me they wanted to come on holiday to Spain. And I told you, at the airport, when they ask you, say you're going to Portugal. And they wouldn't catch on to the joke.</t>
  </si>
  <si>
    <t>They completely blindsided me with the boyfriend question. A 13-year-old kid who left me speechless.</t>
  </si>
  <si>
    <t>But then there was a moment when I was walking into class, and suddenly I saw 4 or 5 of my students with their faces completely covered in pen markings. My first thought was absolutely crazy.</t>
  </si>
  <si>
    <t>One of the lovely things about that age is the romances. Ugh, what a mess! There were mixed-gender bathrooms at the school. I never went into those bathrooms.</t>
  </si>
  <si>
    <t>And I'd spend an entire weekend preparing lessons, putting a lot of effort into them, working hard, creating PowerPoint presentations, and designing escape rooms, just for the students to fall asleep in class, with 5 or 7 talking, 3 not listening to me at all, and 2 actively disrupting the class.</t>
  </si>
  <si>
    <t>So, I arrived and went out partying for seven days straight, I'm not exaggerating. And of course, people were shocked, like, "What the heck is wrong with this girl?" But the people were really nice. The people in my student accommodation were Spanish. The others weren't.</t>
  </si>
  <si>
    <t>Kit Kat is a nightclub where, essentially, people go to have sex. I mean, people go there naked, completely bare, obviously, but the decor inside is actually really cool, you know?</t>
  </si>
  <si>
    <t>"It's not just about the bad food anymore, or the tourists; it's the atmosphere in the city centre at night. There are these people, these 'NPCs' as they call themselves, who are rapping into a microphone, like, "No, it's me, the redhead," or whatever. And there's this guy dressed as Michael Jackson, wearing a glove. You can tell something's not quite right with him; he's wearing a white glove and just walking backwards."</t>
  </si>
  <si>
    <t>Here, I saw this really friendly-looking camera. The thing is, if anyone messed with me, you know, my friends would say, "No, but give me the biggest glass."</t>
  </si>
  <si>
    <t>"And in the end, the city centre is full of tourists, which I understand because it generates money and that's what keeps us going, but we should also reclaim our own space and enjoy it."</t>
  </si>
  <si>
    <t>Mate, he saw someone pull out his [penis] and pee on the bar. Plus, it was an L-shaped bar, and he peed right where I could see his [penis]. I mean, mate, I saw a [penis] peeing.</t>
  </si>
  <si>
    <t>I understand what you're saying, about the complete destruction of a toilet. So, you're saying there was diarrhoea, a massive amount of it, all over the toilet, which means you must have gotten it all over your back.</t>
  </si>
  <si>
    <t>There's an outdoor area with a padel court, and then the usual gym, plus a section of the gym that's set up for spinning – basically, just bikes. You know, those crazy people who go "pum, pum, pum," full blast, and you think, "What on earth are you doing at 9 in the morning?"</t>
  </si>
  <si>
    <t>"I'm not that shocked, because I also worked at Burger King for almost two years. The bathrooms at Burger King are like a kind of military training for this. I mean, it's like going to Afghanistan, yeah, but I've seen it all."</t>
  </si>
  <si>
    <t>There's this thing I call "the volcano," which is when a toilet gets blocked, specifically when it's blocked with diarrhoea – and believe me, that's really unpleasant. You have to be in a really bad state to experience that.</t>
  </si>
  <si>
    <t>"And I have a trolley with a bucket of dirty water and a bucket of clean water. She comes out of her classes, drinks some, and has a little water left. Instead of throwing it away, she goes to the bathroom and pours it into the bucket of clean water, because she's too lazy or I don't know, she just does this [makes clicking sounds] and empties it into the clean water bucket."</t>
  </si>
  <si>
    <t>So, I've cut out things that simply didn't do me any good, and I think the mindset that a lot of people have – that they're going to achieve their dream job or a job that pays them a lot of money – is wrong. I think it's more important, even than money or your dream job, to find a job where you feel comfortable. It could be something that's not particularly exciting or glamorous, you know?</t>
  </si>
  <si>
    <t>That's what I wanted to talk about because, get this, the guy was wearing hair gel in the swimming pool, bro. I told my colleague about it, and I said, "Bro, he's wearing hair gel in the pool."</t>
  </si>
  <si>
    <t>So, I told him to translate this for them: 'If you people literally don't know Spanish, and you're on holiday in Spain, let alone English, which is the international language, then tell them to go to Bordeaux and have a glass of wine.' And my colleague actually told them that. I'm getting my revenge for what Pepe Botella did, you know."</t>
  </si>
  <si>
    <t>Obviously, a little bit of showing off now and then. Like, telling people you went on holiday to a certain place. It's not like a nice photo ever hurt anyone. There's no need to avoid taking photos altogether.</t>
  </si>
  <si>
    <t>She left the whole thing full of sand and kept insulting me, mate. I was tired of her shouting, so I asked her to leave. Then security had to come and tell her to either leave or stop shouting. They went to a different store where my brand isn't sold, and of course, since it's not their brand, they don't bother. They see that the receipt is from another store, and then, without any fuss, they process it as a transfer, and you eventually receive the product, but it's completely ruined.</t>
  </si>
  <si>
    <t>Often, the problem is caused by animals; dogs sometimes chew through the fibre optic cable, and those connectors cost around £60 to replace. Once, I had a customer who was incredibly angry. He'd called me to let me know I was coming, and then he started getting agitated, saying things like, "We've been together for ages, I don't know what..."</t>
  </si>
  <si>
    <t>"Oh, and the thing is, he also couldn't connect to the Wi-Fi on his phone. I always feel really awkward when they give you the phone, because sometimes you have to go into the browser and you end up finding weird stuff.</t>
  </si>
  <si>
    <t>"And those who are in Gibraltar also pay less. That's the situation for the English; for those of us who are from here but work there, they really take advantage of us. I have to file two tax returns. When I was working at the McDonald's in Gibraltar, I paid 760 euros in taxes.</t>
  </si>
  <si>
    <t>The problem was at the beginning, when I first started. They would ask for things and I'd think, "What the heck is this person asking for?" Like, chicken nuggets, fries, a regular Coca-Cola, a cheeseburger without cheese or onions.</t>
  </si>
  <si>
    <t>An elderly woman calls me and tells me that her card was stolen in a bar, she doesn't know what happened, blah, blah, blah. She says she went to the toilet and when she came back, it was gone.</t>
  </si>
  <si>
    <t>"Scams. And you have to be very careful because they're really nasty people, you know? At first, you might think, well, only gullible people fall for it, right? It's not that difficult to spot."</t>
  </si>
  <si>
    <t>"Even the tax agency calls you. A few years ago, people were being called pretending to be the "Universal Basic Income" tax agency. They would ask you to send a €100 Bizum payment to a certain number to verify their identity. Of course, then you get neither income nor anything else."</t>
  </si>
  <si>
    <t>"He says, 'This phone number is a paid service.' I tell him, 'No, sir, it's not a paid service.' He insists, 'It is.' I try to explain again, 'No, sir, it's not a paid service.' Then he mutes me and I hear him say, 'This idiot doesn't understand anything.' I unmute myself and say, 'Well, sir, what you should do is find another idiot who actually knows something, eh?'"</t>
  </si>
  <si>
    <t xml:space="preserve">"I tell it like this, and I say, 'Haha, how funny,' because in reality, you're not really doing anything wrong, you're just changing their lightbulb. I mean, it's not like you're completely ruining their life."
</t>
  </si>
  <si>
    <t>Raquel will always hold a special place in our hearts on this channel. And every so often, people who have rewatched the video, or new viewers who have discovered our videos, ask, "When is this girl coming back?" Well, she's back.</t>
  </si>
  <si>
    <t>"But I haven't stopped travelling. Now you're travelling to Burgos. Besides travelling to Burgos, it's a really beautiful place, isn't it? The area where I work is very pretty."</t>
  </si>
  <si>
    <t>We went to the house of a couple, a British couple, who were really lovely. They lived in the most rural area you could imagine, way out in the countryside of Burgos. They'd been living there for ages.</t>
  </si>
  <si>
    <t>You see all sorts of things. You go to someone's house, you see the conditions they live in, whether they're alone and their children are somewhere else, whether they can manage on their own, and you see what their house is like.</t>
  </si>
  <si>
    <t>Okay, so if you start asking around, like, "Hey, Eugenia," you might hear things like, "Yeah, she's been coming here alone for a while," or "She seems more tired lately," or "She has a certain identity, a group of people who know her and look out for her in some way." And in the city, it feels like we're all more anonymous. In the city, we're all just NPCs.</t>
  </si>
  <si>
    <t>Investing time in building that connection with your surroundings is also very important. We don't highlight it enough, like "wow, how cool, they're travelling the world, it's amazing, it's incredible!"</t>
  </si>
  <si>
    <t>I'd had this idea in my head since I was 12, basically being a complete otaku, a real piece of rubbish, but a clever rat. But then, from 12 to 22, you think, "How the hell am I going to get to Japan?"</t>
  </si>
  <si>
    <t>Japan, frankly, I don't care for it. I mean, Japan is the worst thing I've ever experienced in my life. But both the good and the bad, you know?</t>
  </si>
  <si>
    <t>"They're completely obsessed with money and all that stuff, so they think they can just ask us how much we earn. They write it down on a piece of paper, like, 'What's your rate? How much did you charge?"</t>
  </si>
  <si>
    <t>"So, you see us now, all made up and everything. But when I go to work every day, I have to take off my piercings and hide my septum. I have to put on shapewear. Basically, I have to pretend to be someone else for your bloody life. I have to wear clothes that are kind of formal, I don't even know what to call it."</t>
  </si>
  <si>
    <t>So, you need to use a bit of mental trickery on the girl who likes to make things up, and make her believe it was really an accident, so she doesn't go and tell her mother that they fought, otherwise the other little girl will face a lot of consequences.</t>
  </si>
  <si>
    <t>"It's all very magical. It's also very top secret. They're very strict about the staff not posting anything on social media."</t>
  </si>
  <si>
    <t>"The conditions are really good. This is exclusive to employees. Look at the kind of merchandise they have. It's this little jacket; you see it and think, 'That's nice.'"</t>
  </si>
  <si>
    <t>They're so proud of French culture. France is the best, the French are the best, French cuisine is the best, and I think French cuisine is overrated.</t>
  </si>
  <si>
    <t>Look, my name is Iván, for anyone who doesn't know me. And as I've already explained perfectly, I used to work by talking badly about things and, very quickly, by being a pain to people in order to try and get them to agree to let a colleague move into their accommodation.</t>
  </si>
  <si>
    <t>I turn around, and there he is, holding his hand out with this bloody green parakeet. It had fallen out of a tree. I said, "Alright, then." So, I took it to the vet. I opened its wing and started to examine it. And then I thought, "Okay, what am I supposed to do with this bloody parakeet?"</t>
  </si>
  <si>
    <t>"But listen, they had to call my mum. And to top it all off, my mum happened to be taking a day off, so I had to deal with that. They even took away the little pouch I had from the Red Cross, you know?</t>
  </si>
  <si>
    <t xml:space="preserve">The Red Cross said they were going to report the police on my behalf, I don't know what for. Then the police apologised. Another really strange thing, mate. This nomadic life I'm living is just driving me crazy, to be honest.
</t>
  </si>
  <si>
    <t>"That day, I think I broke the record for Cruz Roja across all of Spain, or something like that. I sold 218 coupons in a single day. It was crazy, man, there were so many cars, and I thought, "Wow, everyone here is making a ton of money." And me? Well, it depends on the location, but I have a little speech I give.</t>
  </si>
  <si>
    <t>"You basically opened my direct message, saying, 'I do this, but it's not exactly my passion.'</t>
  </si>
  <si>
    <t>"There's a real mix of landlords. Some just want to get the most profit possible, and they don't really care who they rent to. But then there are landlords who are very careful about who they let in, they talk to potential tenants before accepting them, or they have very strict criteria. For example, I have one landlord who only accepts families with good references."</t>
  </si>
  <si>
    <t>"Or there's the typical person who says, 'No, no, I don't want tourist traps, I want an authentic experience.' And you look at them and think, 'You don't know what you're asking for.'"</t>
  </si>
  <si>
    <t>It's a complete mess. Basically, you're not allowed to get involved with any of the passengers, you can't have any kind of relationship. And I thought that was pretty clearly forbidden.</t>
  </si>
  <si>
    <t>People have a lot of animosity towards the French, and I understand that, but I have to say that, in my case, I developed an aversion to Italians. They're like Spaniards, but on the absolute highest level of being annoying.</t>
  </si>
  <si>
    <t>Okay, let's get into this. We're going to open up this can of worms. In the previous video, we talked about less affluent areas, but now we're talking about affluent areas. We're talking about ultra-Catholic private schools in the centre of Madrid, where I've encountered the most ridiculous people you can imagine.</t>
  </si>
  <si>
    <t>Once, I think it was sometime in July, we had a French customer. The typical French customer, about 50 or 60 years old, you know? His car had broken down and he had to contact his insurance company in France. The thing is, the gentleman didn't speak a word of Spanish, you know</t>
  </si>
  <si>
    <t xml:space="preserve">
Whenever I've filmed a video in England and encountered an Irish person, the most common comment I've received in all the videos I've filmed there is something along the lines of "screwing over the English."
</t>
  </si>
  <si>
    <t>So, we were out partying, and when we got back, it was the usual – because everywhere, all the bars and clubs, close at 2 in the morning. 2 in the morning, straight home. And then the Irish, like the Greeks, you know, they get really... carried away.</t>
  </si>
  <si>
    <t>"The historical accuracy is a bit... Look, I really like it, okay? I'm really into the history of fashion. And I often think, 'Why isn't that done correctly?' Have they done anything good by not including horns? At least they've done that well. Of course, regarding the details and things like that, they don't really pay much attention to historical accuracy."</t>
  </si>
  <si>
    <t>Okay, before I tell you the story, I have to ask you something. It's something that India is very well known for, especially its cuisine, and also something that many of my friends who have been there have experienced: it's the "first time" experience.</t>
  </si>
  <si>
    <t>These monkeys, which travel in groups of about 30 or 40, would sometimes jump into the embassy area. You'd see them from a distance and think, "Wow, they're so cute," and you'd see the mothers with their babies clinging to them, and you'd see the bigger monkeys that sometimes looked like meatballs, you know, because they were so fat.</t>
  </si>
  <si>
    <t>"You're treated differently, both positively and negatively. They assume you're from a high social class, that you have money, and sometimes they see you as a walking cash machine."</t>
  </si>
  <si>
    <t>"They put on a whole show for you when you order a bottle of Don Perignon or whatever champagne it is. That's standard in Madrid, I'll tell you. It's all very flashy. There are probably a lot of little Indian Nicoles there. There are a lot of Indian Froiláns, too. Yeah, I don't know, I guess you just have to see who's got money and who doesn't."</t>
  </si>
  <si>
    <t xml:space="preserve">
Sometimes, women's rights still leave a lot to be desired. It's still commonplace for women to be expected to stay at home and do housework, you know, the usual outdated ideas.
</t>
  </si>
  <si>
    <t xml:space="preserve">There's a lot... Look, don't laugh, because we Spaniards aren't exactly perfect either, okay?
</t>
  </si>
  <si>
    <t>There are places that everyone goes to, and I'm genuinely curious about the inner workings of the people who must go to MediaMarkt.</t>
  </si>
  <si>
    <t>"I've worked at MediaMarkt for two and a half years. Luckily, or perhaps unluckily, I was assigned to the Málaga store, right in Vialia, which gets loads of foot traffic and attracts all sorts."</t>
  </si>
  <si>
    <t>"And on top of that, I was in charge of the gaming section, specifically the keyboards and mice, where all those typical kids would come to mess around with them."</t>
  </si>
  <si>
    <t>Right, just imagine an old man, my colleague, arguing with him, and another guy right behind him, verbally attacking my colleague because he was saying the phone was faulty and that Santa Lucía had said the repair had to be done by them.</t>
  </si>
  <si>
    <t>Then the kid appears at the door, walking past and saying, "Who's got the hot potato?" Because, you know, having to deal with that guy... it's a nightmare.</t>
  </si>
  <si>
    <t>When I asked him which bank it was, he started: "And why do you want all that information?" He was shouting there, right in the middle of the shop, getting really aggressive.</t>
  </si>
  <si>
    <t>"So, how do you deal with situations like that? You have to come up with whatever you can think of because this guy is acting like a complete lunatic, and all you want to do is get out of there as quickly as possible."</t>
  </si>
  <si>
    <t>In the shop, they'd tell you that they wouldn't refund that kind of customer, but of course, when you get a bloke like that, completely unhinged, you don't want him in the shop causing trouble all day, so all you want to do is get rid of him.</t>
  </si>
  <si>
    <t>People who try to haggle with you, they think that if they buy two laptops, I'm going to give them a discount. As if I own the shop! Mate, if I buy these two laptops, how much will you let me have them for?</t>
  </si>
  <si>
    <t>I was completely taken aback. I saw the security guard get up, he immediately stopped the escalator, and I saw an elderly man sitting on the floor next to the guard, bleeding profusely. I went into the storage room, started getting saline solution, and began cleaning his wounds to see what his face looked like. His face was a mess.</t>
  </si>
  <si>
    <t>The person who's really stressed out is me, because imagine you get hold of someone else's ID, you process a loan for them, and then the person who, by chance, gets the loan approved ends up getting into a whole lot of trouble.</t>
  </si>
  <si>
    <t>And then there was the typical kid who would come in with their dad, and they'd start getting upset because the dad had bought them a Xiaomi, but the kid wanted an iPhone. And the dad would look at me and say, "Mate, how much does the cheapest iPhone cost?" He was trying to reason with the kid, but the kid was being stubborn and insisted on having the iPhone.</t>
  </si>
  <si>
    <t>Bloody hell, it affects me, for instance. I've always found that kind of thing really upsetting – the way the kid wants something just to be a pain, and the dad has to buy it to avoid a massive tantrum. If that were my dad, he'd have slapped me across the mouth.er speakers.</t>
  </si>
  <si>
    <t>The guy had stolen a Nintendo Switch, PlayStation controllers, and, roughly speaking, about six thousand euros worth of goods from the store. The cheeky bugger clearly got fed up with us catching him stealing there, and he probably wanted to make things a bit more difficult.</t>
  </si>
  <si>
    <t>I wasn't there representing Apple, nor was I with the Samsung team, nor with the Xiaomi team. I was just doing my own thing.</t>
  </si>
  <si>
    <t>At one point, he said to me: "If things are going to come to a head." I got really angry, I slammed my hand on the table, and I said: "Look, I'm not going to put up with you or the nonsense you're spouting."</t>
  </si>
  <si>
    <t xml:space="preserve">Today, we're going to talk about that supermarket where you used to go shopping a few years ago because it was cheaper than "El Copón", but now it's more expensive than anything!
</t>
  </si>
  <si>
    <t>"The truth is, the atmosphere was really lovely, and I felt really comfortable and at ease working there."</t>
  </si>
  <si>
    <t>I've never worn a more comfortable uniform in my life. And you know, it's got a reputation for being ugly. No, it's really ugly, to be honest.</t>
  </si>
  <si>
    <t>Don't be embarrassed to ask questions, because people will ask you the most ridiculous things, so you have to be completely upfront.</t>
  </si>
  <si>
    <t>The manager of the store that day went upstairs to check, to make sure everything was okay, and came down and said to me, "Bloody hell, I stepped in something awful, but it looks like someone has had an accident in the lobby and then walked forward."</t>
  </si>
  <si>
    <t>Basically, if someone steals something, you already know they're a thief, and then you see them the following week and you're like, \"Watch out for this one, they might pull a fast one on us.</t>
  </si>
  <si>
    <t>One day, a man came in and said, "Someone's just stolen something from between the boxes; they crawled along the floor behind the boxes and the guy just ran off while stealing it."</t>
  </si>
  <si>
    <t>One day, they also tried to distract me from behind. They did it in the most brazen way, because I didn't even turn around.</t>
  </si>
  <si>
    <t>I know there's someone who's going to steal milk, a pack of pasta, rice, water, well, those people... you just don't care.</t>
  </si>
  <si>
    <t>A gentleman was picking things up while talking on the phone with one hand, and then calmly putting them away with the other. And there was a man behind him, who I suppose didn't have much patience: "You idiot, you fool."</t>
  </si>
  <si>
    <t>At that moment, a woman who was practically alone came over, and honestly, it affects you a little bit because it's upsetting, but we're still there, doing our job.</t>
  </si>
  <si>
    <t>"I don't understand this mentality we have, that Mercadona is cheap, because they don't have any special offers to speak of."</t>
  </si>
  <si>
    <t xml:space="preserve">This time, we're going to one of my favourite regions, the land of fish and chips, of those people with the distinctive teeth, of those folks that everyone talks about in their own language, but who don't speak anyone else's language. Let's find out what England is really like.
</t>
  </si>
  <si>
    <t>I didn't like the PhD because everyone was in a precarious situation, lost and unsure. There was this girl who graduated at 35 because her parents had finally let her move out, and I thought, "No, this isn't for me."</t>
  </si>
  <si>
    <t>Biology, Physics, and Chemistry teacher, covering everything from the equivalent of Year 8 to Year 12. The best of everything. So there you go.</t>
  </si>
  <si>
    <t>"I mean, God, I had a couple of brothers who I taught, and of course, they didn't know any English, so they couldn't manage. Because I was a really friendly and helpful teacher, the deputy headmaster said to me, 'Hey, why don't you help them out with the exams? Translate them for them, you know.' So I just gave them the answers, what the hell.</t>
  </si>
  <si>
    <t>The problems are marked out of points. If you do something, it gets a little point. If you do something else, it gets another little point. They mark it incredibly strictly there.</t>
  </si>
  <si>
    <t>Don't worry, it's just that they were all taller than me, which is normal, I suppose. They also thought I was being a bit of a cheeky git, and I was pretending to be angry.</t>
  </si>
  <si>
    <t xml:space="preserve">"My friend's kids are laughing their heads off. 'Now what, eh? All that talk about how much you loved it here, how polite everyone was. Here you go.'"
</t>
  </si>
  <si>
    <t>I haven't had any arguments with British women like that, you know, the ones who are a bit rough around the edges. Because they managed to sneak into the Tesco.</t>
  </si>
  <si>
    <t>And I also had a family from France. I'm going to stick up for the French. The French were very considerate. The French really look out for each other, like a hive mind.</t>
  </si>
  <si>
    <t>"Occasionally, the headmistress and my head of studies have given me a telling-off. Honestly, it's obvious you're Spanish."</t>
  </si>
  <si>
    <t>We used to have an AMPA (Parents' Association) night at the end of each term. It was a bit like an assembly line. We would stay in our seats, and the parents would come by in shifts. Well, it was a girl from the humanities department's turn.</t>
  </si>
  <si>
    <t>It was her turn, and she explained it to the father: "She got a 4, but we're going to try to help her pass the next time, and so on." And then, right in front of me, she made a face at the little girl. I felt like I was going to explode.</t>
  </si>
  <si>
    <t>He had the audacity to hit his daughter in front of a teacher. He was as drunk as a lord.</t>
  </si>
  <si>
    <t>No, in the end, my deputy head and my head teacher defended me. Two absolutely brilliant guys.</t>
  </si>
  <si>
    <t xml:space="preserve">My deputy director was a retired military man with a PhD in Shakespeare, and he was as red as could be.
</t>
  </si>
  <si>
    <t>My favourite lie is: "What we did, which you didn't, is trick people." It's just brilliant, honestly, man.</t>
  </si>
  <si>
    <t>"Do you like Spanish music? Yeah, Canto del Loco, Amaral, La Oreja de Van Gogh. This is really good, man."</t>
  </si>
  <si>
    <t>Most comedians are from Osaka, so they're known for being funny.</t>
  </si>
  <si>
    <t>As someone who's Japanese, doesn't it seem a bit odd that almost everyone is so obsessed with Japan?</t>
  </si>
  <si>
    <t xml:space="preserve">
In fact, in 2022, when the Olympic Games were held here in Japan, I saw Kureha, and I said something Mariano Rajoy would say. And she burst out laughing.
</t>
  </si>
  <si>
    <t>Basically, for them, Spain is all about beaches, sunshine, sangria, paella, and bullfighting. So, if you show them a picture of Asturias or Galicia, they'll be like, "No, that's not Spain."</t>
  </si>
  <si>
    <t>"So that later they come to Mallorca, buy their house, and there's a whole district in Mallorca where everything is written in German. It makes me sad to say it, because I think: "Damn, no, those are stereotypes, we need to break those stereotypes," but they just can't help it."</t>
  </si>
  <si>
    <t xml:space="preserve">And then, my colleagues who are at a Gymnasium (a type of secondary school) said to me, "Oh, man, all my students are from families with eight typically German surnames." Bloody hell, you're kidding!
</t>
  </si>
  <si>
    <t>And it makes you think: If the purpose of this separation is supposedly to group students who perform better or worse, then why on earth do I have kids in my class who are absolute geniuses? Kids who are academically brilliant because they're just incredibly clever.</t>
  </si>
  <si>
    <t xml:space="preserve">It's just that, of course, kids are full of surprises.
</t>
  </si>
  <si>
    <t xml:space="preserve">A kid saw me and said, "Are you married? Do you have a partner? Well, I don't care." Then he added, "You're in Spanish class."
</t>
  </si>
  <si>
    <t>And me: "But how dare you call a teacher that? Don't you even think about it, don't call me that, I'm not a dog."</t>
  </si>
  <si>
    <t>If they see something bothering you, instead of stopping, those little jerks will just do it more.</t>
  </si>
  <si>
    <t>Right, so, I only finished recently, but we were arguing with him about this right up until a week before I finished. And he started it, and then others started doing it too. And of course, it's like the stupidity spreads.</t>
  </si>
  <si>
    <t>Sure, I mentioned it to the people at the Gymnasium, and they told me, "Wow, that hasn't happened to me at all. Some people have their child and then get slapped in the face with an open hand, or things like that," they said...</t>
  </si>
  <si>
    <t>When you put troublemakers together with troublemakers, all you're going to get is trouble. It's a segregation system, it's unbelievable.</t>
  </si>
  <si>
    <t xml:space="preserve">
I'm laughing because it's like: "Well, we all know how things are, right? No need to mention it, right? Come on, let's go to Germany, right?" You say: "Damn, we haven't learned anything, I'm so fed up."</t>
  </si>
  <si>
    <t>Whether you approach it from the angle of: "Well, of course, it's a 'statute school', so you're not that bright, are you?" you're already categorising the child a bit, aren't you? I mean, you're here because you're not that bright. Meritocracy at 12 years old? Bollocks to that.</t>
  </si>
  <si>
    <t>"I had a very romanticised view of it when I came here, because they paint a rosy picture. They say you'll find work easily because there's a lot of job availability, and all sorts of things.</t>
  </si>
  <si>
    <t xml:space="preserve">What I find funny is that they then treat us like we're the bottom of the barrel.
</t>
  </si>
  <si>
    <t>And, well, that's just it – things aren't always as good as they seem.</t>
  </si>
  <si>
    <t>It's been a shock, but not too much because I've lived abroad before, and I speak English well, so it hasn't been too difficult for me to settle in. Also, my school back home is really chaotic; they tell you everything for tomorrow today, so to speak, meaning the organisation is practically non-existent. That's what I found most difficult.</t>
  </si>
  <si>
    <t>And on the first day of class, well, of course, they throw so much at you and you have to put on a show, pretending everything's fine. You can't let on that you're struggling from the very first moment.</t>
  </si>
  <si>
    <t>"I'm going to interrupt for a moment. It happens to me too, because I say 'America'. Actually, I mean 'Americans'. And then people from Latin America say, 'Excuse me, but you're a complete idiot because America is everything, not just those bloody Yankees.'</t>
  </si>
  <si>
    <t>It's true that last year, she was a student who was always challenging me. I'd give her an assignment, and she'd argue about anything, I don't know what. And on top of that, she was one of those students who was often absent. I'd already had a bit of a run-in with her, and she was always arguing with me.</t>
  </si>
  <si>
    <t>"What I was saying earlier is that my perspective has shifted a bit, especially regarding grades, because you really see everyone's background, and what you realise is that this [grades] isn't important to them.</t>
  </si>
  <si>
    <t>And there have been many deaths like that, from a fight in the street, because of an argument, coming out of a bar, bang, bang, and in the end, someone dies because they pulled out a weapon.</t>
  </si>
  <si>
    <t>When you do a campaign, obviously, you always involve content creators or celebrities, whether it's a footballer or musicians. And for a campaign we did with Exhibit, a very famous rapper who's mostly known for modifying cars, we did a really cool campaign with him. He's a lovely guy, really charming, but, damn, he asked us for a bag of marijuana.</t>
  </si>
  <si>
    <t>Okay, so, the thing about the ads is that the drug-related stuff is pretty interesting, right? Honestly, you don't really understand how it works until you're dealing with people who are actually using it every day, because a lot of people think they're rock stars.</t>
  </si>
  <si>
    <t>One of the things, mate, that also became very clear to me – they say you also realise this a bit as you get older – but in this world, it's more like everyone is taking drugs.</t>
  </si>
  <si>
    <t xml:space="preserve">Me, I started as an intern just when an agency was celebrating its anniversary. They rented out a bar and decorated it all with this American, Latin vibe, you know? And, well, it was my first day.
</t>
  </si>
  <si>
    <t>"I used to work in a building, at a multinational company. They put out a statement – it was an agency full of really posh people, all about making money, and we were all supposed to be the best. But there was this... incident, mate, this thing happened outside the toilet.</t>
  </si>
  <si>
    <t>And it really annoyed me when I entered the industry, because it's an industry that I feel is very class-based. Not just because of who you work with and all that, but also because of access. It's a pain, you know? If you live in Madrid or Barcelona, which is where everything is, when you have to come here, you have to do the master's degree, which is a master's degree that's been pulled out of thin air.</t>
  </si>
  <si>
    <t>It's not just about being the most talented, having the best ideas, or being the best at design or writing. You either need financial backing from your parents, or you need the guts to work hard. You have to do other jobs on the weekends, find freelance work on your own, get paid under the table, and basically hustle to make ends meet.</t>
  </si>
  <si>
    <t>Hello, my name is Claudi, and yes, I work at Starbucks, where you pay 37 euros for them to take out a kidney and call you by name. And on top of that, they don't even write it down anymore.</t>
  </si>
  <si>
    <t xml:space="preserve">
"I'm going to cut open a melon. In your videos, you criticize the French a lot. I'm here today to defend them, mate. They're the least intrusive.</t>
  </si>
  <si>
    <t>It was in the morning, but I'm telling you this at 7:30. We saw a young girl and a young guy walk in. They went to the bar and started getting all lovey-dovey, giving each other proper kisses, and we were just like, "Okay, whatever."</t>
  </si>
  <si>
    <t>So, of course, a woman suddenly came up to the bar and said, "I want a complaint form, you've broken the soap dispenser." And, of course, we started talking to her. I told her, "You can use the bar here to wash your hands, it's no problem." But she kept insisting, "No, no."</t>
  </si>
  <si>
    <t>Basically, during those 2 years I was there, I was a completely different person. I was miserable day after day. It really takes a toll on you when people treat you so badly.</t>
  </si>
  <si>
    <t>So, I went there, looking at the apartments, and it was probably like a tiny, damp basement, one disgusting room. A thousand euros each. I managed to get on their good side, really pull at their heartstrings. There might be a place, but you have to share with five Israelis. I'm happy just to have somewhere.</t>
  </si>
  <si>
    <t>He took us to a room, a group of maybe ten men sitting around, and he made us sit down and told us, 'Ask us anything you want.' We spent about two hours talking about Islam, asking him questions, and finding out his views on heaven, on Islam itself, and what he thought about Christianity. He said, 'I've heard this and that, what do you think about this person?' Of course, we left with this guy, because after two hours of chatting, he took us to a local cafe. I even have a Polaroid photo of us all there.</t>
  </si>
  <si>
    <t>"There was this girl, she was from the UK, and her family were incredibly religious, like, seriously extreme, Protestant. The typical thing, skirts down to her ankles, she'd never done anything with anyone, you know?</t>
  </si>
  <si>
    <t>"And how was Cairo? It's supposed to be really beautiful, with those pyramids you mentioned. God, it's probably the most impressive thing humanity has ever created."</t>
  </si>
  <si>
    <t xml:space="preserve">We did a 14-day trip. We went to Urgeada, and there was this really random guy who started following us. I can't even remember his name.
</t>
  </si>
  <si>
    <t xml:space="preserve">Yeah, it's true that maybe with Israeli people, obviously, I have a lot of friends from there, some are Jewish but not Israeli, and everything's great, they're good people. But it's true that, especially at the beginning, the general feeling was that they were a bit... not disrespectful, but they did sometimes look down their noses at you.
</t>
  </si>
  <si>
    <t>I left Jerusalem in July 2023, and there were a lot of really heavy tensions. They might have fired five thousand missiles at Tel Aviv in a single day, which they never usually do.</t>
  </si>
  <si>
    <t xml:space="preserve">Sure, I remember a few times being at my jeweller's, because I had a jeweller in Jerusalem, and the bloke was a real character.
</t>
  </si>
  <si>
    <t xml:space="preserve">Bearing in mind that military service is compulsory for both men and women. It's like, well, imagine giving an 18-year-old kid an AR-15 and saying, "Look, you're going to put on this uniform and you're going to stand there like a rooster, in front of all your mates, defending the promised land because you're a messenger of God."
</t>
  </si>
  <si>
    <t xml:space="preserve">At the checkpoints, of course, everyone was my age, and it's not like the military service in Finland. Yeah, yeah, it's not the army. Basically, they pick you up and send you to Lebanon.
</t>
  </si>
  <si>
    <t xml:space="preserve">It's funny because I was in another escape room before, I saw an ad on Instagram for an escape room that I'd played, and I thought, "Well, why not give it a try?"
</t>
  </si>
  <si>
    <t>"Besides, that's what's great about it. Thanks to the people who really get involved."</t>
  </si>
  <si>
    <t>"But what I find most amusing, if I can put it that way, are the families. They're brilliant."</t>
  </si>
  <si>
    <t xml:space="preserve">"There's a body, or something like that, I don't know exactly, I don't know how many. We have to get rid of the... well, you know. There's a key moment, a tense one, and my colleague, or we do it like this, we play the bad cops, and she says, 'Right, I'm sending you all to meet your maker.'"
</t>
  </si>
  <si>
    <t>You're watching the escape room, and you can see all sorts of people, but what's it like when a "chav" is involved? There's this group of "chavs" there.</t>
  </si>
  <si>
    <t>"When I was 12, my dad was looking for a job, and it was the usual thing – you apply for everything and see what comes up. He got offered a job and said, "Okay, I guess I have to give it a try." And what kind of job was it? A bridge engineer. Wow, what a crazy job.</t>
  </si>
  <si>
    <t>Someone who had never been to Albacete suddenly finds themselves on a 12-hour flight full of Vietnamese people. And me, well, I'd probably seen very few Vietnamese people in my life. I was just listening to them talking, completely amazed.</t>
  </si>
  <si>
    <t>"And is your teacher still there? I think he's retired now, because he'd been working there for so many years, at loads of different schools all over the place."</t>
  </si>
  <si>
    <t>It's like the perfect, wonderful image of saying, \"Look how great, how eager this man will be to listen to me.\" And then, of course, the husband will probably be the one who talks the most. He's a real chatterbox</t>
  </si>
  <si>
    <t>"Once, there was a woman who was staring at the glass, and she grabbed my arm and asked me why the Romans built downwards. Everyone burst out laughing."</t>
  </si>
  <si>
    <t>Right, so there were the gargoyles on the churches, you know, like that. There's a church in Barcelona called Santilli Pereri, which is a beautiful church, but it was bombed during the Civil War.</t>
  </si>
  <si>
    <t>There are a lot of people who think that here in Spain, we're taught that Columbus was the saviour and all that rubbish. But when they come here, I think they genuinely want to change that perspective completely.</t>
  </si>
  <si>
    <t>Parents or mothers who come to visit their child here in Barcelona are often taken on a tour, and maybe they haven't seen their child in a year. They're excited because they see what their child is achieving and they see that they're in a great place.</t>
  </si>
  <si>
    <t>"There have been robberies on these tours. That's another issue we could discuss."</t>
  </si>
  <si>
    <t>It's a bit frustrating because ultimately, you want to give a great tour in two hours, explaining the history of Jews and Christians, or whatever, and they look at you like, "Oh, but he's a young, Catalan separatist," and it's a little complicated to shake off that stereotype.</t>
  </si>
  <si>
    <t xml:space="preserve">"But is Antonio Gaudí still alive? Seriously, they asked me if he was still alive.
</t>
  </si>
  <si>
    <t xml:space="preserve">One of the things I like is the "know-it-all" type of relative. I always associate them with historical sites. They're like magnets for those relatives who stand in front of a building and say, "This is Romanesque, this is Gothic, this has everything."
</t>
  </si>
  <si>
    <t>"Later, you get more 'typical' families, let's say, who are looking for the best they can find, but they end up in these schools, in this environment with incredibly well-behaved, very well-presented children. There's no in-between.</t>
  </si>
  <si>
    <t>"At home, they have absolutely no upbringing; they have no boundaries whatsoever. Then they come to school, and a teacher tells them to sit down and get their book out, and they see it as, 'I'm here because the law forces me to be.'</t>
  </si>
  <si>
    <t>"In schools like that, the main priority is that the child is there from 9 to 2, and that nothing serious has happened, that the children leave school happy."</t>
  </si>
  <si>
    <t>"Were the older kids ever mean to you? They tease you knowing they're teasing you.</t>
  </si>
  <si>
    <t>"I often walk home with kids because I pass through the neighbourhood. And the child enters, says goodbye to the teacher, and goes into their house, which is on the ground floor and the door is usually open."</t>
  </si>
  <si>
    <t xml:space="preserve">And then a student from fifth grade, probably in physical education or something, a kid I don't even talk to, tells me, "If I were you, I'd keep my phone safe." And I was just stunned, not because I thought someone was going to steal it, but because he seemed to take the idea of stealing for granted, recommending it to someone like that, saying, "Keep it safe because someone's going to steal it, you know?"
</t>
  </si>
  <si>
    <t xml:space="preserve">The thing is, they don't like school. I can just imagine one of those kids saying, "I want to study a degree," and the parents saying, "But you're an idiot, as soon as you're old enough, you're going to start working with me."
</t>
  </si>
  <si>
    <t>It was a massive exaggeration, but families have to move out of the neighbourhoods because they're having problems. It's not the kids, but the parents who are having issues with other families. And the kids have to change schools, so they have to start all over again, even if they've already learned something.</t>
  </si>
  <si>
    <t>"Do we need some kind of educational method to at least save a few from that mess, or do we have to just accept it? Basically, you're doomed just by being born in a certain place."</t>
  </si>
  <si>
    <t>He cheated on me, the bastard. He ran off with three girls from the same class. He went off with a girl from fifth grade and the youngest one. These things happen in school.</t>
  </si>
  <si>
    <t>"I've set myself the goal of finishing these years and saying that there are fewer people unemployed because the employment department has helped to connect people with jobs. There's a company, and someone needs a company – just that alone, I think, would be enough to fill my working hours.</t>
  </si>
  <si>
    <t>"I'd love it if it was like when you join a company and they give you an onboarding process – a document with all the projects, what needs to be done, what's left, and what budget I have."</t>
  </si>
  <si>
    <t>"Tell me some crazy stories people have told you, mate. Imagine your neighbour from next door suddenly starts giving you a massive fright."</t>
  </si>
  <si>
    <t>Here, you still get that feeling of community, of being part of a neighbourhood. I know the neighbour across the street, and the one next door, I don't know, I don't know how many. That kind of thing doesn't exist in Madrid. And it's even rarer in other places.</t>
  </si>
  <si>
    <t>One of them, for example, was called "The Moustache," although I don't know why they called him that, because he didn't actually have a moustache. He was an older man with a really bad attitude. He'd come along with his walking stick and always went through the self-checkout lanes.</t>
  </si>
  <si>
    <t>Same here. I met the lady you mentioned, the one you said you've been buying things from here for 50 years, but then, every time I came, she'd ask me where the eggs were – it was all a bit weird, mate.</t>
  </si>
  <si>
    <t xml:space="preserve">
In the end, you're not supposed to swear because it looks bad, although I do admit that sometimes people have told me to go to hell. And I've told people to go to hell too.
</t>
  </si>
  <si>
    <t>No, I'll admit, I've also lost my temper many times, but I haven't come to blows, even though there was one day when they almost had to separate me from someone because he told me he was going to "cross my face." And I told him, while shouting and insulting his wife: "Go ahead!"</t>
  </si>
  <si>
    <t xml:space="preserve">Once upon a time, there was a woman who was pushing a shopping trolley that was completely overflowing. She started giving me a hard time, saying she needed another trolley. So, I told her, "Well, go and get one, then!"
</t>
  </si>
  <si>
    <t>It's a supermarket like Mercadona, like Carrefour, like Lidl, or like Día. We're not talking about the high-end places, where the salespeople have to fawn over you because they have to sell something and earn commissions.</t>
  </si>
  <si>
    <t>But then, the next coupon I scanned didn't work because they had added the plastic bags, and plastic bags weren't included in the offer. So, of course, we had to cancel the whole order, start all over again, and the guy got really annoyed.</t>
  </si>
  <si>
    <t>My mother has been giving me a terrible hard time, constantly teasing me and saying that I've come back being a bit of a clueless idiot.</t>
  </si>
  <si>
    <t xml:space="preserve">They actually prefer it if you speak to them in Spanish rather than English. They have a real dislike for the English.
</t>
  </si>
  <si>
    <t xml:space="preserve">For example, I was asked to talk about the Spanish Civil War, or a class where I had to discuss the "dana" (a type of severe weather event). And, of course, I was talking about something that could be a bit difficult for me, and there was this kid next to me who was constantly cracking jokes and winding me up. That was awful for me.
</t>
  </si>
  <si>
    <t xml:space="preserve">"Loads of people were telling me they wanted to come on holiday to Spain. And I told you at the airport, when they ask, say you're going to Portugal. And they wouldn't catch on."
</t>
  </si>
  <si>
    <t>They completely blindsided me with the whole boyfriend thing. A 13-year-old kid who left me shaking.</t>
  </si>
  <si>
    <t xml:space="preserve">But then there came a point where I was walking into class and suddenly I saw 4 or 5 of my students with their faces completely covered in pen markings. My first thought was, "What the hell?"
</t>
  </si>
  <si>
    <t>One of the really nice things about that age is the romances. Oh wow, what a mess! There were some mixed-gender bathrooms at the school. I never went into those bathrooms.</t>
  </si>
  <si>
    <t>And I'd spend an entire weekend preparing lessons, working hard, putting in the effort, creating PowerPoints, and designing escape rooms, just for the students to fall asleep during the class, for 5 or 7 to be chatting, for 3 to not listen to me, and for 2 to completely disrupt the lesson.</t>
  </si>
  <si>
    <t>So, I arrived and went out partying for seven days straight, I'm not exaggerating. And of course, people were shocked, like, "What the hell is wrong with this girl?" But everyone was really nice. The people in my residence hall were all Spanish. The others weren't.</t>
  </si>
  <si>
    <t>Kit Kat is a nightclub where, basically, people go to have sex. I mean, people go there naked, completely exposed, obviously, but the interior design is actually really cool, you know?</t>
  </si>
  <si>
    <t>"It's not just about the bad food anymore, or the tourists, it's the atmosphere in the city centre at night. There are all these people – the "NPCs" as they call themselves – who are harassing you with their microphones, going on about "no, it's me, the redhead," or whatever. And then there's the Michael Jackson guy, wearing a glove. You can tell something's not quite right with him; he was wearing a white glove and just walking backwards."</t>
  </si>
  <si>
    <t>Here, I spotted a really friendly-looking camera. The thing is, if someone's being a pain, mate, there were people who would say, "No, but give me the biggest glass."</t>
  </si>
  <si>
    <t>And in the end, the city centre is full of tourists, which I understand brings in money and that's what keeps us going, but we should also take ownership of our own space and enjoy it.</t>
  </si>
  <si>
    <t>Bro, it was about flashing your [private parts] and peeing on the bar. Plus, it was an L-shaped bar, and he peed right where I could see his [private parts]. So, bro, I saw a [private part] peeing.</t>
  </si>
  <si>
    <t>I understand what you're saying, about the massive destruction of a toilet. So, you're saying you had this, well, this explosive diarrhoea, all over the toilet, and you had to get your back covered in it.</t>
  </si>
  <si>
    <t>There's an outdoor area with a padel court, then there's the usual gym, and a section of the gym that's set up for spinning – so, just bikes, you know? Like those crazy people who go "pum, pum, pum" at full speed, and you think, "What on earth is the point of that at 9 in the morning?"</t>
  </si>
  <si>
    <t>"I'm not that shocked because I also worked for almost two years at a Burger King. The Burger King toilets are like a kind of military service for this. I mean, it's like going to Afghanistan, yeah, but I've seen it all before."</t>
  </si>
  <si>
    <t>There's this thing that I call "the volcano," which is when a toilet gets blocked – a toilet blocked while someone's having diarrhoea, mind you, which is a complete nightmare. You have to be in a really awful state.</t>
  </si>
  <si>
    <t>"And I have a trolley with a bucket of dirty water and a bucket of clean water. She comes out of her classes, drinks some, has a little water left, and instead of throwing it away, or going to the toilet to flush it, she does this [makes clicking sounds], and empties it into the bucket of clean water."</t>
  </si>
  <si>
    <t>So, I've cut out things that simply didn't do me any good, and I think the mindset that a lot of people have – that they're going to get their dream job or a job that pays a lot of money – is wrong. I think it's more important, even than money or your dream job, to find a job where you actually enjoy yourself. It could be something that's not particularly impressive, you know?</t>
  </si>
  <si>
    <t xml:space="preserve">That's what I wanted to talk about because, get this, the guy was wearing chewing gum in the swimming pool, mate. I told my colleague, and I said, "Bro, he's wearing chewing gum in the pool!"
</t>
  </si>
  <si>
    <t>Translate this for them into French – they literally don't speak Spanish, they're on holiday in Spain, and certainly not English, which is the international language. Tell them to go to Bordeaux and have a glass of wine. And my colleague told them that. I'm getting my revenge on what Pepe Botella did, you see."</t>
  </si>
  <si>
    <t xml:space="preserve">Obviously, a bit of showing off now and then. Like telling people you went on holiday to a certain place. It's just that a nice photo doesn't hurt anyone. There's no need to avoid taking photos altogether.
</t>
  </si>
  <si>
    <t>She left it completely full of sand and kept insulting me, man. Tired of her shouting, I asked her to leave. And security had to come and tell her to leave or stop shouting. They go to a store that doesn't sell my brand, and of course, since it's not their product, they don't care. They see that the receipt is from another store, and then, out of the blue, they process it as a transfer, and the damaged product arrives.</t>
  </si>
  <si>
    <t>Often, it's absolute chaos. Dogs chew through the fibre optic cable, and then you get charged a fortune – like 60 quid for each connector. Once, I had a customer who was absolutely furious. I called him to let him know I was on my way, and he started giving me a right earful, going on about how long he'd been waiting, and all sorts of other nonsense.</t>
  </si>
  <si>
    <t xml:space="preserve">"Oh, and the thing is, he couldn't even connect to the Wi-Fi on his phone. I get really embarrassed when they ask you to give them your phone, because often you have to go into the browser and you find all sorts of weird things.
</t>
  </si>
  <si>
    <t>Those who are in Gibraltar also pay less. That's the case for the British, but for someone who's from here and works there, they're ripped off. I have to file two tax returns. When I was working at the McDonald's in Gibraltar, I paid 760 euros in taxes.</t>
  </si>
  <si>
    <t>The problem was at the beginning, when I started. They'd ask you for things and you'd think, "What the hell is this guy asking for?" Like, a portion of nuggets, some fries, a regular Coke, a cheeseburger with no cheese and no onions.</t>
  </si>
  <si>
    <t xml:space="preserve">Yes, yes, I've had a few. Well, well, I can't really tell you what, because I had absolutely no idea what he was talking about.
</t>
  </si>
  <si>
    <t xml:space="preserve">"An elderly woman called me, and she said her card had been stolen in a bar, blah, blah, blah. Apparently, I went to the toilet, and when I came back, it was gone."
</t>
  </si>
  <si>
    <t xml:space="preserve">Scams. And you have to be very careful because they're really nasty people, you know? At first, you might think, "Well, only gullible people fall for that, right?" It doesn't happen to anyone intelligent.
</t>
  </si>
  <si>
    <t>"Even the tax agency calls you. A few years ago, people were being called pretending to be the "Universal Basic Income" tax agency. They would ask you to send a €100 Bizum payment to a certain number to verify their identity. Of course, then you get nothing – no income, nothing at all.</t>
  </si>
  <si>
    <t>"He tells me, 'This phone call costs money.' I tell him, 'No, sir, it doesn't cost anything.' He insists, 'It does cost money.' I kept arguing, 'No, sir, it's free.' Then I hear him say, 'That idiot doesn't understand anything.' I hang up and tell him, 'Well, sir, what you should do is find another idiot who actually knows something, eh?'"</t>
  </si>
  <si>
    <t xml:space="preserve">I tell it this way and I say, "Haha, how funny," because in reality, you're not really doing anything wrong, you're just changing the lightbulb. I mean, you're not completely ruining their life.
</t>
  </si>
  <si>
    <t>Raquel will always hold a special place in our hearts on this channel. And every so often, people who have rewatched the video, or new people who have discovered the videos, ask, "When is this girl coming back?" Well, she's back.</t>
  </si>
  <si>
    <t>"But I haven't stopped travelling. Now you're travelling to Burgos. Besides travelling to Burgos, it's really beautiful, isn't it? The area where I work is very pretty."</t>
  </si>
  <si>
    <t>We went to the house of a couple, a British couple, really nice people, in the most rural part of rural Burgos. They've been living there for ages.</t>
  </si>
  <si>
    <t>You see all sorts of things. You go to so-and-so's house, and you see the conditions they live in, whether they're alone and their kids are somewhere else, whether they can manage on their own, and what the house is like. You see it all.</t>
  </si>
  <si>
    <t xml:space="preserve">Basically, if you ask around, like, "Hey, Eugenia, yeah, she's been coming here alone for a while now," or "She's been looking more tired lately," or "She has a certain identity, a group of people who recognise her and look out for her in some way." And in the city, it seems to me that we're all more anonymous. In the city, we're all just NPCs.
</t>
  </si>
  <si>
    <t>Investing time in building that connection with your surroundings is also very important. We don't highlight it enough, like, "Wow, how cool, they're travelling the world, it's amazing, it's fantastic!"</t>
  </si>
  <si>
    <t>"I'd had this dream since I was 12, basically being a complete, awful otaku, but a really bad one. But then, between 12 and 22, you think, 'How the hell am I going to get to Japan?'"</t>
  </si>
  <si>
    <t>Japan, I don't give a damn about it. I mean, Japan is the worst experience I've ever had in my life. But it has its good and bad sides, you know?</t>
  </si>
  <si>
    <t>They're completely obsessed with money and all that stuff, so they assume they can ask us how much we earn. They write it down on a piece of paper, like, "What's your rate? How much did you get paid?"</t>
  </si>
  <si>
    <t>"So, you see us now, all dolled up and everything. But when I go to work every day, I have to take off my piercings and hide my septum. I have to wear shapewear. Basically, I have to put on a fake version of myself for your bloody life. I have to wear clothes that are kind of formal, I don't even know what to call it."</t>
  </si>
  <si>
    <t xml:space="preserve">"So, you need to play a mental trick on the one who likes to make things up, and make her believe that it was really an accident, so she doesn't go and tell her mother that they fought, otherwise the other girl will face a lot of consequences."
</t>
  </si>
  <si>
    <t xml:space="preserve">It's all very magical. It's also very top secret. They're very strict about the staff not posting anything on social media.
</t>
  </si>
  <si>
    <t xml:space="preserve">The conditions are really good. This is exclusive to employees. Look at the kind of merchandise they have. It's this little jacket; you see it and think, "That's nice."
</t>
  </si>
  <si>
    <t xml:space="preserve">They're so proud of French culture. France is the best, the French are the best, French cuisine is the best, and I just don't care for French cuisine.
</t>
  </si>
  <si>
    <t xml:space="preserve">Right, so my name is Iván, for anyone who doesn't know me. And as I've already explained perfectly, I used to work by bad-mouthing people and being a pain in the neck, trying to convince them to let a colleague move into their place.
</t>
  </si>
  <si>
    <t xml:space="preserve">I turn around and there he is, with his hand like this, holding a bloody green budgie. It had fallen out of a tree. I thought, "Alright, that's it." So, I took it to the vet. I opened its wing and started looking at it. And then I thought, "Okay, what am I supposed to do with this bloody budgie?"
</t>
  </si>
  <si>
    <t>But listen, they had to call my mum. And to top it all off, it was on a day when my mum was on holiday, can you believe it? I had to put up with that. They even took away my little pouch from the Red Cross, seriously.</t>
  </si>
  <si>
    <t>The Red Cross said they were going to report the police on my behalf, I don't know what for. Then the police apologised. Just another weird thing, mate. This nomadic life I'm living is really getting to me, honestly.</t>
  </si>
  <si>
    <t>That day, I broke the record for Cruz Roja across all of Spain, I think. I sold 218 coupons in a single day. It was like, you know, this huge event, full of cars, and people were saying, "Man, here, everyone's making loads of money." And me, well, it depends on the place, I have a specific approach.</t>
  </si>
  <si>
    <t>You messaged me, basically saying you're in this line of work, but it's not exactly your cup of tea.</t>
  </si>
  <si>
    <t>There's all sorts. Some landlords don't care, they just want to make as much money as possible. But I also have landlords who are very careful about who they let in, they talk to them before accepting them, or they have very strict criteria. For example, I have one who only accepts families with good reviews.</t>
  </si>
  <si>
    <t>"Or there's the typical person who says, 'No, no, I don't want tourist traps, I want an authentic experience here.' And you look at them and think, 'You have no idea what you're asking for.'</t>
  </si>
  <si>
    <t>It's a complete mess. Basically, you're not allowed to get involved with any passengers, you can't have any kind of relationship. And I thought that was pretty clearly forbidden.</t>
  </si>
  <si>
    <t xml:space="preserve">People have a lot of animosity towards the French, and I understand that, but I have to say that in my case, I developed a dislike for Italians. They're like Spaniards, but on the absolute maximum level of being annoying.
</t>
  </si>
  <si>
    <t xml:space="preserve">Right, let's tackle this topic. In the previous video, we talked about less affluent areas, now we're talking about affluent ones. We're talking about ultra-Catholic private schools in the centre of Madrid, where I've come across some of the most pretentious people you can imagine.
</t>
  </si>
  <si>
    <t xml:space="preserve">"Once, I think it was around July, we had a French client. The typical French client, about 50 or 60 years old, you know? His car had broken down and he had to contact his insurance company in France. The thing is, this guy didn't speak a word of Spanish, you know?
</t>
  </si>
  <si>
    <t>The guy from the workshop told me straight up, "Tell that bloody foreigner not to worry, his car will be ready on Friday afternoon."</t>
  </si>
  <si>
    <t xml:space="preserve">Whenever I've filmed a video in England and caught sight of an Irishman or Irish woman, the most common comment I've received in all the videos I've filmed there is something along the lines of "screwing over the English."
</t>
  </si>
  <si>
    <t xml:space="preserve">So, we were out partying, and on the way back, it was the usual thing, because all the bars and clubs there close at 2 in the morning. 2 in the morning, straight home. And that's when the Irish, like the Greeks, start getting really rowdy.
</t>
  </si>
  <si>
    <t xml:space="preserve">"The historical accuracy is a bit... well, I really like it, okay? I'm really into the history of fashion. And I often think, 'Why isn't that done correctly?' They've at least done a good job with not including horns. As for the clothes and things like that, obviously, they don't really pay much attention to historical accuracy."
</t>
  </si>
  <si>
    <t xml:space="preserve">Right, before I tell you this story, I have to ask you something. It's something that India is really famous for, especially its cuisine, and also something that many of my friends who have been there have experienced: the dreaded "Delhi belly."
</t>
  </si>
  <si>
    <t xml:space="preserve">These monkeys, which travel in groups of 30 or 40, would jump into the embassy area. You'd see them from a distance and think, "Wow, they're so cute," or you'd see the mothers with their babies clinging to them. You'd also see the bigger monkeys that looked like, well, meatballs, you know, just how fat they were.
</t>
  </si>
  <si>
    <t xml:space="preserve">"You're treated differently, both in a good way and a bad way. They consider you to be upper class, they think you have money, and sometimes they see you as a walking wallet.
</t>
  </si>
  <si>
    <t>"They put on a whole show for you when you order a bottle of Don Perignon or whatever champagne. That's pretty standard for Madrid, you know. It's all about appearances. There are probably a lot of little Indian princes here. Yeah, a lot of Indian Froiláns, I guess. I don't know, I suppose you just have to see for yourself, one by one, to see who's got money and who doesn't."</t>
  </si>
  <si>
    <t xml:space="preserve">Women's rights still leave a lot to be desired sometimes. It's still common to hear that women should stay at home, do housework, you know, the usual old-fashioned stuff.
</t>
  </si>
  <si>
    <t>There's a lot... Look, don't laugh, because we Spaniards aren't exactly brilliant either, okay?</t>
  </si>
  <si>
    <t>There are places that everyone goes to, and I'm genuinely curious about the details of the people who must go to MediaMarkt.</t>
  </si>
  <si>
    <t>I've worked at MediaMarkt for about two and a half years. Luckily, or perhaps unfortunately, I was assigned to the Málaga store, specifically the one in Vialia, which gets a huge amount of foot traffic and attracts all sorts of people.</t>
  </si>
  <si>
    <t xml:space="preserve">And on top of that, I had the gaming section, especially the keyboards and mice, where all those typical young kids would come to mess around with them.
</t>
  </si>
  <si>
    <t xml:space="preserve">"Imagine this: an elderly man, my colleague, arguing with him, while another man standing behind was verbally abusing my colleague because he said the phone wasn't working properly, and Santa Lucía had told him that the repair had to be done by them."
</t>
  </si>
  <si>
    <t>Then, the child walks through the door, passing by and saying, "Who's got the hot potato?" Because, you can imagine, dealing with that kid was... quite something.</t>
  </si>
  <si>
    <t xml:space="preserve">When I asked him which bank it was, he started again: "And why do you want so much information?" He was shouting there, right in the middle of the shop, getting really aggressive.
</t>
  </si>
  <si>
    <t xml:space="preserve">So, how do you deal with situations like that? You have to come up with whatever you can think of because the guy is acting like a complete lunatic, and all you want to do is get out of there as quickly as possible.
</t>
  </si>
  <si>
    <t xml:space="preserve">"At the shop, they would tell you that they didn't give refunds for products like that. But, of course, when a customer comes in like that, completely unhinged, you don't want them in the shop causing trouble all day long. So, what you really want is to get rid of them.
</t>
  </si>
  <si>
    <t xml:space="preserve">People try to haggle with you, thinking that if they buy two laptops, I'm going to, or they're going to, get a discount. It's as if I own the shop. Mate, if I buy these two laptops, how much will you let me have them for?
</t>
  </si>
  <si>
    <t xml:space="preserve">I was completely shocked. I saw the security guard get up and he immediately stopped the escalator. Then I saw an elderly man sitting on the floor next to the guard, bleeding heavily. I went into the nearby storage room and started getting saline solution. I began cleaning his wounds to see what was wrong with his face. His face was a mess.
</t>
  </si>
  <si>
    <t xml:space="preserve">The person who ends up losing out is me, because imagine you use someone else's ID, you process the funding, and if, by chance, it's approved, the person who actually gets into trouble is the other person.
</t>
  </si>
  <si>
    <t>"And then there was the typical child who would come in with their father and get really upset because the father had bought them a Xiaomi, but the child wanted an iPhone. The father would look at me and say, 'Mate, how much does the cheapest iPhone cost?' He was trying to reason with the child, but the child was adamant that they wanted an iPhone."</t>
  </si>
  <si>
    <t xml:space="preserve">"Honestly, it bothers me. I've always found it striking when a child wants something so badly, and the father feels pressured to buy it because otherwise the child will throw a tantrum and cause a scene. If it were my father, he would have given me a good smack."
</t>
  </si>
  <si>
    <t xml:space="preserve">He had stolen a Nintendo Switch, PlayStation controllers, and, roughly speaking, goods worth nearly six thousand euros from the store. It was clear that this guy was probably fed up with stealing from us there, and he wanted to make things a bit more difficult.
</t>
  </si>
  <si>
    <t xml:space="preserve">I wasn't representing Apple, or the people from Samsung, or the people from Xiaomi. I was just doing my own thing.
</t>
  </si>
  <si>
    <t xml:space="preserve">At one point, he said to me, "Well, if it comes to a fight, so be it." I got really angry, I slammed my fist on the table, and I said to him, "Look, I don't want to put up with you or the nonsense you're spouting."
</t>
  </si>
  <si>
    <t xml:space="preserve">Today, we're going to talk about that supermarket where you used to go shopping about a year ago because it was cheaper than "El Copón," but now it's more expensive than anything.
</t>
  </si>
  <si>
    <t xml:space="preserve">
"The truth is, the atmosphere was really pleasant, and I felt incredibly comfortable and at ease working there."
</t>
  </si>
  <si>
    <t>"I've never worn a more comfortable uniform in my life. People say it's ugly, but honestly, it's incredibly ugly."</t>
  </si>
  <si>
    <t xml:space="preserve">There's no need to be embarrassed when asking questions, because people will ask you the most ridiculous things, so you have to be completely upfront.
</t>
  </si>
  <si>
    <t xml:space="preserve">
The manager of the shop that day went upstairs to check everything was in order, and then came down and said to me: "Oh my God, I've stepped in something awful, but it looks like someone has had an accident in the entrance hall and then walked forward."
</t>
  </si>
  <si>
    <t xml:space="preserve">
"So, if someone steals something, you know they've stolen it, and you see them the following week, and you say: "Be careful with this one, they might be planning something dodgy here – like pulling a fast one."
</t>
  </si>
  <si>
    <t xml:space="preserve">"One day, a man came in and said, 'Someone has just been stealing from you, right behind the boxes. He crawled along the floor behind the boxes and just ran off, stealing things.'"
</t>
  </si>
  <si>
    <t>One day, something similar happened to me. Someone tried to distract me from behind. They did it in a rather blatant way, because I didn't even turn around.</t>
  </si>
  <si>
    <t>"I know there are people who are going to steal milk, a packet of pasta, rice, water, and so on. Well, frankly, you don't care."</t>
  </si>
  <si>
    <t xml:space="preserve">A gentleman was collecting his things while talking on the phone with one hand, and then calmly putting them away with the other. And there was a gentleman behind him who, I suppose, didn't have as much patience: "You idiot, you fool."
</t>
  </si>
  <si>
    <t xml:space="preserve">At that moment, there was this woman who was practically alone, and, honestly, it affects you a little because you feel sorry for her, but we're there, doing our job.
</t>
  </si>
  <si>
    <t xml:space="preserve">
"I don't understand the mindset we have that Mercadona is cheap, because they don't really offer any discounts."
</t>
  </si>
  <si>
    <t xml:space="preserve">"This time, we're going to one of my favourite regions – the land of fish and chips, of those people with that distinctive way of speaking, that group who everyone talks about in their own language, but who don't speak anyone else's language. Let's find out what England is really like.
</t>
  </si>
  <si>
    <t xml:space="preserve">
"I didn't enjoy the PhD program because everyone was in a precarious situation, feeling lost. There was this young woman who finally graduated at the age of 35, because her parents had finally let her move out, and I thought, 'No, this isn't for me.'"
</t>
  </si>
  <si>
    <t>I was a Biology, Physics, and Chemistry teacher, covering the equivalent of Year 8 up to Year 12. The best of everything. So, there you go.</t>
  </si>
  <si>
    <t xml:space="preserve">"You know, honestly, I had a couple of brothers who were taking classes there, and of course, they didn't know any English, so they couldn't really manage. Because I was a really friendly and helpful teacher, the deputy headteacher said to me: 'Listen, why don't you give them the exams, translate them for them, and so on.' So I'd just tell them the answers, you know?"
</t>
  </si>
  <si>
    <t xml:space="preserve">
"The questions are marked with points. If you do something, it's worth one point. If you do something else, it's worth another point. They award marks very generously."
</t>
  </si>
  <si>
    <t xml:space="preserve">Don't worry, it's just that they were all taller than me, which is normal, I suppose. They also found me to be quite cheeky, and I would pretend to be angry.
</t>
  </si>
  <si>
    <t xml:space="preserve">
"My friend's kids laugh a lot. 'Well, now what?' they ask. 'You were so keen on it there, how polite everyone was. Here you go.'"
</t>
  </si>
  <si>
    <t xml:space="preserve">"I've never had arguments with British women like that, you know, the unattractive ones. They used to sneak into Tesco."
</t>
  </si>
  <si>
    <t xml:space="preserve">And I also had a family from France. I'm going to defend the French. The French were very attentive. The French really look out for each other, like a collective.
</t>
  </si>
  <si>
    <t xml:space="preserve">
"Occasionally, the headmistress and my head of studies have scolded me. Please, it's obvious you're Spanish."
</t>
  </si>
  <si>
    <t xml:space="preserve">We used to hold an event organised by the Parents' Association (AMPA) at the end of each term. It was a bit like an assembly line. We would stay in our chairs, and the parents would come by in shifts. It was this young girl's turn; she was studying humanities.
</t>
  </si>
  <si>
    <t xml:space="preserve">It was her turn, and she explained it to the father: "She got a 4, but we're going to try to help her pass the next one." Then, she put her arm around the girl in front of me. I felt a wave of anger wash over me.
</t>
  </si>
  <si>
    <t xml:space="preserve">She had the audacity to hit her daughter in front of a teacher. She was completely drunk.
</t>
  </si>
  <si>
    <t xml:space="preserve">No, in the end, my deputy head and my head teacher defended me. Two absolutely brilliant guys.
</t>
  </si>
  <si>
    <t xml:space="preserve">My deputy director was a retired military gentleman with a PhD in Shakespeare, and he was extremely left-wing.
</t>
  </si>
  <si>
    <t xml:space="preserve">
"My favourite quote would be: 'What we have done, something you didn't do, is to deceive people.' It's just brilliant, honestly, mate."
</t>
  </si>
  <si>
    <t xml:space="preserve">"Mate, who taught you Spanish so you could speak it so well?"
</t>
  </si>
  <si>
    <t xml:space="preserve">
Do you like Spanish music? Yes, Canto del Loco, Amaral, La Oreja de Van Gogh. This is really good, mate.
</t>
  </si>
  <si>
    <t xml:space="preserve">Most comedians are from Osaka, which means they're known for being quite cheeky.
</t>
  </si>
  <si>
    <t xml:space="preserve">As a Japanese person, doesn't it seem a bit strange to you that practically everyone is so keen on Japan?
</t>
  </si>
  <si>
    <t xml:space="preserve">In fact, in 2022, when the Olympic Games were held here in Japan, I saw Kureha, and I said a phrase from Mariano Rajoy to her. And she burst out laughing.
</t>
  </si>
  <si>
    <t xml:space="preserve">
"For them, the idea of Spain is: beaches, sunshine, sangria, paella, and bullfighting. So, if you show them a picture of Asturias or Galicia, they'll say, 'No, that's not Spain.'"
</t>
  </si>
  <si>
    <t xml:space="preserve">And then they come to Mallorca, buy their houses, and there's a neighbourhood in Mallorca where everything is written in German. I feel bad saying it, because I say, "Come on, no, that's just a stereotype, we need to break down stereotypes," but it's true.
</t>
  </si>
  <si>
    <t xml:space="preserve">And then, my colleagues who are working in a Gymnasium told me, "Oh, damn, all my students have eight German surnames." "Bloody hell," I said.
</t>
  </si>
  <si>
    <t xml:space="preserve">
"And it makes you think: If the separation is supposed to be based on academic performance, whether they perform better or worse, then why do I have students in my class who are absolute geniuses? Students who are incredibly bright, real whizzes."
</t>
  </si>
  <si>
    <t xml:space="preserve">
"Of course, children are full of surprises."
</t>
  </si>
  <si>
    <t xml:space="preserve">
"A child saw me and said, 'Are you married? Do you have a partner? Well, I don't care. You're in Spanish class.'"
</t>
  </si>
  <si>
    <t xml:space="preserve">And I said, "But how dare you call a teacher that? Don't you even think about it, don't call me that, I'm not a dog."
</t>
  </si>
  <si>
    <t xml:space="preserve">If they see that something bothers you, instead of stopping, these cheeky people will actually do it more.
</t>
  </si>
  <si>
    <t xml:space="preserve">
Well, nothing much, but I only finished recently, and right up until a week before I finished, we were arguing with him about it. And he started doing it, and then others started doing it too. And of course, it's like stupidity is contagious.
</t>
  </si>
  <si>
    <t xml:space="preserve">"Of course, I mentioned it to the people at the Gymnasium, and they told me: 'Wow, that hasn't happened to me at all. Imagine having your child and then getting slapped across the face with an open hand, or things like that,' they said."
</t>
  </si>
  <si>
    <t xml:space="preserve">When you combine problematic people with problematic people, all you're going to get is problems. It's a segregation system, it's unbelievable.
</t>
  </si>
  <si>
    <t xml:space="preserve">I laugh because it's like: "Well, we all know what's going on, right? No need to mention it, right? So, off to Germany, right?" You say: "Damn, we haven't learned anything, I'm so frustrated."
</t>
  </si>
  <si>
    <t xml:space="preserve">Whether you approach it from the perspective of: "Well, of course, it's a state school, so you're not that bright, are you?" you're already subtly categorising the child, aren't you? In other words, you're here because you're not that bright. Meritocracy at the age of 12? Don't be ridiculous.
</t>
  </si>
  <si>
    <t xml:space="preserve">"I had a very idealized view of Germany when I arrived, because they paint a very rosy picture. They tell you that you'll easily find a job because there's a lot of demand, or something like that."
</t>
  </si>
  <si>
    <t xml:space="preserve">What I find amusing is that they then treat us as if we're the last people on Earth.
</t>
  </si>
  <si>
    <t xml:space="preserve">
"And, well, that's just it – not everything that glitters is gold."
</t>
  </si>
  <si>
    <t>"It was a shock, but not that much, because I've lived abroad before, and I speak English well, so it wasn't too difficult for me to adjust. Also, it was a bit of a culture shock because my school in Spain is very chaotic; things are organised on a day-to-day basis, so to speak, and there's a real lack of organisation. That's what I found most challenging."</t>
  </si>
  <si>
    <t xml:space="preserve">"And on the first day of school, well, of course, they throw so much at you and you have to put on a show, and you can't be yourself, you can't be overly casual from the very beginning."
</t>
  </si>
  <si>
    <t xml:space="preserve">
"I'm going to interrupt for a moment. This happens to me too, because I say "America." Actually, I'm referring to Americans. And then people from Latin America say, "Excuse me, but you're a complete idiot because America is everything, not just those bloody Yankees."
</t>
  </si>
  <si>
    <t xml:space="preserve">"It's true that last year, she was a student who was constantly challenging me. I would assign her a task, and she would always argue about something, I don't know what. And on top of that, she was a student who was often absent. I had already had a few disagreements with her, and she would always argue with me.
</t>
  </si>
  <si>
    <t xml:space="preserve">What I was saying earlier is that my perspective has shifted a bit, especially regarding grades. Because you really see the backgrounds of everyone, and what you realise is that this [grades] isn't important to them.
</t>
  </si>
  <si>
    <t xml:space="preserve">
"There have been many deaths like that, caused by a fight in the street, because of an argument, sometimes happening outside a bar. Suddenly, *bang, bang*, and in the end, someone is dead because they pulled out a weapon."
</t>
  </si>
  <si>
    <t xml:space="preserve">
When you run a campaign, obviously, you always try to involve content creators or celebrities, whether it's a footballer or musicians. And for a campaign we did with Exhibit, a very famous rapper who's also known for modifying cars, we did a really cool campaign with him. He's a lovely guy, and he was very charming, but, honestly, he asked us for a bag of marijuana.
</t>
  </si>
  <si>
    <t xml:space="preserve">"Look, the thing about drugs in the advert is quite interesting, isn't it? Honestly, you don't really understand how it works until you meet people who are genuinely using it every day. A lot of people think they're rock stars."
</t>
  </si>
  <si>
    <t xml:space="preserve">One thing that became very clear to me, something they say you also realise as you get older, but in this world, it's more like everyone is taking drugs.
</t>
  </si>
  <si>
    <t xml:space="preserve">"I started as an intern just on the anniversary of an agency. They rented a bar and decorated it with a mix of American and Latin American styles, you know, that kind of vibe. And, well, it was my first day."
</t>
  </si>
  <si>
    <t xml:space="preserve">"I worked in a building, at a multinational company. They put out a statement – it was an agency full of really posh people, all obsessed with making money, and we were all supposed to be the best. But there was this... incident, you know, a mess outside the toilet."
</t>
  </si>
  <si>
    <t xml:space="preserve">
"And what really angered me when I entered the industry is that it's a very class-based industry. Not just because of who you work with and all that, but also because of access itself. It's frustrating. If you live in Madrid or Barcelona, which is where everything is, when you have to come here, you have to do the master's degree, which is a master's degree that's basically been made up.
</t>
  </si>
  <si>
    <t xml:space="preserve">It's no longer just about being the most talented, having the best ideas, or being the best at design or writing. You either need a financial safety net from your parents, or you need to be really driven and tough to make it work. You have to do other jobs on weekends, find freelance work on your own, get paid "off the books," and basically hustle to survive.
</t>
  </si>
  <si>
    <t xml:space="preserve">"Hi, my name is Claudi, and yes, I work at Starbucks, where you pay 37 euros for them to take out a kidney and call your name. And on top of that, they don't even write it down anymore."
</t>
  </si>
  <si>
    <t xml:space="preserve">
"I'm going to cut open a melon. In your videos, you criticise the French a lot. But today, I'm here to defend them, mate. They're the least intrusive."
</t>
  </si>
  <si>
    <t xml:space="preserve">
It was in the morning, but I'm telling you this at 7:30. We saw a young girl and a young boy walk in. They went and sat at the bar and started getting all affectionate, giving each other proper kisses, and we were just thinking, "Okay, fine."
</t>
  </si>
  <si>
    <t xml:space="preserve">"Honestly, in those two years I was there, I was a completely different person. I was miserable day after day. It really takes a toll on you when people treat you so badly.
</t>
  </si>
  <si>
    <t xml:space="preserve">
"So, I went to look at the apartments, and they were, well, maybe like a ground-floor flat, damp, with one disgusting room. And they were asking a thousand euros each. I managed to really plead with the people at the residence. There might be a place, but you'd have to share with five Israelis. I'm just glad to have somewhere.
</t>
  </si>
  <si>
    <t xml:space="preserve">
"He then took us to a room, where there was a group of about 10 men sitting around. He seated us and told us to ask anything we wanted. We spent about two hours talking about Islam, asking him questions and discussing his views on heaven, Islam, and Christianity. He even asked us about something we had heard, and what we thought about it. Of course, we left with this guy; we had a really good chat for two hours, and I even have a Polaroid photo with him."
</t>
  </si>
  <si>
    <t xml:space="preserve">
There was this girl, she was from the UK, and her family were extremely religious, like, incredibly religious, Protestant. The typical thing, skirts down to her ankles, she'd never done anything with anyone, you know.
</t>
  </si>
  <si>
    <t xml:space="preserve">
"And how was Cairo? It's really beautiful, like those pyramids you mentioned. Wow, it's probably the most impressive thing humanity has ever created."
</t>
  </si>
  <si>
    <t xml:space="preserve">We did a 14-day trip. We were in Urgeada, and there was this really random guy who started following us. I can't even remember his name.
</t>
  </si>
  <si>
    <t xml:space="preserve">"It's true that, perhaps, with Israeli people, well, I have many friends there, and they're Jewish, not necessarily Israeli, and everything is great, they're good people. But it is true that, perhaps, the general feeling, especially at the beginning, was sometimes that they were a little... not disrespectful, but they did seem to look down on you somewhat.
</t>
  </si>
  <si>
    <t xml:space="preserve">"I left Jerusalem in July 2023, and there was a lot of very intense tension. They might have fired five thousand missiles at Tel Aviv in a single day, which they never usually do."
</t>
  </si>
  <si>
    <t xml:space="preserve">Sure, I remember many times when I was probably at my jeweller's, because I had a jeweller in Jerusalem, and the guy was a real character.
</t>
  </si>
  <si>
    <t xml:space="preserve">
"Keep in mind that military service is compulsory for both men and women. It's like, well, imagine you give an 18-year-old a rifle – an AR-15 – and you tell them, 'You're going to put on this uniform and you're going to stand there like a rooster, in front of all your colleagues, defending the promised land because you're a messenger of God.'"
</t>
  </si>
  <si>
    <t xml:space="preserve">At the checkpoints, of course, everyone was my age, and it's not like military service in Finland. Yes, yes, it's not the military. Basically, they pick you up and send you to Lebanon.
</t>
  </si>
  <si>
    <t xml:space="preserve">It's a bit of a coincidence, actually. I used to work at a different scare attraction. I saw an advert on Instagram for an escape room that I'd been to before, and I thought, "Why not? I might as well give it a go."
</t>
  </si>
  <si>
    <t xml:space="preserve">And what's great about it is that. Thanks to the people who really get involved.
</t>
  </si>
  <si>
    <t xml:space="preserve">But what I find most amusing, if I can put it that way, are the families. They're absolutely hilarious.
</t>
  </si>
  <si>
    <t xml:space="preserve">There's a body, or something like that, I don't know exactly, I don't know how many. We have to get rid of the... well, you know. There's a key moment, a moment of tension, and my colleague, or rather, we play the part of the bad cops, and she says, "Right, I'm sending you all to meet your maker."
</t>
  </si>
  <si>
    <t xml:space="preserve">
"You're watching the escape room, and you can see all sorts of people, but what's it like when a 'chav' is involved? You get a group of 'chavs' there.
</t>
  </si>
  <si>
    <t xml:space="preserve">"When I was 12 years old, my father was looking for a job, and you know how it is – you apply for everything and see what comes up. He got offered a position, and he said, "Well, I guess we have to give it a try." What kind of job was it? It was as a bridge engineer. Wow, what a tough job that must have been.
</t>
  </si>
  <si>
    <t xml:space="preserve">Someone who hadn't been to Albacete found themselves on a 12-hour flight completely full of Vietnamese people. And I, well, I'd probably seen very few Vietnamese people in my life. I was just listening to them talking and completely amazed.
</t>
  </si>
  <si>
    <t xml:space="preserve">
Is your teacher still there? I think he probably retired already, because he'd been working there for a very long time, at a whole bunch of schools all over the place.
</t>
  </si>
  <si>
    <t xml:space="preserve">
"Once, a woman was looking at the glass, she grabbed my arm and asked me why the Romans built downwards. Everyone burst out laughing."
</t>
  </si>
  <si>
    <t xml:space="preserve">
Right, so there were the gargoyles on the churches, you know, like that. There's a church in Barcelona called Santilli Pereri, which is a beautiful church, that was bombed during the Spanish Civil War.
</t>
  </si>
  <si>
    <t xml:space="preserve">
There are a lot of people who think that here in Spain, we're taught from a young age that Columbus was the saviour, and all that sort of thing. When they come here, I believe that, in good faith, they genuinely want to completely change that perspective.
</t>
  </si>
  <si>
    <t xml:space="preserve">Parents or mothers who come to Barcelona to see their child are often doing a tour with them, and perhaps haven't seen their child for a year. They're excited because they see what their child is achieving and they see that they're in a great place.
</t>
  </si>
  <si>
    <t xml:space="preserve">There have been thefts on these tours. That's another issue we can discuss.
</t>
  </si>
  <si>
    <t xml:space="preserve">"It's a bit frustrating because, ultimately, what you want to do is offer a great tour in two hours, explaining the history of Jews and Christians, or whatever, and they look at you with this expression, like, 'Oh, but he's a young Catalan separatist,' and it's a little difficult to shake off that stigma."
</t>
  </si>
  <si>
    <t xml:space="preserve">
But is Antonio Gaudí still alive? They actually asked me if he's still alive.
</t>
  </si>
  <si>
    <t xml:space="preserve">
"One of the things I like is the "historical relative" phenomenon. I always associate it with cathedrals. It's like a magnet for those "historical relatives" who stand in front of a facade and say, "This is Romanesque, this is Gothic, this has everything."
</t>
  </si>
  <si>
    <t xml:space="preserve">"Later, you have more conventional families, let's say, who are looking for the best possible education for their children, but they end up in these schools, where there's this stark contrast between exceptionally well-behaved and well-presented children. There's no in-between."
</t>
  </si>
  <si>
    <t xml:space="preserve">At home, they receive no education; they have no boundaries whatsoever. Then they come to school, and one teacher tells them, "Sit down, take out your book," and they see it as, "I'm here because the law forces me to be."
</t>
  </si>
  <si>
    <t xml:space="preserve">"In that type of school, the priority is for the child to be there from 9 to 2, and for nothing serious to have happened, for the children to leave school feeling happy."
</t>
  </si>
  <si>
    <t xml:space="preserve">"Were the older kids ever cheeky with you? They're cheeky knowing they're being cheeky.
</t>
  </si>
  <si>
    <t xml:space="preserve">"I often walk home with children because I pass through the neighbourhood. And the child will come along, say goodbye to the teacher, and go into their house, which is a ground-floor flat with the door open."
</t>
  </si>
  <si>
    <t xml:space="preserve">
"The thing is, they don't like school. I can just imagine one of those kids saying, 'I want to study a degree,' and the parents replying, 'But you're an idiot, as soon as you're old enough, you're going to start working with me.'"
</t>
  </si>
  <si>
    <t xml:space="preserve">"It was a huge exaggeration, but families sometimes have to move out of the neighbourhoods because they're having problems. It's not the children who are causing the problems, but the parents, with other families. And the children have to change schools, so anything they've learned is essentially wiped clean, and they have to start all over again."
</t>
  </si>
  <si>
    <t xml:space="preserve">Does it require some kind of educational method to at least save a few from that mess, or do we have to resign ourselves to the fact that if you're born in a certain place, you're doomed? That's it.
</t>
  </si>
  <si>
    <t xml:space="preserve">He cheated on me, he's a jerk, he ran off with three girls from the same class, he went off with the girl from year five and the youngest boy. These things happen in school.
</t>
  </si>
  <si>
    <t>I had a major issue with a parent, but it wasn't during a tutoring session. Parents often look for opportunities to cause problems.</t>
  </si>
  <si>
    <t xml:space="preserve">My goal for these years is to be able to say that there are fewer unemployed people because the employment department has been effective in matching people with jobs. There's a company, and someone needs a job; just that alone, I think, would be enough to fill my working hours.
</t>
  </si>
  <si>
    <t xml:space="preserve">"I'd love to have a system like the one you get when you join a company – the onboarding process. A document with all the projects, what needs to be done, what's left to do, and the budget I have."
</t>
  </si>
  <si>
    <t xml:space="preserve">
"Tell me some stories, mate. Imagine your neighbour from next door suddenly starts giving you a really forceful shove, and you're completely taken aback."
</t>
  </si>
  <si>
    <t>Here, you still get that sense of community, that neighbourhood feel. I know the neighbour across the street, the one next door, I don't know, just lots of people. That kind of thing doesn't exist in Madrid. And it's less common in other places too.
sm.</t>
  </si>
  <si>
    <t xml:space="preserve">"One of them, for example, they called him 'Patillas' (which roughly translates to 'Mustache'), although I don't know why they called him that, because he didn't actually have a mustache. He was an older man with a really bad temper. He would come along with his walking stick and always went through the self-checkout lanes.
</t>
  </si>
  <si>
    <t xml:space="preserve">
The same thing happened. I met the lady you mentioned, the one you said you'd been buying from here for 50 years, but then, every time I came, she'd ask me where the eggs were – it was ridiculous, mate.</t>
  </si>
  <si>
    <t xml:space="preserve">Ultimately, you're not supposed to swear, because it looks bad, although I do admit that sometimes people have told me to go to hell. And I've told people to go to hell too.
</t>
  </si>
  <si>
    <t xml:space="preserve">No, I also admit that I've often gotten angry, but I haven't come to blows. There was one day when they almost had to separate me from someone because he told me he was going to "cross my face" [a threatening expression]. And I told him: "Go ahead, shout and insult me," you old man.
</t>
  </si>
  <si>
    <t xml:space="preserve">
Once upon a time, there was a woman, and she had a shopping trolley that was completely full. I walked past, and she started speaking to me very rudely, saying she needed another trolley. So, I said, "Well, go and get one, then," didn't I?
</t>
  </si>
  <si>
    <t xml:space="preserve">"It's a supermarket like Mercadona, like Carrefour, like Lidl, or like Día. We're not talking about high-end places, where the salespeople have to be overly attentive because they need to sell something and earn commissions."
</t>
  </si>
  <si>
    <t xml:space="preserve">"But then, the next coupon I tried to scan didn't work because the price of the plastic bags had gone up, and plastic bags weren't eligible for the discount. So, of course, the entire transaction had to be cancelled, we had to start all over again, and he got really annoyed."
</t>
  </si>
  <si>
    <t>My mother is constantly teasing me, saying that I've come back a completely different person.</t>
  </si>
  <si>
    <t xml:space="preserve">They actually prefer it if you speak to them in Spanish rather than in English. They have a bit of a dislike for the English.
</t>
  </si>
  <si>
    <t xml:space="preserve">
"For example, I was asked to talk a little about the Spanish Civil War, or about a class where I had to discuss the Danza de Valencia. And, of course, I was talking about something that could be a bit difficult for me, and there was a young boy next to me who was constantly making jokes and teasing me, which, for me, was awful."
</t>
  </si>
  <si>
    <t xml:space="preserve">
People often told me they wanted to come on holiday to Spain. And I would tell them, "When you're at the airport, if they ask you, say you're going to Portugal." And they wouldn't suspect a thing.
</t>
  </si>
  <si>
    <t xml:space="preserve">
They completely blindsided me with the boyfriend question. A 13-year-old boy who left me speechless.
</t>
  </si>
  <si>
    <t>But then there was a moment when I was entering the classroom, and suddenly I saw 4 or 5 of my students with their faces completely covered in pen markings. My first thought was, "This is crazy."</t>
  </si>
  <si>
    <t xml:space="preserve">
One of the lovely things about that age is the romances. Oh, what a mess! There were mixed-gender bathrooms at the school. I never went into those bathrooms.
</t>
  </si>
  <si>
    <t xml:space="preserve">"And I would spend an entire weekend preparing lessons, putting a lot of effort into them, working hard, creating PowerPoint presentations, and designing escape rooms, only for then, in class, to have 5 students falling asleep, 7 talking, 3 not listening to me at all, and 2 completely disrupting the class."
</t>
  </si>
  <si>
    <t xml:space="preserve">
So, I arrived and went out partying for seven days straight, I'm not exaggerating. And of course, people were shocked, like, "What on earth is wrong with this girl?" But the people were really nice. The people in my accommodation were Spanish. The others weren't.
</t>
  </si>
  <si>
    <t xml:space="preserve">Kit Kat is a nightclub where, basically, people go to have sex. I mean, people go there naked, completely bare, obviously, but the interior design is fantastic, really.
</t>
  </si>
  <si>
    <t>"It's not just about the bad stuff anymore, or the tourists; it's about the atmosphere in the city centre at night. There are these characters, these NPCs, who come up to you with a microphone and start rapping, like, "No, it's me, the redhead girl, I don't know what." And there's the one dressed as Michael Jackson, wearing a glove. You can tell something's not quite right with him; he was wearing a white glove and walking backwards."</t>
  </si>
  <si>
    <t xml:space="preserve">Here, I saw this really friendly-looking camera. The thing is, if someone was being a pain, you know, if they were being a real nuisance, there were people who would say, "No, but give me the biggest glass."
</t>
  </si>
  <si>
    <t xml:space="preserve">"In the end, the city centre is full of tourists, which I understand brings in money and is what sustains us, but we should also reclaim our own space and enjoy it."
</t>
  </si>
  <si>
    <t xml:space="preserve">"Mate, they were pulling out their penises and pissing on the bar. And, to make matters worse, it was an L-shaped bar, and he pissed right where I could see his penis. So, yeah, mate, I saw a penis peeing."
</t>
  </si>
  <si>
    <t xml:space="preserve">"I understand what you mean, about the complete destruction of a toilet. So, you're saying, you had this massive, prolonged diarrhoea, filling the entire toilet, and you must have gotten it all over your back."
</t>
  </si>
  <si>
    <t xml:space="preserve">
There's an outdoor area with a padel court, then there's the usual gym, and a section of the gym that's set up for spinning, so it's just bikes, you know? Those crazy people who go "pum, pum, pum," full blast, and you think, "What on earth for, at 9 in the morning?"
</t>
  </si>
  <si>
    <t xml:space="preserve">I wasn't that shocked because I also worked at a Burger King for almost two years. The bathrooms at Burger King are like a sort of training ground for this kind of thing. Basically, it's like saying, "I'm going to Afghanistan, yes, but I've seen it all before."
</t>
  </si>
  <si>
    <t xml:space="preserve">There's something that I call "the volcano," which is when a toilet gets blocked – specifically, when a toilet gets blocked while someone's having diarrhoea. It's a complete nightmare. You have to be in a really awful state.
</t>
  </si>
  <si>
    <t xml:space="preserve">"And I have a trolley with a bucket of dirty water and a bucket of clean water. She comes out of her classes, drinks some, and has a little water left. Instead of throwing it away, or going to the toilet to dispose of it because it's too much trouble, or I don't know what, she does this," she makes a clicking sound, "and empties it into the bucket of clean water."
</t>
  </si>
  <si>
    <t xml:space="preserve">"So, I cut out things that simply didn't benefit me. And I think, above all, that many people have this mindset: 'I'm going to achieve my dream job, or a job that pays me a lot of money.' I believe that what's more important than even money or your dream job is finding a job where you feel comfortable. It could be something that's not particularly glamorous or exciting, you know?"
</t>
  </si>
  <si>
    <t xml:space="preserve">
"That's exactly what I wanted to talk about. This guy, he was using hair gel in the swimming pool, mate. I told my colleague about it, I gave him a stern look and said, "Mate, he's using hair gel in the pool."
</t>
  </si>
  <si>
    <t xml:space="preserve">Translate this for them into French: if they literally don't know Spanish, and they're on holiday in Spain, let alone English, which is the international language, tell them to go to Bordeaux and have a glass of wine. And my colleague told them that. I'm getting my revenge for what Pepe Botella did, you see.
</t>
  </si>
  <si>
    <t xml:space="preserve">
Obviously, a little bit of showing off now and then. A little bit of telling people you've been on holiday in such and such a place. It's just that a nice photo doesn't hurt anyone. There's no need not to take photos.
</t>
  </si>
  <si>
    <t xml:space="preserve">She left it completely full of sand and kept insulting me. I was tired of her shouting, so I asked her to leave. Then, security had to come and tell her to either leave or stop shouting. They went to a different store where my brand isn't sold, and of course, since it's not their product, they don't bother. They see that the receipt is from another store, and then, without any fuss, they transfer the order, and the product arrives, completely ruined.
</t>
  </si>
  <si>
    <t xml:space="preserve">
"Often, it's animals; dogs chew through the fibre optic cable, and those connectors cost around £60 to replace. Once, I had a customer who was extremely upset; I called him to let him know I was coming, and he immediately started complaining, saying we'd been taking too long, and other things I couldn't quite make out."
</t>
  </si>
  <si>
    <t xml:space="preserve">"And, you know, I can't even connect the Wi-Fi on my phone. I feel really awkward when they give you the phone, because often you have to go into the browser and you find all sorts of strange things."
</t>
  </si>
  <si>
    <t xml:space="preserve">"Also, those in Gibraltar pay less tax. This is the case for the English; but for someone from here who works there, they're being exploited. I file two tax returns. When I was working at the McDonald's in Gibraltar, I paid 760 euros in tax."
</t>
  </si>
  <si>
    <t xml:space="preserve">
"The problem was at the beginning, when I started. There were things they would ask for, and you'd think, 'What on earth are they asking for?' Like, chicken nuggets, fries, a regular Coca-Cola, a cheeseburger with no cheese and no onions."
</t>
  </si>
  <si>
    <t xml:space="preserve">Yeah, yeah, I've had a few. Well, honestly, I can't tell you what, because I hadn't a clue what she was talking about.
</t>
  </si>
  <si>
    <t xml:space="preserve">An elderly lady called me and told me her card had been stolen in a bar, she didn't know the details, just a lot of rambling. Apparently, she went to the toilet and when she came back, it was gone.
</t>
  </si>
  <si>
    <t xml:space="preserve">Scams. And you have to be very careful because they're really awful people, you know? At first, you might think, "Well, only gullible people fall for that, right?" It's not that difficult to avoid.
</t>
  </si>
  <si>
    <t xml:space="preserve">"They even call you from the tax agency. A few years ago, they called people pretending to be the "Universal Basic Income" tax agency. They would ask for a €100 Bizum transfer to a specific number to "verify" their identity. Of course, then neither the income nor anything else materialised.
</t>
  </si>
  <si>
    <t xml:space="preserve">He tells me, "This phone number is a paid service." I tell him, "No, sir, it's not a paid service." He insists, "Yes, it is." I kept saying, "No, sir, it's not a paid service." Then he mutes the call, and I hear him say, "That idiot doesn't understand anything." He unmutes the call, and I say to him, "Well, sir, what you should do is find another idiot who knows something, eh?"
</t>
  </si>
  <si>
    <t xml:space="preserve">
"I tell the story like this, and I say, haha, how funny, because you're not actually doing anything bad, you're just changing the lightbulb. I mean, you're not putting their entire life on hold."
</t>
  </si>
  <si>
    <t xml:space="preserve">
Raquel will always hold a special place in our hearts on this channel. And every so often, people who have rewatched the video, or new viewers who have discovered our videos, ask, "When is this young woman going to come back?" Well, she's back.
</t>
  </si>
  <si>
    <t>I haven't stopped travelling. Now I'm travelling to Burgos. Apart from travelling to Burgos, it's lovely, isn't it? The area where I work is really beautiful.</t>
  </si>
  <si>
    <t xml:space="preserve">We went to the house of a couple, a British couple, who were really lovely. They lived in the most rural area you could imagine, way out in the countryside of Burgos. They'd been living there for ages.
</t>
  </si>
  <si>
    <t xml:space="preserve">"You see all sorts of things. You go to someone's house, and you see the conditions they live in. You see if they're on their own, if they have children living somewhere else, if they can manage on their own, and you see what their house is like. You witness it all."
</t>
  </si>
  <si>
    <t xml:space="preserve">So, if you were to ask, like, "Hey, Eugenia, is everything alright?" you might notice that she's been coming alone for a while, or that she seems more tired lately, or that she has a certain identity, a circle of people who identify with her and who look out for her in some way. In the city, it seems to me that we're all more anonymous. In the city, we're all just NPCs.
</t>
  </si>
  <si>
    <t xml:space="preserve">Investing time in building that connection with your surroundings is also very important. We don't highlight it enough, like "wow, that's amazing, it's going around the world, it's incredible, it's fantastic!"
</t>
  </si>
  <si>
    <t xml:space="preserve">I'd already had this idea since I was 12, basically being a complete, awful otaku, but a really bad one. But then, from the age of 12 to 22, you think, "How the hell am I going to get to Japan?"
</t>
  </si>
  <si>
    <t xml:space="preserve">Japan? I don't care for it. In other words, Japan is the worst experience I've ever had in my life. But both the good and the bad, you know?
</t>
  </si>
  <si>
    <t xml:space="preserve">"They're just so obsessed with money and all that, they assume we're asking them how much we earn. They write it down on a piece of paper, like, 'Here's your rate,' or something, I don't know exactly how much they've paid.
</t>
  </si>
  <si>
    <t xml:space="preserve">"Now you see us like this, all made up and everything. But when I go to work every day, I have to take off my piercings and hide my septum. I have to put on shapewear. Basically, I have to pretend to be someone else for my entire working life. I have to wear clothes that are somewhat formal, I don't know what to call it."
</t>
  </si>
  <si>
    <t xml:space="preserve">
"So, you need to subtly suggest to the girl who likes to make things up that it was really just an accident, so she doesn't go and tell her mother that they fought, otherwise the other little girl will face a lot of consequences."
</t>
  </si>
  <si>
    <t xml:space="preserve">
"It's all very magical. It's also very top secret. They're very strict about employees not posting anything on social media."
</t>
  </si>
  <si>
    <t xml:space="preserve">"The conditions are really good. This is exclusive to employees. Look at the kind of merchandise they have. It's this little jacket; you see it and think, 'That's nice'."
</t>
  </si>
  <si>
    <t xml:space="preserve">
They're so proud of French culture. France is the best, the French are the best, French cuisine is the best, and I, frankly, think French cuisine is overrated.
</t>
  </si>
  <si>
    <t xml:space="preserve">
Look, my name is Iván, for anyone who doesn't know me. And as I've already explained perfectly, I used to work by being negative and, frankly, being a pain to people, trying to convince them to let a colleague visit their home.
</t>
  </si>
  <si>
    <t xml:space="preserve">I turn around, and there he is, holding his hand out like this, with a bloody green budgie. It had fallen out of a tree. I said, "Right, that's it then. Time for the vet." I opened its wing and started to examine it. And then I thought, "What am I supposed to do with this bloody budgie?"
</t>
  </si>
  <si>
    <t xml:space="preserve">"But listen, they had to call my mum. And to top it all off, because my mum happened to be taking a day off, I had to deal with it. They even took away the little pouch I had from the Red Cross. Seriously."
</t>
  </si>
  <si>
    <t xml:space="preserve">The Red Cross said they were going to report the police on my behalf, I don't know what for. Then the police apologised. Just another bizarre thing, mate. This nomadic lifestyle I have really gets to me, to be honest.
</t>
  </si>
  <si>
    <t xml:space="preserve">
"That day, I broke the record for the highest number of coupons sold for the Red Cross in all of Spain, I think. I sold 218 coupons in a single day. It was like, you know, a huge crowd of cars, and I was thinking, "Wow, everyone here is making a lot of money." And me, well, it depends on the location, but I have a particular approach.
</t>
  </si>
  <si>
    <t xml:space="preserve">You opened my eyes, as it were. I'm involved in this, but it's not really my passion.
</t>
  </si>
  <si>
    <t xml:space="preserve">"There's a wide range of landlords. Some are only interested in maximising their profit, while others are very careful about who they rent to. They'll talk to potential tenants before accepting them, or they have very strict criteria. For example, I have one landlord who only accepts families with good references.
</t>
  </si>
  <si>
    <t xml:space="preserve">Then there's the typical person who says, "No, no, I don't want tourist traps, I want an authentic experience." And you look at them and think, "You don't know what you're asking for."
</t>
  </si>
  <si>
    <t xml:space="preserve">"It's a complete mess. Basically, you can't get involved with any of the passengers; you can't have any kind of relationship. And I thought that was strictly forbidden."
</t>
  </si>
  <si>
    <t xml:space="preserve">People have a lot of animosity towards the French, and I understand that, but I have to say that, in my case, I developed a dislike for Italians. They're like Spaniards, but on the most irritating level possible.
</t>
  </si>
  <si>
    <t xml:space="preserve">Right, let's tackle this topic. In the previous video, we talked about less affluent areas, but now we're talking about affluent areas. We're talking about ultra-Catholic private schools in the centre of Madrid, where I've encountered some of the most pretentious people you can imagine.
</t>
  </si>
  <si>
    <t xml:space="preserve">"Once, I think it was around July, we had a French customer. The typical French customer, around 50 or 60 years old, you know? His car broke down, and he had to contact his insurance company in France. The thing is, the gentleman didn't speak a word of Spanish, you see?"
</t>
  </si>
  <si>
    <t xml:space="preserve">
The mechanic said to me, quite bluntly, "Tell that bloody foreigner not to worry, his car will be ready on Friday afternoon."
</t>
  </si>
  <si>
    <t xml:space="preserve">Whenever I've filmed a video in England and encountered an Irish person, the most common comment I've received in all the videos I've filmed there is something along the lines of "telling the English off" – essentially, criticising everything about England.
</t>
  </si>
  <si>
    <t xml:space="preserve">
"So, we were out celebrating, and when we got back, it was the usual thing, because all the bars and clubs there close at 2 in the morning. At 2 in the morning, you're straight home. And that's when the Irish, like the Greeks, really start to let loose, you know, they get really rowdy.
</t>
  </si>
  <si>
    <t xml:space="preserve">"The historical accuracy is a bit... well, I really like it. I'm a huge fan of the history of fashion. And I often think, 'Why isn't that done correctly?' 'Have they done a good job of not including horns?' At least they've done that well. Of course, regarding the costumes and things like that, they don't always adhere strictly to historical accuracy.
</t>
  </si>
  <si>
    <t xml:space="preserve">Okay, before I tell you the story, I have to ask you something. It's something that India is very well known for, in terms of its cuisine, and especially based on the experiences of many friends of mine who have been there: it's the "Delhi belly."
</t>
  </si>
  <si>
    <t>These monkeys, which travel in groups of around 30 or 40, would sometimes jump into the embassy area. You'd see them from a distance and think, "Wow, how cute," or you'd see the mothers with their babies clinging to them. And there were these big monkeys that looked like meatballs, you know, just incredibly fat.</t>
  </si>
  <si>
    <t xml:space="preserve">You're treated differently, both positively and negatively. They assume you're from a high social class, that you have money, and sometimes they see you as a walking cash machine.
</t>
  </si>
  <si>
    <t>"They put on a whole show for you when you order a bottle of Don Perignon or whatever champagne it is. It's standard in Madrid, I'll tell you. It's all very showy. There are probably a lot of little Indian 'Nicolas' there. There's definitely a lot of 'Indian Froilán' behaviour. I don't know, I guess you just have to see who's trying to show off and who isn't."</t>
  </si>
  <si>
    <t xml:space="preserve">"Sometimes, women's rights leave a lot to be desired. It's still commonplace to hear that women should stay at home and do housework, which is, well, a rather outdated idea."
</t>
  </si>
  <si>
    <t xml:space="preserve">
There's a lot... Look, don't laugh, because we Spaniards aren't exactly perfect either, okay?</t>
  </si>
  <si>
    <t>There are places that everyone goes to, and I really want to know the ins and outs of the people who are supposed to be going to MediaMarkt.</t>
  </si>
  <si>
    <t>I've worked at MediaMarkt for about two and a half years. Luckily, or perhaps unluckily, I ended up at the Málaga store, specifically in Vialia, which is a very busy area and attracts all sorts of people.</t>
  </si>
  <si>
    <t xml:space="preserve">"And I was standing there, in front of them, with the gaming section – specifically, the keyboards and mice – where all those typical kids would come to fiddle with them."
</t>
  </si>
  <si>
    <t xml:space="preserve">Just imagine, an old man, my colleague, arguing with him, and another man right behind him, swearing at my colleague because he was saying the phone was faulty, and Santa Lucía had told him that the repair had to be done by them.
</t>
  </si>
  <si>
    <t xml:space="preserve">Then, the child appears in the doorway, walking past and saying, "Who's got the hot potato?" Because, you know, imagine having to deal with that kid – it's a nightmare.
</t>
  </si>
  <si>
    <t xml:space="preserve">
When I asked him which bank it was, he started again: "And why do you need so much information?" He was shouting there, right in the middle of the shop, getting really aggressive.
</t>
  </si>
  <si>
    <t xml:space="preserve">"So, how do you deal with situations like that? You have to come up with whatever you can think of because the guy is completely out of control, acting like a madman, and all you want to do is get out of there as quickly as possible."
</t>
  </si>
  <si>
    <t xml:space="preserve">In the shop, they would tell you that they didn't give refunds for products like that. But, of course, when you get a customer like that, completely unhinged, you don't want them in the shop causing trouble all day long. So, all you want to do is get rid of them.
</t>
  </si>
  <si>
    <t xml:space="preserve">People try to haggle with you, thinking that if they buy two laptops, I'll give them a discount. As if I own the shop! Mate, if I buy these two laptops, how much will you let me have them for?
</t>
  </si>
  <si>
    <t>I was completely taken aback. I saw the security guard get up and he immediately stopped the escalator. Then I saw an elderly man sitting on the floor next to the guard, bleeding heavily. I went into the storage room and started getting saline solution. I began to clean his wounds to see what his face looked like. His face was a mess.</t>
  </si>
  <si>
    <t xml:space="preserve">"It's me who ends up stressed out, because imagine this: you get hold of someone's ID, you process a loan for them, and then, if that person happens to be approved, the person who actually provided the ID gets into trouble.
</t>
  </si>
  <si>
    <t>"And then there was the typical kid who would come in with their dad, and they'd get all upset because the dad had bought them a Xiaomi, but the kid wanted an iPhone. The dad would look at me and say, 'Mate, how much does the cheapest iPhone cost?' He'd try to reason with the kid, but the kid was adamant – they just wanted the iPhone, no matter what.</t>
  </si>
  <si>
    <t>"Honestly, it bothers me. I've always been really affected by that kind of thing, where the child wants something just to be difficult, and the father ends up buying it because otherwise the child will throw a tantrum and cause a scene. If it were my father, he would have given me a good smack."</t>
  </si>
  <si>
    <t xml:space="preserve">He had stolen a Nintendo Switch, PlayStation controllers, and, in total, he stole goods worth approximately six thousand euros from the store. It was clear that this guy was fed up with stealing from us there, and he wanted to make things a little more difficult.
</t>
  </si>
  <si>
    <t xml:space="preserve">I wasn't there representing Apple, or with the people from Samsung, or with the people from Xiaomi. I was just doing my own thing.
</t>
  </si>
  <si>
    <t>"There was a point where he said to me, 'Well, eventually, things are going to boil over.' I got really angry, I slammed my hand on the table, and I said, 'Look, I don't want to put up with you or the nonsense you're spouting.'</t>
  </si>
  <si>
    <t xml:space="preserve">"Today, we're going to talk about that supermarket where you used to go shopping a few years ago because it was cheaper than 'El Copón', but now it's more expensive than anything!"
</t>
  </si>
  <si>
    <t xml:space="preserve">"The truth is, the atmosphere was really lovely, and I felt incredibly comfortable and at ease working there."
</t>
  </si>
  <si>
    <t>"I've never worn a more comfortable uniform in my life. People might say it's ugly, but honestly, it's really ugly.</t>
  </si>
  <si>
    <t xml:space="preserve">You shouldn't be embarrassed to ask questions, because people will ask you the most ridiculous things, so you have to be completely upfront.
</t>
  </si>
  <si>
    <t>The manager on duty that day went upstairs to check, to make sure everything was alright, and then came down and said to me: "Bloody hell, I've stepped in something awful, but it looks like someone had an accident in the entrance hall and then just kept walking forward."</t>
  </si>
  <si>
    <t>So, if someone steals something, you know they've stolen it, and then you see them the following week, and you say: \"Watch out for this one, you never know what they might do – they might pull a fast one on us</t>
  </si>
  <si>
    <t>One day, a man came in and said, "Someone has just stolen something between the boxes; they crawled along the floor behind the boxes, and the guy just ran off while stealing it."</t>
  </si>
  <si>
    <t xml:space="preserve">"One day, someone also tried to distract me from behind. They did it quite blatantly, because I didn't even turn around."
</t>
  </si>
  <si>
    <t xml:space="preserve">"I know there are people who are going to steal milk, a packet of pasta, rice, water, and so on. Well, frankly, you just have to accept it."
</t>
  </si>
  <si>
    <t xml:space="preserve">"There was a gentleman who was picking things up while talking on the phone with one hand, and then calmly putting them away with the other. And there was another gentleman behind him, who, I suppose, didn't have as much patience: 'You idiot, you moron.'"
</t>
  </si>
  <si>
    <t>At that moment, there was a woman who was practically alone, and honestly, it affects you a little because it's upsetting, but we're there, doing our job</t>
  </si>
  <si>
    <t xml:space="preserve">"I don't understand the mindset we have that Mercadona is cheap, because they don't really offer any discounts."
</t>
  </si>
  <si>
    <t xml:space="preserve">"This time, we're heading to one of my favourite regions – the land of fish and chips, the place with those distinctive teeth, that group of people everyone talks about in their own language, but who don't speak anyone else's language. Let's find out what England is really like."
</t>
  </si>
  <si>
    <t>I didn't like the PhD program because everyone was in a precarious situation, feeling lost. There was this young woman who finished her PhD at 35 because her parents had finally let her move out, and I thought, "No, this isn't for me."</t>
  </si>
  <si>
    <t>"I was a teacher of Biology, Physics, and Chemistry, covering the equivalent of Year 8 up to Year 12. The best of each subject, you could say. So, there you have it."</t>
  </si>
  <si>
    <t xml:space="preserve">Well, you know, I had a couple of brothers who were taking classes there, and of course, they didn't speak English very well. Since I was a really friendly and helpful teacher, the deputy headmaster said to me, "Listen, why don't you give them the exams and translate them for them?" So I'd just tell them the answers, you know?
</t>
  </si>
  <si>
    <t xml:space="preserve">The problems are scored individually. If you do something, you get a point. If you do something else, you get another point. They mark it down very meticulously.
</t>
  </si>
  <si>
    <t xml:space="preserve">Don't worry, it's just that they were all taller than me, which is normal, I suppose. And they also found me quite amusing, so I would pretend to be angry.
</t>
  </si>
  <si>
    <t>My friend's kids are laughing a lot. "Well, now what?" they ask. "You were always going on about how much you loved it there, how polite everyone was. Here you go."</t>
  </si>
  <si>
    <t>"I've never had any arguments with British women like that, you know, the ones who are a bit rough around the edges. They used to sneak into the Tesco all the time."</t>
  </si>
  <si>
    <t xml:space="preserve">
"And I also had a family from France. I'm going to defend the French. They were very considerate. The French really look out for each other, like a collective.
</t>
  </si>
  <si>
    <t xml:space="preserve">Now and then, the headmistress and my head of studies have given me a telling-off. Please, it's obvious you're Spanish.
</t>
  </si>
  <si>
    <t xml:space="preserve">We used to hold an evening event organised by the Parents' Association at the end of each term. It was a bit like an assembly line. We would stay in our chairs, and the parents would come by in shifts. It was one young girl's turn, and she was from the humanities department.
</t>
  </si>
  <si>
    <t xml:space="preserve">It was her turn, and she explained it to the father: "She got a 4, but we're going to try to help her pass the next time, hopefully." And then, in front of me, she looked the little girl directly in the face. I felt a wave of anger wash over me; it was awful.
</t>
  </si>
  <si>
    <t xml:space="preserve">"She had the audacity to hit her daughter in front of a teacher. She was completely drunk."
</t>
  </si>
  <si>
    <t xml:space="preserve">"No, in the end, my deputy head and my head teacher defended me. Two really great guys."
</t>
  </si>
  <si>
    <t>"My deputy director was a retired military officer, with a PhD in Shakespeare, and a very strong political stance – quite left-wing, actually.</t>
  </si>
  <si>
    <t xml:space="preserve">"My favourite line would be: 'What we did, which you didn't do, is trick people.' It's just brilliant, honestly, mate."
</t>
  </si>
  <si>
    <t xml:space="preserve">
"Mate, who taught you Spanish so you could speak it so well?"</t>
  </si>
  <si>
    <t>As someone who is Japanese, don't you think it's a bit strange that practically everyone is so obsessed with Japan?</t>
  </si>
  <si>
    <t>"In fact, in 2022, when the Olympic Games were held here in Japan, I saw Kureha, and I blurted out a quote from Mariano Rajoy. And she burst out laughing."</t>
  </si>
  <si>
    <t>"For them, the idea of Spain is beaches, sunshine, sangria, paella, and bullfighting. So, if you show them a picture of Asturias or Galicia, they'll say, 'No, that's not Spain.'</t>
  </si>
  <si>
    <t>"So that they eventually come to Mallorca, buy a house, and there's even a neighbourhood in Mallorca where everything is written in German. I feel bad saying it, because I think: "Come on, that's just a stereotype, let's break the stereotypes," but it's true."</t>
  </si>
  <si>
    <t>And then, my colleagues who are in a Gymnasium told me, "Oh, mine are all from families with eight German surnames." I was like, "Seriously?</t>
  </si>
  <si>
    <t>"It makes you think: If the reason for this separation is supposed to be about academic performance, whether they perform better or worse, then why do I have pupils in my class who are absolute geniuses? When academically, you're brilliant, you're just a bloody genius."</t>
  </si>
  <si>
    <t xml:space="preserve">
"You know, kids are just full of surprises."
</t>
  </si>
  <si>
    <t xml:space="preserve">"A little boy saw me and said, 'Are you married? Do you have a partner? Well, I don't care. You're in Spanish class.'"
</t>
  </si>
  <si>
    <t>"And me? I said, 'How dare you call a teacher that? Don't you even think about it, calling me that, I'm not a dog.'"</t>
  </si>
  <si>
    <t xml:space="preserve">"If they see that something bothers you, instead of stopping, these people, being the sort they are, will just do it more."
</t>
  </si>
  <si>
    <t xml:space="preserve">"Right, so, I only recently finished, but even up to a week before the end, we were still arguing with him about it. He started it, and then others started doing it too. And, well, it's like stupidity is contagious.
</t>
  </si>
  <si>
    <t>Of course, I mentioned it to the people at the gymnastics club, and they told me: "Wow, that hasn't happened to me at all. Imagine having your child and then getting slapped across the face with an open hand, or things like that," they said.</t>
  </si>
  <si>
    <t xml:space="preserve">When you put problematic people together with problematic people, all you're going to get are problems. It's a system of segregation that's absolutely ridiculous.
</t>
  </si>
  <si>
    <t>I laugh because it's like: 'Well, we all know what's going on, right? No need to mention it, right? So, off to Germany, right?' You say: 'Damn, we haven't learned anything, I'm so frustrated.'</t>
  </si>
  <si>
    <t>Whether you approach it from the perspective of: "Well, of course, it's a comprehensive school, so you're not that bright, are you?" You're already categorising the child, aren't you? In other words, you're here because you're not that bright. Meritocracy at 12 years old? Get stuffed.</t>
  </si>
  <si>
    <t>"When I came here, I had a very romanticised idea of Germany, because they paint a rosy picture. They tell you you'll easily find a job because there are so many opportunities, and all sorts of other things.</t>
  </si>
  <si>
    <t xml:space="preserve">And, well, that's just it – not everything that glitters is gold.
</t>
  </si>
  <si>
    <t>"It was a shock, but not a huge one, because I'd lived abroad before, and I speak English well, so it wasn't too difficult for me to adjust. Also, it was a bit of a culture shock because my school back in Spain was very chaotic; things were constantly changing, with plans made one day and cancelled the next. Basically, the organisation was non-existent, and that's what I found most challenging."</t>
  </si>
  <si>
    <t xml:space="preserve">
"And on the first day of class, well, of course, they throw so much at you and you have to prove yourself, so you can't afford to be anything less than perfect from the very beginning."</t>
  </si>
  <si>
    <t xml:space="preserve">"I'm going to interrupt for a moment. The same thing happens to me because I say 'America'. Actually, I mean Americans. And then people from Latin America say, 'Excuse me, but you're a complete idiot because America is everything, not just those bloody Yankees.'"
</t>
  </si>
  <si>
    <t>"It's true that last year, she was a student who was constantly challenging me. I'd give her an assignment, and she'd always have to argue about something, I don't know what. And on top of that, she was a student who was often absent. I'd already had a few disagreements with her, and she was always arguing with me."</t>
  </si>
  <si>
    <t xml:space="preserve">"What I was saying earlier is that my perspective has shifted somewhat, particularly regarding grades, because you really start to see the background of everyone, and what you realise is that this [grades] isn't important to them.
</t>
  </si>
  <si>
    <t>There have been many deaths from fights in the street, because of an argument, sometimes outside a bar, and suddenly, "bang, bang," in the end, someone's dead because they pulled out a weapon.</t>
  </si>
  <si>
    <t>When you run a campaign, obviously, you always try to involve content creators or celebrities, whether it's a footballer, musicians, or someone like that. And for a campaign we did with Exhibit, a very famous rapper – he's mostly known for modifying cars – we did a really cool campaign with him. He's a lovely guy, really charming, but, honestly, he asked us for a bag of marijuana.</t>
  </si>
  <si>
    <t xml:space="preserve">"Look, the thing about drugs in the advert is quite interesting, isn't it? Honestly, you don't really understand how it works until you come across people who are genuinely using it every day. A lot of people just think they're rock stars."
</t>
  </si>
  <si>
    <t xml:space="preserve">"One thing that really struck me, mate, and I guess it's something you realise a bit more as you get older, is that in this world, pretty much everyone is using drugs."
</t>
  </si>
  <si>
    <t>So, I started as an intern just as an agency was celebrating its anniversary. They rented a bar and decorated it with a mix of American and Latin American styles, you know, that kind of vibe. And, well, it was my first day.</t>
  </si>
  <si>
    <t>"I used to work in a building, at a multinational company. They put out a statement – this agency was full of really posh people, all obsessed with making money, and we were all supposed to be the best. But then, there was this incident, you know, something happened outside the toilet.</t>
  </si>
  <si>
    <t xml:space="preserve">And what really angered me when I entered the industry is that it's a very class-based industry. Not just because of who you work with and all that, but also because of access itself. It's frustrating. If you live in Madrid or Barcelona, which are the cities where everything is, when you have to come here, you have to do the master's degree, which, by the way, is a master's degree that's been pulled out of thin air.
</t>
  </si>
  <si>
    <t xml:space="preserve">It's not just about being the most talented, having the best ideas, or being the best at designing or writing. You either need financial support from your parents, or you need to be brave enough to work hard. You have to work other jobs on weekends, find freelance work on your own, get paid under the table, and just generally hustle to make ends meet.
</t>
  </si>
  <si>
    <t xml:space="preserve">"Hi, my name is Claudi, and yes, I work at Starbucks, where you pay 37 euros for them to take a kidney out and call you by name. And on top of that, they don't even write it down anymore."
</t>
  </si>
  <si>
    <t xml:space="preserve">I'm going to open a melon. In your videos, you criticise the French a lot. I'm here today to defend them, mate. They're the least nosy.
</t>
  </si>
  <si>
    <t xml:space="preserve">It was in the morning, but I'm telling you this at 7:30. We saw a young girl and a young guy walk in. They went and sat at the bar and started getting all cosy, giving each other proper kisses, and we were just thinking, "Okay, fine."
</t>
  </si>
  <si>
    <t xml:space="preserve">So, of course, a woman suddenly came up to the bar and said, "I want a complaint form, you have a broken soap dish." And, naturally, we started talking to her. I told her, "Go ahead, wash your hands, it's no problem." But she just kept saying "no, no, no."
</t>
  </si>
  <si>
    <t xml:space="preserve">"Really, in those two years I was there, I was a completely different person. I was miserable day after day. It's truly draining when people treat you so badly.
</t>
  </si>
  <si>
    <t>So, I went to look at the apartments, and they were awful – basically, damp, one-bedroom dumps. And they were charging a thousand euros each. I managed to get the people at the residence to lower the price a bit. There might be a place available, but you'd have to share with five Israelis. I'm just grateful to have somewhere.</t>
  </si>
  <si>
    <t>He led us to a room, where there were about 10 men sitting around. He had us sit down and told us, 'Ask me anything you want.' We spent about two hours talking about Islam, asking him questions, and discussing his views on heaven, Islam, and Christianity. He even asked, 'Have you heard about this person?' and we told him what we thought. Of course, we left with that guy. We'd had a great chat for two hours, and I even have a Polaroid photo with him and everyone else."</t>
  </si>
  <si>
    <t>There was this girl, she was from the UK, and her family was incredibly religious, like, extremely religious, Protestant. The typical thing, skirts down to her ankles, she'd never done anything with anyone, you know?</t>
  </si>
  <si>
    <t xml:space="preserve">
"And how was Cairo? It's really beautiful, like you said, with those pyramids. Wow, it's probably the most impressive thing humanity has ever created."
</t>
  </si>
  <si>
    <t xml:space="preserve">"We did a 14-day trip. We were in Urgeada, and there was this really random guy who started following us. I can't even remember his name.
</t>
  </si>
  <si>
    <t xml:space="preserve">"Yes, it's true that perhaps with Israeli people, well, I have many friends there, and they're Jewish but not necessarily Israeli, and everything is great, they're good people. But it is true that, perhaps initially, the general feeling was that they sometimes seemed a little... not dismissive, but they did sometimes look down their noses at things.
</t>
  </si>
  <si>
    <t>I left Jerusalem in July 2023, and there was a lot of really intense tension. They might have fired five thousand missiles at Tel Aviv in a single day, which they never usually do.</t>
  </si>
  <si>
    <t>"Of course, I remember many times when I was probably at my jeweller's, because I had a jeweller in Jerusalem, and the guy was a real character."</t>
  </si>
  <si>
    <t>"Keep in mind that military service is compulsory for both men and women. It's like, imagine giving an 18-year-old a rifle – an AR-15 – and telling them, 'You're going to put on this uniform and stand there like a rooster, in front of all your mates, defending the promised land because you're a messenger of God.'</t>
  </si>
  <si>
    <t xml:space="preserve">At the checkpoints, of course, everyone was around my age, and it's not like military service in Finland. Yeah, exactly, it's not the army. So, they pick you up and send you to Lebanon.
</t>
  </si>
  <si>
    <t xml:space="preserve">"It's funny because I used to work at another escape room. I saw an ad for it on Instagram, it was an escape room I'd already played, and I thought, 'Well, what the heck, why not give it a try?'"
</t>
  </si>
  <si>
    <t>Besides, that's what's so good about it. Thanks to the people who really throw themselves into it.</t>
  </si>
  <si>
    <t>But what I find most amusing, and I put "amusing" in quotes, are the families. They're absolutely brilliant.</t>
  </si>
  <si>
    <t>"There's a body, or something like that, I don't know exactly, I don't know how many. We have to get rid of the… well, you know. There's a key moment, a really tense one, and my colleague, or we do it like this, we play the role of the bad cop, and she says, 'Right, I'm sending you all to your maker.'"</t>
  </si>
  <si>
    <t>"You're watching the escape room, and you can see all sorts of people, but what's it like when a group of "chavs" are there? You've got this group of "chavs" just hanging around.</t>
  </si>
  <si>
    <t>"When I was 12, my dad was looking for a job, and you know how it is, you apply for everything to see what comes up. He got offered a job and said, 'Well, I guess we have to give it a try.' What kind of job was it? A bridge engineer. Wow, what a demanding job.</t>
  </si>
  <si>
    <t>Someone who hadn't been to Albacete found themselves on a 12-hour flight completely full of Vietnamese people. And, well, I, of course, had probably seen very few Vietnamese people in my life. I was just listening to them talking and was completely amazed.</t>
  </si>
  <si>
    <t xml:space="preserve">Is your teacher still there? I think he probably retired already, because he'd been working for a very long time, in a lot of different schools all over the place.
</t>
  </si>
  <si>
    <t xml:space="preserve">"Once, I saw a woman staring at the glass. She grabbed my arm and asked me why the Romans built downwards. Everyone burst out laughing."
</t>
  </si>
  <si>
    <t>Okay, so there were the gargoyles on the churches, you know, like that. There's a church in Barcelona called Santilli Pereri, which is a beautiful church, that was bombed during the Spanish Civil War.</t>
  </si>
  <si>
    <t xml:space="preserve">There are a lot of people who think that here in Spain, we're taught from a young age that Columbus was the saviour, and all that sort of thing. But when they come here, I think, in good faith, they really want to change that perception completely.
</t>
  </si>
  <si>
    <t xml:space="preserve">Parents or mothers who come to visit their child here in Barcelona are often taken on a tour, and perhaps haven't seen their child for a year. They're excited because they see what their child is achieving and they see that they're in a great place.
</t>
  </si>
  <si>
    <t xml:space="preserve">There have been thefts on the tours. That's another thing we can talk about.
</t>
  </si>
  <si>
    <t xml:space="preserve">It's a bit frustrating because ultimately, you want to create a great tour in two hours, explaining the history of Jews and Christians, or whatever, and then people look at you and think, "Oh, he's just a young, Catalan separatist," and it's a little difficult to shake off that stereotype.
</t>
  </si>
  <si>
    <t xml:space="preserve">"But is Antonio Gaudí still alive? Seriously, someone actually asked me if he's still alive."
</t>
  </si>
  <si>
    <t xml:space="preserve">"One of the things I like is the 'historical relative' stereotype. I always associate it with cathedrals. It's like a magnet for those historical relatives who stand in front of a facade and say, 'This is Romanesque, this is Gothic, this has everything!'
</t>
  </si>
  <si>
    <t xml:space="preserve">"Later, you have more conventional families, let's say, who are looking for the best possible education for their children, but they end up in those schools, where there's this stark contrast between incredibly well-behaved and well-presented children. There's no in-between."
</t>
  </si>
  <si>
    <t xml:space="preserve">At home, they receive absolutely no education; they have no boundaries whatsoever. Then they come to school, and one teacher tells them, "Sit down, get your book out," and they see it as, "I'm here because the law forces me to be."
</t>
  </si>
  <si>
    <t xml:space="preserve">"In schools like that, the priority is that the child is there from 9 to 2, and that nothing serious has happened, that the children leave school happy."
</t>
  </si>
  <si>
    <t xml:space="preserve">Were the older kids ever cheeky with you? They're cheeky knowing they're being cheeky.
</t>
  </si>
  <si>
    <t xml:space="preserve">I often walk home with children because I pass through the neighbourhood. And the child comes along, says "bye, teacher," and goes into their house, which is a ground-floor apartment with the door open.
</t>
  </si>
  <si>
    <t xml:space="preserve">Then, a group of fifth-graders came by, probably on their way to sports class or something. This kid, who I don't even talk to, says to me, "You should put your phone away." I was completely taken aback. Not because I thought someone was going to steal it, but because he seemed to assume that stealing is so common that he felt the need to warn me. It's like he was saying, "Put it away, because people steal things around here, you know?"
</t>
  </si>
  <si>
    <t xml:space="preserve">"The thing is, they don't like school. I can just imagine one of those kids saying, 'I want to study a degree,' and the parents replying, 'But you're an idiot, as soon as you're old enough, you're going to start working with me.'"
</t>
  </si>
  <si>
    <t xml:space="preserve">"It was a massive exaggeration, but families sometimes have to move out of the neighbourhoods because they're having problems. It's not the children who are causing the trouble, but the parents, with other families. And the children have to change schools, so they essentially have to start learning all over again, even if they've already learned some things."
</t>
  </si>
  <si>
    <t xml:space="preserve">So, is there any effective teaching method to save at least a few kids from that situation, or do we have to just accept it? Once you're born in a certain place, are you doomed?"
</t>
  </si>
  <si>
    <t>He cheated on me, he's a complete idiot. He ran off with three girls from the same class, and even with the girl from the younger year and the youngest boy. Things like that happen at school.</t>
  </si>
  <si>
    <t>I had a major issue with a parent, but it wasn't related to tutoring. Parents can be a real pain, you know.</t>
  </si>
  <si>
    <t xml:space="preserve">"I've set myself the goal of finishing these years and saying that there are fewer unemployed people because the employment department has been effective in connecting people with jobs. There's a company, and someone needs a company – just that alone, I think, would be enough to fill my working hours."
</t>
  </si>
  <si>
    <t>"I'd love to experience what it's like when you join a company and they have a proper onboarding process. You get a document with all the projects, what needs to be done, what's outstanding, and what your budget is."</t>
  </si>
  <si>
    <t xml:space="preserve">"Tell me some stories, mate. Imagine your neighbour from down the hall suddenly starts giving you a really passionate kiss – you'd be shocked, wouldn't you?"
</t>
  </si>
  <si>
    <t>Here, you still get that feeling of being part of a neighbourhood, a community. I know the neighbour across the street, the one next door, I don't know, just a lot of people. That kind of thing doesn't exist in Madrid. And it's less common in other places too.</t>
  </si>
  <si>
    <t xml:space="preserve">
One of them, for example, they called him "Patillas" (which roughly translates to "Sideburns"), and I don't know why they called him that, because he didn't actually have sideburns. He was an older man, and a really unpleasant character. He would come in with his walking stick and always used the self-checkout lanes.
</t>
  </si>
  <si>
    <t>The same thing. I remember the lady you mentioned, the one you said you've been buying from for 50 years, but then, every time I went, she'd ask me where the eggs were... it was all a bit bizarre, mate.</t>
  </si>
  <si>
    <t>"Ultimately, you're not supposed to swear because it looks bad, although I do admit that sometimes people have told me to go away. And I've told people to go away too.</t>
  </si>
  <si>
    <t xml:space="preserve">No, I'll admit it, I've lost my temper many times, but I haven't come to blows. There was one day, I almost had to be separated from someone because he told me he was going to "cross my face." And I told him: "Go ahead, do it while shouting and insulting my wife."
</t>
  </si>
  <si>
    <t xml:space="preserve">Once upon a time, there was a woman, and she had a shopping trolley that was completely full. I was just passing by, and she started speaking to me very rudely, saying she needed another trolley. So, I said, "Well, why don't you go and get one?"
</t>
  </si>
  <si>
    <t xml:space="preserve">
It's a supermarket like Mercadona, like Carrefour, like Lidl, or like Día. We're not talking about high-end places, where the salespeople have to butter you up because they have to sell something and earn commissions.
</t>
  </si>
  <si>
    <t xml:space="preserve">"But then, the next coupon I tried to scan didn't work because the price of the plastic bags had gone up, and plastic bags weren't included in the promotion. So, of course, we had to cancel the entire purchase, start all over again, and he got really annoyed."
</t>
  </si>
  <si>
    <t xml:space="preserve">My mother keeps teasing me relentlessly, saying that I've come back a complete idiot.
</t>
  </si>
  <si>
    <t>They actually prefer it if you speak to them in Spanish rather than English. They have a bit of a dislike for the English.</t>
  </si>
  <si>
    <t xml:space="preserve">"For example, I was asked to talk about the Spanish Civil War, or about a class I had where we discussed the "danza de Valencia." And, of course, I was talking about something that could be a bit difficult for me, and there was a young boy next to me who was constantly making jokes and teasing me. For me, that was awful."
</t>
  </si>
  <si>
    <t xml:space="preserve">"Loads of people used to tell me they wanted to come on holiday to Spain. And I'd tell them, 'When you're at the airport, just say you're going to Portugal.' And they wouldn't get caught out."
</t>
  </si>
  <si>
    <t xml:space="preserve">They completely blindsided me with the boyfriend topic. A 13-year-old kid who left me completely speechless.
</t>
  </si>
  <si>
    <t xml:space="preserve">"But then there was a moment when I was walking into the classroom, and suddenly I saw 4 or 5 of my students with their faces completely covered in pen markings. My first thought was, 'This is crazy.'"
</t>
  </si>
  <si>
    <t xml:space="preserve">One of the nice things about that age is the romances. Oh, what a state! There were mixed-sex bathrooms at the school. I never went into those bathrooms.
</t>
  </si>
  <si>
    <t xml:space="preserve">"And I would spend an entire weekend preparing lessons, working really hard, creating presentations, and even designing escape rooms, just for the students to fall asleep in class, for 5 or 7 of them to be talking, for 3 not to listen to me at all, and for 2 to completely disrupt the class."
</t>
  </si>
  <si>
    <t>So, I arrived and went out partying for seven days straight, I'm not exaggerating. And of course, people were shocked, like, "What the heck is wrong with this girl?" But everyone was really nice. The people in my student accommodation were Spanish. The others weren't.</t>
  </si>
  <si>
    <t>"So, Kit Kat is a nightclub where, basically, people go to have sex. I mean, people go there naked, completely bare, obviously. But on the inside, the decor is really great, you know?</t>
  </si>
  <si>
    <t xml:space="preserve">It's not just about the bad stuff anymore, or the tourists. It's about the atmosphere in the city centre at night. There are these characters, these "NPCs" as they call themselves, who accost you with microphones, saying things like, "No, it's me, the red-haired girl, I don't know what..." Then there's the one dressed as Michael Jackson, wearing a glove. You can tell something's not quite right with him. He was wearing a white glove and walking backwards.
</t>
  </si>
  <si>
    <t>Here, I saw a really friendly-looking camera. The thing is, if someone was being a pain, you know, a real nuisance, there were people who would say, "No, but give me the tallest glass."</t>
  </si>
  <si>
    <t>"And ultimately, the city centre is full of tourists, which I understand brings in money and is what sustains us, but we should also reclaim our own space and enjoy it."</t>
  </si>
  <si>
    <t>"Seriously, mate, someone was pulling out their penis and peeing on the bar. And it was an L-shaped bar, so they peed right where I could see it. I mean, I actually saw a penis peeing."</t>
  </si>
  <si>
    <t>"I understand what you're saying, about the complete destruction of a toilet. So, you're saying you had this massive, prolonged diarrhoea, filling the entire toilet, and you must have gotten it on your back."</t>
  </si>
  <si>
    <t>There's an outdoor area with a padel court, and then there's the typical, regular gym. There's also a section of the gym that's set up for spinning, so it's all bikes. You know, those crazy people who go "pum, pum, pum" at full speed – you have to wonder, what's the point of doing that at 9 in the morning</t>
  </si>
  <si>
    <t>"I wasn't that shocked, because I also worked for almost two years at a Burger King. The bathrooms at Burger King are like a sort of training ground for this kind of thing. Basically, it's like, 'Okay, I'm going to Afghanistan,' but I've already seen it all."</t>
  </si>
  <si>
    <t>There's this thing that I call "the volcano," which is when a toilet gets blocked – specifically, when it gets blocked while someone's having diarrhoea. Seriously, it's a nightmare. You have to be in a really bad state.</t>
  </si>
  <si>
    <t>"And I have a trolley with a bucket of dirty water and a bucket of clean water. Students come out of their classes, they have a drink, and there's a little water left. Instead of throwing it away, or going to the toilet to pour it down because it's a hassle, or whatever, they do this," (makes a clicking sound), "and empty it into the bucket of clean water."</t>
  </si>
  <si>
    <t>Then, I started eliminating things from my life that simply didn't bring me any good. And I think the mindset that many people have – that they're going to achieve their dream job or a job that pays a lot of money – is, in my opinion, less important than finding a job where you actually feel comfortable. It could be something that's not particularly glamorous or high-profile, you know?</t>
  </si>
  <si>
    <t xml:space="preserve">I was getting to that because... the guy was using hair gel in the swimming pool, mate. I told my colleague, and I said, "Mate, he's using hair gel in the pool."
</t>
  </si>
  <si>
    <t xml:space="preserve">"Translate this for them into French. If they literally don't know any Spanish, and they're on holiday in Spain, let alone English, which is the international language, tell them to go to Bordeaux and have a glass of wine. And my colleague told them that. I'm getting my own back on Pepe Botella, you see."
</t>
  </si>
  <si>
    <t xml:space="preserve">"Of course, a bit of showing off now and then. Like, telling people you went on holiday to a certain place. It's just that a nice photo doesn't hurt anyone. There's no need to avoid taking photos altogether.
</t>
  </si>
  <si>
    <t xml:space="preserve">She left it completely full of sand and kept insulting me. Tired of her shouting, I asked her to leave. And security had to come and tell her to either leave or stop shouting. They go to a different store where my brand isn't sold, and there, of course, because it's not their product, they don't bother. They see that the receipt is from another store, and then they process it as a transfer, and the product arrives... completely ruined.
</t>
  </si>
  <si>
    <t xml:space="preserve">"Often, it's animals that cause the problem; dogs sometimes chew through the fibre optic cable, and those connectors cost around £60 to replace. Once, I had a customer who was incredibly angry. I called him to let him know I was coming, and he immediately started complaining, saying we'd been taking too long, or something like that. I don't really remember what he said."
</t>
  </si>
  <si>
    <t xml:space="preserve">"So, apparently, she couldn't even connect to the Wi-Fi on her phone. I get really embarrassed when they give you the phone and you have to go into the browser, because you often find all sorts of weird things."
</t>
  </si>
  <si>
    <t xml:space="preserve">"Also, those in Gibraltar pay less tax. It's different for the English; for those of us who are from here but work there, they really take advantage of us. I have to file two tax returns. When I was working at the McDonald's in Gibraltar, I paid 760 euros in taxes."
</t>
  </si>
  <si>
    <t>The problem was at the beginning, when I first started. There were things they would ask for, and you'd think, "What on earth are they asking for?" Like, chicken nuggets, fries, a regular Coke, a cheeseburger with no cheese and no onions.</t>
  </si>
  <si>
    <t xml:space="preserve">Yes, yes, I've had a few. Well, well, I can't really tell you what, because I had absolutely no idea what she was talking about.
</t>
  </si>
  <si>
    <t xml:space="preserve">"An elderly woman called me, and she said her card had been stolen in a bar, I don't know, blah, blah, blah. It's just that I went to the toilet, and when I came back, it was gone."
</t>
  </si>
  <si>
    <t xml:space="preserve">Scams. And you have to be very careful because they're really awful people, you know? At first, you might think, "Well, this only catches gullible people, right?" It doesn't happen to anyone who's not completely clueless.
</t>
  </si>
  <si>
    <t xml:space="preserve">"They even call you pretending to be from the tax agency. A few years ago, they were calling people, posing as the "Universal Basic Income" agency. They would ask them to send a €100 Bizum payment to a specific number to "verify" their identity. Of course, it was never about any basic income or anything like that.
</t>
  </si>
  <si>
    <t>He tells me, "This phone number is a paid service." I say to him, "No, sir, it's not a paid service." He insists, "It is a paid service." I try to explain to him that it's not, sir, that it's not a paid service. Then he mutes himself and I hear him say, "This idiot doesn't understand anything." He unmutes himself and I say to him, "Well, sir, what you should do is find another idiot who actually knows something, eh?"</t>
  </si>
  <si>
    <t>I tell it like this, haha, it's so funny, because you're not actually doing anything bad, you're just changing the lightbulb. I mean, you're not putting her entire life on the line.</t>
  </si>
  <si>
    <t xml:space="preserve">Raquel will always hold a special place in our hearts on this channel. And every so often, people who have rewatched the video, or new viewers who have discovered our videos, ask, "When is this girl coming back?" Well, she's back.
</t>
  </si>
  <si>
    <t>I haven't stopped travelling. Now you're going to Burgos. Apart from travelling to Burgos, it's lovely, isn't it? The area where I work is really beautiful.</t>
  </si>
  <si>
    <t xml:space="preserve">We went to the house of a couple, a British couple, who were really lovely. They lived in the most rural part of rural Burgos – it was incredibly remote. They'd been living there for ages.
</t>
  </si>
  <si>
    <t xml:space="preserve">"You see all sorts of things. You go to someone's house, you see the conditions they live in, whether they're on their own and their children are somewhere else, whether they can manage on their own, and you see what their house is like. You witness it all."
</t>
  </si>
  <si>
    <t>"So, if you were to ask around, you know, like, 'Hey, Eugenia,' people might say, 'Yes, she's been coming here alone for a while,' or 'She seems more tired lately,' or 'She has a certain identity, a group of people who recognise her and look out for her in some way.' But in the city, it feels like we're all more anonymous. In the city, we're all just NPCs."</t>
  </si>
  <si>
    <t xml:space="preserve">
It's also really important to invest time in building that connection with your surroundings. We don't highlight it enough, like, "Wow, that's amazing, they're travelling the world, it's incredible!"
</t>
  </si>
  <si>
    <t xml:space="preserve">I'd already had this dream since I was 12 years old, basically being a complete and utter otaku, a real piece of work. But then, from 12 to 22, you think, "How the hell am I going to get to Japan?"
</t>
  </si>
  <si>
    <t>Japan? Honestly, I couldn't care less. Japan is the worst experience I've ever had in my life. But it's had its good and bad moments, you know?</t>
  </si>
  <si>
    <t xml:space="preserve">They're so obsessed with money and all that stuff that they think we're asking them how much we earn. They write it down on a piece of paper, like, "Here's your rate, I want to know how much you've charged."
</t>
  </si>
  <si>
    <t>"So, you see us now, all glammed up and everything. But when I go to work every day, I have to take off my piercings and hide my septum. I have to put on shapewear. Basically, I have to pretend to be someone else for my entire working life. I have to wear clothes that are kind of semi-formal, I don't even know what to call it."</t>
  </si>
  <si>
    <t xml:space="preserve">So, you need to play a mental trick on the girl who likes to make things up, and make her believe that it was really an accident, so she doesn't go and tell her mother that they fought, otherwise the other girl will face a lot of consequences.
</t>
  </si>
  <si>
    <t xml:space="preserve">
"It's all very magical. It's also very top secret. They're very strict about the employees not posting anything on social media."
</t>
  </si>
  <si>
    <t xml:space="preserve">"The conditions are really good here. This is exclusive to employees. Look at the kind of merchandise they have. It's this little jacket; you see it and you think, 'That's nice.'
</t>
  </si>
  <si>
    <t xml:space="preserve">They're so proud of French culture. France is the best, the French are the best, French cuisine is the best, and I, frankly, think French cuisine is rubbish.
</t>
  </si>
  <si>
    <t xml:space="preserve">"Right, so my name's Iván, for anyone who doesn't know me. And as I've already explained perfectly, I used to work by being really negative and, frankly, annoying people to try and get them to agree to let a colleague visit their home."
</t>
  </si>
  <si>
    <t>"I turn around, and there he is, holding his hand out, with this bloody green budgie. Apparently, it had fallen out of a tree. I'm thinking, 'Right, okay.' So, I take it to the vet. I open its wing and start examining it. And then I'm thinking, 'Okay, what am I supposed to do with this bloody budgie?'"</t>
  </si>
  <si>
    <t>"But listen, they had to call my mum. And to top it all off, because my mum happened to be taking a day off, I had to deal with it. They even took away my little bag from the Red Cross, you know?</t>
  </si>
  <si>
    <t xml:space="preserve">The Red Cross said they were going to report the police on my behalf, I don't know what for. Then the police apologised. It was just another bizarre situation, mate. Honestly, this nomadic lifestyle I'm living is really getting to me.
</t>
  </si>
  <si>
    <t>That day, I broke the record for the Red Cross in all of Spain, I think. I sold 218 coupons in a single day. So, it seemed like it, you know? It was full of cars, and I was thinking, "Wow, everyone here is making a lot of money." And me, well, it depends on the location, but I have a standard spiel.</t>
  </si>
  <si>
    <t xml:space="preserve">You opened my direct message, essentially saying, "I'm involved in this, but it's not exactly my passion."
</t>
  </si>
  <si>
    <t xml:space="preserve">There's a wide range of landlords. Some are only interested in maximising their profits, while others are very careful about who they rent to. They might talk to potential tenants before accepting them, or they have very strict criteria. For example, I have one landlord who only accepts families with good references.
</t>
  </si>
  <si>
    <t xml:space="preserve">"There's also the typical person who says, 'No, no, I don't want tourist traps, I want an authentic experience.' And you look at them and think, 'You don't even know what you're asking for.'"
</t>
  </si>
  <si>
    <t xml:space="preserve">It's a complete mess. Basically, you can't get involved with any of the passengers; you can't have any kind of relationship. And I thought that was quite strictly forbidden.
</t>
  </si>
  <si>
    <t>People have a lot of animosity towards the French, and I understand that, but I have to say that, in my case, I developed a dislike for Italians. They're like Spaniards, but on the absolute maximum level of being annoying.</t>
  </si>
  <si>
    <t>Right, let's get into this. In the previous video, we talked about less affluent areas. Now, we're talking about affluent areas. We're talking about ultra-Catholic private schools in the centre of Madrid, where I've encountered the most awful people you could possibly imagine.</t>
  </si>
  <si>
    <t>Once, I think it was sometime in July, we had a French customer. A typical French customer, around 50 or 60 years old, you know? His car had broken down, and he had to contact his insurance company in France. The thing is, the gentleman didn't speak a word of Spanish, you see?</t>
  </si>
  <si>
    <t xml:space="preserve">The guy from the workshop told me, straight up, "Tell that bloody foreigner not to worry, his car will be ready on Friday afternoon."
</t>
  </si>
  <si>
    <t>"Whenever I've filmed a video in England and happened to encounter an Irish person, the most common comment I've received in all the videos I've shot there is something along the lines of 'blasting the English' – really going after them.</t>
  </si>
  <si>
    <t xml:space="preserve">We were out celebrating, and when we got back, it was the usual situation – all the bars and clubs close at 2 in the morning. At 2 in the morning, you're straight home. And then the Irish, like the Greeks, just start carrying on, you know, getting really boisterous.
</t>
  </si>
  <si>
    <t>"The historical accuracy is a bit... well, I really like it, okay? I'm a huge fan of fashion history. And I often think, 'Why isn't that done properly?' I mean, did they do a good job of *not* including horns? At least they got that right. Of course, when it comes to the costumes and things like that, they definitely take some liberties with historical accuracy.</t>
  </si>
  <si>
    <t>Okay, before I tell you the anecdote, I have to ask you something. It's something that India is very well-known for, especially its cuisine, and also, it's something that many of my friends who have been there have experienced: the first bout of diarrhoea.</t>
  </si>
  <si>
    <t xml:space="preserve">"These monkeys, which travel in groups of around 30 or 40, would sometimes jump into the area near the embassy. You'd see them from a distance and think, "Wow, they're so cute," or you'd see the mothers with their babies clinging to them. And there were these big monkeys that sometimes looked like little meatballs, you know, just how chunky they were.
</t>
  </si>
  <si>
    <t xml:space="preserve">"You're treated differently, both positively and negatively. People assume you're from a higher social class, that you have money, and sometimes they see you as nothing more than a walking wallet.
</t>
  </si>
  <si>
    <t>"They put on a whole show for you when you order a bottle of Don Perignon or whatever champagne you want. It's pretty standard for Madrid, to be honest. It's all very showy. There are probably a lot of little Indian princes there. And a lot of "Indian" Froiláns, you know what I mean. Yeah, I don't know, I guess you just have to see who's got the money, or not.</t>
  </si>
  <si>
    <t xml:space="preserve">
The rights of women sometimes leave a lot to be desired. It's still commonplace to hear that women should stay at home, do housework, you know, the usual old-fashioned ideas.</t>
  </si>
  <si>
    <t xml:space="preserve">
There's a lot... Look, don't laugh, because we Spaniards aren't exactly perfect either, alright?
</t>
  </si>
  <si>
    <t>There are places that everyone goes to, and I really want to know the behind-the-scenes stuff about these little characters who should be going to MediaMarkt.</t>
  </si>
  <si>
    <t>"I've been working at MediaMarkt for 2 and a half years. Whether lucky or not, where I ended up is right in the center of Málaga, right in Vialia, where a lot of people pass by and where all kinds of riffraff hang out."</t>
  </si>
  <si>
    <t>And on top of that, I had the gaming section, especially the keyboards and mice, where typical little kids with sticky fingers would come to play with them, those tiny keyboards.</t>
  </si>
  <si>
    <t>Sure, imagine an old guy, my colleague fighting with him, another man just behind insulting my colleague because he said the phone wasn't working and Santa Lucia had told them the repair had to be done by them.</t>
  </si>
  <si>
    <t xml:space="preserve">The troublemaker appears through the door, passing by and saying: "Who's going to take the hot potato?" Because you can imagine, dealing with that guy, it's tough.
</t>
  </si>
  <si>
    <t>When I already asked him which bank it was, he started getting upset: "And why do you want so many details?" He was yelling in the middle of the store, throwing punches.</t>
  </si>
  <si>
    <t>So how do you get out of it? You have to come up with everything you can because the guy's totally out of his mind, throwing punches, and all you want to do is get the hell out as fast as possible.</t>
  </si>
  <si>
    <t xml:space="preserve">
There, in the store, they told you that you couldn't get a refund for that kind of mess, but obviously, when someone like that comes in all riled up, you don't want them hanging around the store messing things up all day, so what you really want is to get rid of them.
</t>
  </si>
  <si>
    <t>People who try to haggle with you, thinking that if they take two laptops, I'll give them a discount. Yeah, like I was the owner of the store. Bro, if I take these two laptops, how much would you charge me? Well, at the same price.</t>
  </si>
  <si>
    <t>I got really confused, saw the guard standing up, automatically stopped the escalator, and there I saw an older man sitting on the ground next to the guard, bleeding heavily. I ran into the small room, started getting some IV fluids, began cleaning his wounds to check out his face. His face looked like a Christ.</t>
  </si>
  <si>
    <t>The one who gets blamed is me, because you imagine taking someone's ID, processing the financing, and when by chance the person gets approved, the one who gets in trouble is the other person.</t>
  </si>
  <si>
    <t>And then there was the typical kid who came with the dad and grabbed some rebounds because the dad had bought him a Xiaomi, and the kid wanted an iPhone, and the dad would look at you and say, "Dude, how much is the cheapest iPhone?" And he tried to make it seem like the kid didn't really want it, but the kid was serious—like, the kid really wanted the iPhone.</t>
  </si>
  <si>
    <t>Damn, for me, it hurts. For me, this kind of thing has always really stuck with me—like how the kid wants that iPhone for no reason at all, and the dad ends up buying it because otherwise the kid will grab a bounce [i.e., a cheaper alternative] and cause a real mess. If it were my dad, he'd have already slapped me with a biscuit [i.e., given me a punishment or scolded me].</t>
  </si>
  <si>
    <t xml:space="preserve">
He'd stolen a Nintendo Switch, PlayStation controllers, and had basically stolen around six thousand euros worth of stuff from the store. The little creep must have gotten fed up with stealing from us there, and he wanted to make it even harder.</t>
  </si>
  <si>
    <t>I wasn't going around with an Apple sticker, nor was I hanging out with Samsung guys, nor Xiaomi guys either. I was doing my own thing.</t>
  </si>
  <si>
    <t xml:space="preserve">
There came a moment when he said: "If the blood's going to get to the river eventually." I got really heated, slammed my fist on the table, and said: "Look, I don't feel like putting up with you or your nonsense."
</t>
  </si>
  <si>
    <t xml:space="preserve">Today we're going to talk about that supermarket where you used to go to buy things a while ago because it was cheaper than the copón, and now it's more expensive than the Virgin.
</t>
  </si>
  <si>
    <t xml:space="preserve">The truth is that the atmosphere was really pleasant and I've been super comfortable and super happy working there.
</t>
  </si>
  <si>
    <t>I haven't seen a more comfortable uniform in my life. Hey, it's got a reputation for being ugly. No way, it's ugly for sure, honestly.</t>
  </si>
  <si>
    <t xml:space="preserve">It's not shameful to ask questions, because you're asked every silly thing you have to do with absolute nerve. 
</t>
  </si>
  <si>
    <t>The store manager from that day went up to check things out and make sure everything was in order, and he said to me: "Damn, I stepped on some shit, but it feels like someone had gone to the bathroom in the lobby and was jumping forward as they went."</t>
  </si>
  <si>
    <t>So, if someone steals, you already know they've stolen, and then you see them the week after and you say: \"Watch out for this guy, he might not come do the 1314 here</t>
  </si>
  <si>
    <t xml:space="preserve">One day a man comes in and says, "You've just been robbed between the boxes, because it crawled along the floor behind the boxes and the guy stole by slipping through."
</t>
  </si>
  <si>
    <t>One day, that happened to me too—someone tried to distract me from behind. They did it with the real butt, because I didn't even turn around.</t>
  </si>
  <si>
    <t xml:space="preserve">I know there's someone who's going to steal milk, a pack of pasta, rice, water—well, that kind of people, well… you can't really do much about it.
</t>
  </si>
  <si>
    <t>A guy was picking things up while talking on the phone with one hand, and then he was calmly putting them away with the other. And there was another guy behind him who I suppose doesn't have as much patience: "Idiot, moron."</t>
  </si>
  <si>
    <t xml:space="preserve">At that moment, there was a lady who was almost all alone, and, man, it kinda affects you a little because it's sad, but we're there at the event. 
</t>
  </si>
  <si>
    <t xml:space="preserve">I don't get the mentality we have that Mercadona is cheap because they don't do any deals or discounts. 
</t>
  </si>
  <si>
    <t>This time, one of my favorite regions, the fish and chips region, the group with those teeth in that way, the people everyone talks about in their own language, but they don't speak anyone else's language. Let's find out what England is like.</t>
  </si>
  <si>
    <t xml:space="preserve">I didn't like the PhD because everyone was precarious, people were losing their jobs, and there was this girl who started graduating at 35 years old because finally her parents had become independent, and I said no, this isn't for me.
</t>
  </si>
  <si>
    <t xml:space="preserve">You know, God, they had a couple of brothers who took classes, and of course they came without knowing any English to get by. Since I was a very friendly, very helpful teacher, the deputy principal said to me, "Hey, take these exams and translate them for him..." I'd just give him the response, like, what the hell.
</t>
  </si>
  <si>
    <t xml:space="preserve">The problems are worth points. If you do one thing, you get a point. If you do another thing, you get another point. They give them out like crazy. 
</t>
  </si>
  <si>
    <t xml:space="preserve">Don't worry, it's just that they were all taller than me, if that's normal. I was pretty little for them too, and I'd act all offended.
</t>
  </si>
  <si>
    <t xml:space="preserve">The sons-of-bitches from my friend are laughing their heads off. "Now what, huh? So much that you wanted to be there, where the people were really polite. Take that."
</t>
  </si>
  <si>
    <t>I haven't argued with these ugly British girls. Because they slipped into my putain Tesco.</t>
  </si>
  <si>
    <t xml:space="preserve">And I also had a French family. I'll speak up in favor of the French. The French were very attentive. The French take care of each other a lot, like a hive mind.
</t>
  </si>
  <si>
    <t>Sometimes my director and my head of studies have scolded me. Please, it's obvious you're Spanish.</t>
  </si>
  <si>
    <t xml:space="preserve">We used to have kind of an "AMPA night" every end of term. It was like a conveyor belt — we'd stay in our seats while parents came by one after another. Well, it was a girl's turn who studied humanities.
</t>
  </si>
  <si>
    <t>It was her turn, she explained it to the father: She got a 4, but let's try to get her to pass for the next one and so on. And she crossed the girl's face in front of me. It really got under my skin, those 7 bad feelings.</t>
  </si>
  <si>
    <t>She had the guts to hit her daughter in front of a teacher. Drunk as a barrel.</t>
  </si>
  <si>
    <t>No, in the end my deputy principal and my principal defended me. Two absolute legends.</t>
  </si>
  <si>
    <t>My deputy director was a retired military guy with a PhD in Shakespeare and redder than a tomato.</t>
  </si>
  <si>
    <t xml:space="preserve">My favorite line would be: "What we've done, something you didn't do, is to deceive people." It's just amazing, really, dude. 
</t>
  </si>
  <si>
    <t>Uncle, who taught you Spanish to speak so well?</t>
  </si>
  <si>
    <t>Do you like Spanish music? Yeah, Canto del Loco, Amaral, La Oreja de Van Gogh. That's really strong, dude.</t>
  </si>
  <si>
    <t xml:space="preserve">Most comedians are from Osaka, so they're known for being cheeky. 
</t>
  </si>
  <si>
    <t xml:space="preserve">As someone who's Japanese: don't you think it's kind of weird that practically everyone is obsessed with Japan? 
</t>
  </si>
  <si>
    <t>In fact, in 2022, when the Olympics were here in Japan, I saw Kureha and I let out a Mariano Rajoy quote. And she laughed so hard she peed herself.</t>
  </si>
  <si>
    <t>Exactly, for them, or rather, the idea of Spain is: beach = sun, sangria = party, paella and bullfighting. I mean, if you show them a photo of Asturias or Galicia, they go blank and say, "No, this isn't Spain."</t>
  </si>
  <si>
    <t xml:space="preserve">So that later they come to Mallorca, buy a house, and there's a neighborhood in Mallorca where everything is written in German. It hurts me to say this, because I say: Come on, no, these are stereotypes, let's break the stereotypes, but it's just that they can't.
</t>
  </si>
  <si>
    <t xml:space="preserve">And damn it, my colleagues who are at a Gymnasium tell me: Oh, damn, mine are all from eight German surnames. Christ, don't joke around.
</t>
  </si>
  <si>
    <t xml:space="preserve">And it makes you think: If they're separating the kids supposedly because they perform better or worse, then why the hell do I have kids in my class who are total studs studying? When you're academically brilliant, you're just a total genius. 
</t>
  </si>
  <si>
    <t xml:space="preserve">You know, kids are a real surprise.
</t>
  </si>
  <si>
    <t xml:space="preserve">A kid saw me and said: "Are you married? Do you have a partner?" Well, it doesn't concern you. You're in Spanish class.
</t>
  </si>
  <si>
    <t xml:space="preserve">And I said, "But how dare you call her that? Don't even think about calling me that—I'm not a dog." 
</t>
  </si>
  <si>
    <t>If they see something bothering you, instead of stopping, since they're such jerks, they'll make it worse.</t>
  </si>
  <si>
    <t>Okay, nothing, if I finished just a little while ago, even up until a week before finishing, we were arguing about that with him. And he started doing it, and then others started doing it too. And obviously, it's like the nonsense spreads.</t>
  </si>
  <si>
    <t xml:space="preserve">Sure, I talked to the ones at the Gymnasium, and they told me: "Hell, that never happened to me. Go have your kid and they'll slap you in the face with an open hand and all sorts of stuff," they said.
</t>
  </si>
  <si>
    <t>When you combine problematic with problematic, all you end up with is problems. It's a segregation system that's crazy.</t>
  </si>
  <si>
    <t xml:space="preserve">I laugh because it's like: "Well, we all know what's going on, right? Hey, there's no need to mention it, right? Come on, to Germany, right?" You say: "Damn, we haven't learned anything, fuck the whole thing."
</t>
  </si>
  <si>
    <t>So if you're thinking like, "Well, obviously, it's because it's a state school—so are you not smart then?" You're already kind of putting the kid in a category, aren't you? Like, you're here because you're not that smart, basically. Meritocracy at 12 years old, touch your eggs.</t>
  </si>
  <si>
    <t>I had a very idealized view of Germany when I first came here, because they sell you the whole thing—there's lots of job opportunities, you'll find work easily, I don't know what else.</t>
  </si>
  <si>
    <t xml:space="preserve">What amuses me is that then they treat us like we're the bottom of the world. 
</t>
  </si>
  <si>
    <t>And, well, that's just saying that not everything that glitters is gold.</t>
  </si>
  <si>
    <t>It's been a shock, but it wasn't that bad because I've lived abroad, I speak English well, so it didn't take me too long to adjust. It was still tough though because my high school is really chaotic — they tell you everything for today tomorrow, you know, there's basically no organization, so that's what cost me the most.</t>
  </si>
  <si>
    <t>And the first day of class, well, of course they push you so hard and you have to show that you're all into it, so you don't really get through the first part at all—like, super, super, super, super, super.</t>
  </si>
  <si>
    <t xml:space="preserve">I'm going to take a detour here. It also happens to me because I say "America." Actually, I mean Americans. Then people from Latin America come along and say, "Excuse me, you're a total subnormal because America is everything, not just those stupid Yankees."
</t>
  </si>
  <si>
    <t xml:space="preserve">So yeah, last year there was a student who was always challenging me. I'd give her an assignment, and she'd always argue about everything, I don't know why. And on top of that, she was one of those students who missed a lot of class. Well, I had already had some little conflicts with her—she was always arguing with me.
</t>
  </si>
  <si>
    <t>What I was telling you before, that my perspective has shifted a bit, my mindset regarding grades, because what you really see is the background of everyone, and what you realize is that it's not important to them.</t>
  </si>
  <si>
    <t>And there have been a lot of deaths like that because of a fight on the street—because of an argument, leaving a bar, boom, boom, and in the end someone ends up dead because they pulled out the gun.</t>
  </si>
  <si>
    <t xml:space="preserve">When you run a campaign, obviously you go for content creators or celebrities—whether it's a footballer, musicians. And for a campaign we did with Exhibit, a very famous rapper who's more known for tuning cars, we did a really cool campaign with him, such a great guy, he was lovely, but damn, he asked for a bag of marijuana.
</t>
  </si>
  <si>
    <t xml:space="preserve">So, the thing is, in the ad, the topic of drugs is pretty interesting, right? Jesus, until you actually meet people who really use them every day, you don't really get how it works, because a lot of people think they're rockstars.
</t>
  </si>
  <si>
    <t xml:space="preserve">One of the things, man, that really stuck with me was that they say you discover it a bit when you grow up, but in this world it's more than everyone is high.
</t>
  </si>
  <si>
    <t xml:space="preserve">I started as an intern right on the anniversary of an agency, they rented a bar, dressed everything up like it was a gringo, Latino, this little party thing. And dude, I, obviously, was my first day.
</t>
  </si>
  <si>
    <t>I used to work in a building, at a multinational company. They released a statement, through an agency full of super posh people and all these super money-makers, and here we were all just the worst, man, there was a total mess, like, a complete disaster outside the bathroom.</t>
  </si>
  <si>
    <t>And it really pissed me off when I got into the industry, because it's an industry that I feel is very classist. Not just because of who you work with and all that, but also because of access. Christ, if you live in Madrid or Barcelona, which are the cities where everything is, when you have to come here, man, you have to do a master's degree, which is actually a master's degree that they've just pulled out of their sleeve.</t>
  </si>
  <si>
    <t xml:space="preserve">You don't just have to be the most talented, have the best ideas, or be the best at designing or writing. You also need either a financial lung from your parents or guts to work. Weekends doing something else, looking for freelance work on your own and getting paid under the table, and trying to make a living.
</t>
  </si>
  <si>
    <t>Hi, my name is Claudi, and yeah, I actually work at Starbucks where you pay 37 euros just because they take out a kidney and say your name. And on top of that, we don’t even write it down anymore.</t>
  </si>
  <si>
    <t xml:space="preserve">I'm going to open a watermelon. In your videos, the French are criticized a lot. I'm here today to defend them, man. They're the least of the touchy-feely types.
</t>
  </si>
  <si>
    <t xml:space="preserve">So, obviously, a woman suddenly comes up to the counter and says, "I want a complaint form, you've got a broken soap dispenser." And of course, we start talking to her, I let her use the sink to wash her hands, nothing happens. She goes "errr, errr, no."
</t>
  </si>
  <si>
    <t>Really, during those 2 years I was completely a different person. I lived in bitterness every day. It really wears you down when people treat you so badly.</t>
  </si>
  <si>
    <t>So I went, I was looking at the apartments, it was maybe like a basement with dampness, one disgusting room. A thousand euros each. I managed to cry a lot to the housing office. There might be a place, but you have to share with five Israelis. I'm just biting my tongue.</t>
  </si>
  <si>
    <t>So he takes us like to a room, maybe a group of 10 men sitting around, sits us down and says, "ask whatever you want." And we spent like two hours talking about Islam, asking him questions and discussing things like what the perception of heaven is, about Islam itself, what he thinks about Christianity, you know, I've heard this, what do you think about that? Of course, then we left with this guy, because after two hours of chatting we'd become good friends, I even have a Polaroid photo of us all together.</t>
  </si>
  <si>
    <t>There was this girl, this chick was from the UK, and her family was super religious, like really religious, Protestant. The typical stuff—skirt down to the knees, never done anything with anyone, you know.</t>
  </si>
  <si>
    <t xml:space="preserve">And how was Cairo? It's really nice, like the pyramids you were talking about—God, it's probably the weirdest thing in humanity.
</t>
  </si>
  <si>
    <t xml:space="preserve">We did a 14-day trip. We were going to Urgeida and there was this really random guy who started following us. I don't even remember his name.
</t>
  </si>
  <si>
    <t>Yes, it's true that maybe with Israeli people, obviously me, many of my friends from there, like, they're Jewish and not Israeli, and everything's totally fine and they're good people, but it's true that perhaps the general feeling, especially at first, is kind of like they were sometimes... not disrespectful, but they looked at you a bit like from above the shoulder.</t>
  </si>
  <si>
    <t xml:space="preserve">I left Jerusalem around July 2023, and there were a lot of heavy tensions. Maybe they launched five thousand missiles over Tel Aviv in one day, which they never do to Tel Aviv.
</t>
  </si>
  <si>
    <t>Sure, I remember many times that maybe I was where my jewelry box was, because I had a jewelry box in Jerusalem and my uncle was really messed up.</t>
  </si>
  <si>
    <t xml:space="preserve">Keep in mind that military service is mandatory for both men and women. It's like, I mean, imagine giving an 18-year-old a rifle like an AR-15 and telling them, "Hey, you're gonna dress up like this and strut around like a rooster in front of all your buddies defending the Promised Land because you're God's messenger."
</t>
  </si>
  <si>
    <t xml:space="preserve">At the checkpoints, yeah, it's that everyone was my age and it's not like the military service in Finland. Yeah, yeah, it's not the army. I mean, they pick you up and send you to Lebanon. 
</t>
  </si>
  <si>
    <t xml:space="preserve">It's interesting because I was previously in another fear room, which I saw an offer on Instagram for a scape room that had been done, that I had played, and I said, well, if you're lost, go to the river—why not?
</t>
  </si>
  <si>
    <t>In addition, what's cool about it is that. Thanks to the people who really jump in wholeheartedly.</t>
  </si>
  <si>
    <t>There's a body, I don't know what kind, I don't know how many, we had to get rid of the worms... There's a key moment, one of tension, and my partner or whoever was playing the bad cop said, "Come on, I'm gonna send all of you to God."</t>
  </si>
  <si>
    <t xml:space="preserve">You're watching the escape room and you can see all kinds of people, but how does a "cani" develop? A group of canis that are there.
</t>
  </si>
  <si>
    <t xml:space="preserve">When I was 12 years old, my dad was looking for work, and the usual thing is that you send out all the job offers and see what comes up. And he got one and said, "Well, now we have to try it out." And what was the job? Bridge engineer. Oh man, what a cool job! 
</t>
  </si>
  <si>
    <t xml:space="preserve">So, there's this person who had never been to Albacete and ends up on a 12-hour flight full of Vietnamese people. Well, me, obviously, because they're Vietnamese, and I had seen very few Vietnamese people in my life, probably. Just listening to them talk, flipping out in colors.
</t>
  </si>
  <si>
    <t xml:space="preserve">And your teacher, is he still around? I think he already retired because he was working there for a really long time, teaching in a bunch of schools all over the place. 
</t>
  </si>
  <si>
    <t>It's like this beautiful, fantastic image of saying, \"Hey, look at how eager this guy is to listen to me.\" And then for sure, the one who talks the most is the husband. A real chatterbox</t>
  </si>
  <si>
    <t xml:space="preserve">Once, someone saw a woman staring at the glass, she grabbed my arm and asked why the Romans built downward. People laughed their heads off.
</t>
  </si>
  <si>
    <t>"Well, there were these gargoyles on churches, like, like, like, like. There's a church in Barcelona called Santilli Pereri, which is a beautiful church, that was bombed during the Civil War."</t>
  </si>
  <si>
    <t>There's a lot of people who think here in Spain that we're educated to believe Columbus was a savior and bla, bla, bla. When they come here, I think they genuinely want to change that whole view entirely.</t>
  </si>
  <si>
    <t>Parents or parents who come to see their child here in Barcelona are doing a tour with them, and maybe they haven't seen their son in a year. They're excited because they see what their son is achieving and they realize he's in a great place.</t>
  </si>
  <si>
    <t xml:space="preserve">There have been thefts on the tours. That's another ball we can throw into the air. 
</t>
  </si>
  <si>
    <t>That's kind of frustrating because in the end, what you want to do is give a cool tour in two hours explaining the history of Jews and Christians, I don't know, anything really, and then people look at you like, "Oh yeah, but you're a young Catalan independence activist, so it's a bit difficult to shake off this stigma."</t>
  </si>
  <si>
    <t xml:space="preserve">But is Antonio Gaudí still alive? A question that's been asked to you if he's still alive.
</t>
  </si>
  <si>
    <t xml:space="preserve">One of the things I like is historical architecture. I always associate it with cathedrals. It's like a magnet for history buffs who stand in front of a facade and say, "This is Romanesque, this is Gothic, this has it all."
</t>
  </si>
  <si>
    <t xml:space="preserve">Then there are more "normal" families, I mean, who come looking for the best they can find, but end up in those schools, in that contrast of super good kids, super pretty kids. There's no middle ground there.
</t>
  </si>
  <si>
    <t xml:space="preserve">In their home, they have zero education, no limits at all, and if one teacher says, "Sit down, open your book," they see it as, "I'm here because I'm forced by law." 
</t>
  </si>
  <si>
    <t xml:space="preserve">
As a priority in that kind of school, you want the child to be there from 9 to 2 and for nothing serious to have happened, for the kids to leave the school happy.
</t>
  </si>
  <si>
    <t xml:space="preserve">
Have the biggest ones ever messed with you? They mess with you knowing they're messing with you.
</t>
  </si>
  <si>
    <t xml:space="preserve">I often walk the route home and I do it many times accompanied by kids because I pass through the neighborhood. And the kid walks in, "Goodbye teacher," then goes into his house, which is a ground-floor flat with the door left open. 
</t>
  </si>
  <si>
    <t>And then a fifth-grade class passes by, which would be physical education or something—I don't know—this kid who I don't even talk to, and he says to me, "You know, I'd keep my phone safe." And I'm just shocked—not shocked that someone's going to steal it, but how accepted the idea of stealing has become, that you'd even recommend to a prospect, "Keep your phone because they're gonna steal it, I don't know why."</t>
  </si>
  <si>
    <t>What happens is that they don't like school. I imagine a kid like that saying, "I want to study a degree," and the parents saying, "You're crazy, you're going to start working with me as soon as you're old enough."</t>
  </si>
  <si>
    <t>It was totally over the top, but the families themselves have to leave the neighborhoods because they have problems. Not the kids, but the parents with other families. And they change schools, the kid, well, whatever he's managed to learn so far, now it's all reset.</t>
  </si>
  <si>
    <t>Do you need some damn educational method to at least save a few of that crap, or are you just supposed to give up? There you go—just for being born in a place, you're already lost.</t>
  </si>
  <si>
    <t xml:space="preserve">The guy cheated on me, he's such an asshole—he went off with three girls from the same class, he went off with the fifth-year girl and the younger one too. These kinds of things happen at school. 
</t>
  </si>
  <si>
    <t xml:space="preserve">Have had a really big problem with a parent, but it wasn't during a tutorial. Because parents come looking for problems. 
</t>
  </si>
  <si>
    <t xml:space="preserve">I've set my goal to finish these years and say, there's less unemployment because employment has helped make matches. There's a company, there's someone who needs a company—just with that, I think I'd already have enough to fill up my work schedule.
</t>
  </si>
  <si>
    <t>I'd really like to be in a situation like when you join a company and you get... the onboarding process....a kind of memory with all the projects, what's pending, what's left to do, what budget I have…</t>
  </si>
  <si>
    <t>Tell me about some wild things they've said to you, dude. They catch you off guard—your neighbor from the fourth floor shows up out of nowhere and gives you a slap that leaves you in a heap.</t>
  </si>
  <si>
    <t xml:space="preserve">You still have that neighborhood, community feeling here. I know my neighbor across the street, I don't know what, I don't know what, I don't know how much. That kind of stuff doesn't exist in Madrid. And at the same time, it exists even less in other places.
</t>
  </si>
  <si>
    <t xml:space="preserve">One of them, for example, was called "Patillas," but I don't know why they called him that since he didn't have any mustache. He was an older man with a lot of attitude. He came with his cane and always went through the self-checkout lanes.
</t>
  </si>
  <si>
    <t>Same thing. You'd run into the lady who said she's been buying here for 50 years, but then every time she came, she'd ask where the eggs were... some crazy stuff, man.</t>
  </si>
  <si>
    <t>You know, in the end, it's supposed that you can't swear or insult because it looks bad, although I will admit that sometimes I've been told to go to hell. And I've also sent people to hell too.</t>
  </si>
  <si>
    <t>No, I also admit that I've gotten really heated many times and haven't actually thrown punches, because believe me, one day they almost had to separate me from the guy, because he told me he was going to hit me. And I said, "Go ahead, yell at the guy and insult his wife."</t>
  </si>
  <si>
    <t xml:space="preserve">It was once a woman and she had a shopping cart completely full. I passed by and she started talking to me in a rude way, saying she needed another cart. So, go look for one, right?
</t>
  </si>
  <si>
    <t xml:space="preserve">It's a supermarket like Mercadona, like Carrefour, like Lidl or like Día. We're not talking about the top [level], where the salespeople have to suck up to you because they need to sell stuff and earn commissions. 
</t>
  </si>
  <si>
    <t xml:space="preserve">But then the next coupon I gave her didn't work because she had raised the plastic bags and the plastic bags didn't count. So, of course, we had to cancel the whole purchase, start all over again, and she got really upset. 
</t>
  </si>
  <si>
    <t xml:space="preserve">
My mother has a huge laugh at my expense, telling me I've come back as a duck.
</t>
  </si>
  <si>
    <t xml:space="preserve">
They hate you more for speaking Spanish to them than for speaking English. The English have a grudge against them.
</t>
  </si>
  <si>
    <t xml:space="preserve">For example, they did make me talk a bit about the civil war or a class where I had to speak about the Valencia flood. And obviously, I was talking about something that could be a bit difficult for me, and there was a kid sitting next to me who was always making jokes and messing with you—so for me, that was terrible.
</t>
  </si>
  <si>
    <t xml:space="preserve">
There were a lot of people who told me they wanted to come on vacation to Spain. And I'd tell you at the airport, when they ask you, say you're going to Portugal. And they never caught on to the joke.
</t>
  </si>
  <si>
    <t xml:space="preserve">
They dropped the boyfriend topic on me. A 13-year-old kid who left me all shook up.
</t>
  </si>
  <si>
    <t>But there came a moment when I was entering class and all of a sudden I saw 4 or 5 of my students with their faces completely scribbled in pencil. My first thought was crazy.</t>
  </si>
  <si>
    <t xml:space="preserve">One of the really nice things about that age is the crushes. Ugh, what a mess! There were some mixed-gender showers at school. I never went into those showers.
</t>
  </si>
  <si>
    <t>And I'd spend an entire weekend preparing classes, working hard, making PowerPoint presentations, setting up escape rooms, just so that in class, five or seven would fall asleep, three wouldn't pay attention, two would completely ruin the lesson.</t>
  </si>
  <si>
    <t>So, I arrived and for seven days straight I was out partying, not overdoing it. And of course, people were like, "What the hell's wrong with her?" And the people were super cool. My roommates were Spanish. The others, not so much.</t>
  </si>
  <si>
    <t xml:space="preserve">
Kit Kat is a club where you basically go to get laid. I mean, people show up naked, bottoms up, obviously, but inside the decor is really cool, right?
</t>
  </si>
  <si>
    <t xml:space="preserve">It's not the poop anymore, it's not the tourists either—it's the atmosphere in the city center at night. From the NPCs who rap at you with the mic, like, no, me, the red-haired girl, I don't know what, there's the one who looks like Michael Jackson, he wore it like a glove. He's someone who clearly isn't well, wearing a white glove and doing that backwards walking thing.
</t>
  </si>
  <si>
    <t xml:space="preserve">Here's where I'd see a super friendly camera. What happens is, if you touch my nuts, brother, there were people who would say, no, but put the longest cup on.
</t>
  </si>
  <si>
    <t>And in the end, the center is packed with tourists in general, which I guess I can understand because that brings in money and that's what feeds us, but we should also take over our own space and enjoy it.</t>
  </si>
  <si>
    <t>Brother, taking out your dick and peeing on the bar. Plus, it was an L-shaped bar, and he peed right where I could see his dick. I mean, brother, I saw a dick peeing.</t>
  </si>
  <si>
    <t xml:space="preserve">I get what you're saying, about the big destruction of a toilet. I mean, you're saying that there's this diarrhea—pa-pa-pa-pa-pa-pa—spreading all over the toilet I'm talking about, and you had to get your back dirty. 
</t>
  </si>
  <si>
    <t xml:space="preserve">There's an outdoor area with paddle tennis, then there's the typical regular gym, a section of the gym adapted for spinning, meaning all bikes, like, you know? These crazy guys who go pum, pum, pum at full speed, you know, what a bunch of crazy bastards they are at 9 in the morning.
</t>
  </si>
  <si>
    <t xml:space="preserve">I don't get too shocked because I've also worked almost two years at a Burger King. The Burger King bathrooms are kind of like basic training for this. Like, it's like going to Afghanistan, yeah, but I've already seen everything.
</t>
  </si>
  <si>
    <t xml:space="preserve">There's this thing I call the volcano, which is when a toilet gets clogged, especially with diarrhea—oh man, it's a nightmare. You've got to be really messed up inside.
</t>
  </si>
  <si>
    <t xml:space="preserve">And I have a car with a dirty water bucket and a clean water bucket. She comes out of class, drinks some, there's a little bit left, and instead of throwing it away, going to the sink and throwing it because it would weigh her down or whatever, she does this, click, click, click, and empties it into the clean water bucket.
</t>
  </si>
  <si>
    <t>So I've gotten rid of a lot of things that just didn't do me any good, and especially the mindset that a lot of people have—that they're going to reach their dream job or get a job that gives them a lot of money. I think it's more important than even money or your dream job to find a job where you feel comfortable. It could be something that's neither fun nor fancy, you know?</t>
  </si>
  <si>
    <t xml:space="preserve">This was coming because later... The guy has gum in the pool, bro. The guy has gum in the pool, I told my teammate, I gave him two elbows and said, bro, he's got gum in the pool.
</t>
  </si>
  <si>
    <t xml:space="preserve">
Translate this one into French: if they literally don't speak Spanish, spending their summer in Spain, and even less so English, which is the international language, tell them to go to Bordeaux and have a glass of wine. And my partner said that. I'm getting back at Pepe Botella for what he did, you know. 
</t>
  </si>
  <si>
    <t xml:space="preserve">Obviously, a little bit of posing now and then. A little bit of telling you that you went on vacation to such and such a place. It's just that a nice photo doesn't hurt anyone. There's no need not to take photos.
</t>
  </si>
  <si>
    <t>She left it completely full of sand and kept insulting me, man. Tired of her shouting, I told her to leave. And security had to come and tell her to either go or stop shouting. They take her to a center where my brand isn't sold, and there, obviously, since it's not hers, they don't bother, they see the receipt is from another center, pim pam, then they send it through transfer and the product arrives, well, completely ruined.</t>
  </si>
  <si>
    <t xml:space="preserve">Many times it's animals—dogs chew through the fiber cable and you end up paying 60 bucks for just one broken connector. Once, I had a situation where the person was super upset, like, I called them to let them know I was coming, and they started getting really angry, as if we'd been waiting for ages, I don't know what. 
</t>
  </si>
  <si>
    <t xml:space="preserve">He says, "Ah, and it's also that you can't set up Wi-Fi on the phone either. It really worries me when they give you the phone, because a lot of times you have to go into the browser and you end up finding weird stuff."
</t>
  </si>
  <si>
    <t>Also, people living in Gibraltar pay less taxes. That's for the English, for someone who's from here, if you work there, they really screw you over. I do both tax returns. When I was working at the McDonald's in Gibraltar, I paid 760 euros in taxes.</t>
  </si>
  <si>
    <t xml:space="preserve">The problem is at the beginning when I started, because there are things they ask you and you say, "What the hell is this guy asking me?" Like some nuggets, some fries, a regular Coca-Cola, a cheeseburger without cheese and without onion.
</t>
  </si>
  <si>
    <t xml:space="preserve">Yes, yes, I've had some [of those]. Well, well, I can't really tell you what it was about, because I had absolutely no idea what they were saying. 
</t>
  </si>
  <si>
    <t xml:space="preserve">A lady calls me up, says, "The card they stole from you in a bar, I don't know what, bla, bla, bla." It's just that I went to pee and when I came back, it wasn't there anymore.
</t>
  </si>
  <si>
    <t xml:space="preserve">Scams. And you have to be really careful because they're absolute jerks, right? At first you might think, well, this one only fools the stupid ones, right? It doesn't fool smart people.
</t>
  </si>
  <si>
    <t>They even call you from the tax agency. A few years ago, they would call people pretending to be the Universal Basic Income tax agency. They'd ask for a 100 euro Bizum transfer to a certain number as proof they were real. Of course, then neither the tax office nor anything else happened.</t>
  </si>
  <si>
    <t xml:space="preserve">He says, "This phone is paid." I tell him, "No, sir, it's not paid." It is paid. I'm sure it's not, sir, it's not paid. I mute myself and hear him say, "This subnormal person doesn't even realize anything." I unmute and say, "Sir, what you're going to do is look for another subnormal person who does know something, right?"
</t>
  </si>
  <si>
    <t xml:space="preserve">I tell it like that and say, haha, what a joke, because in reality you're not doing anything wrong, because you're just changing the light. I mean, it's not like you're putting her life savings on the line. 
</t>
  </si>
  <si>
    <t xml:space="preserve">Raquel stayed in our hearts on this channel. And every time 2 out of 3 people who watch the video again, or new people who discover the videos, say, "When is this little girl coming back?" She's back.
</t>
  </si>
  <si>
    <t>Well, I haven't stopped traveling. Now I'm traveling to Burgos. Besides traveling to Burgos, it's cool that you get amazed, right? The area where I work is really nice.</t>
  </si>
  <si>
    <t xml:space="preserve">
We went to a guy's house, a British couple, really cute, in the most rural part of the rural areas of Burgos. They've been there for like years.
</t>
  </si>
  <si>
    <t xml:space="preserve">You see everything—you go to Fulanito's house, you see the conditions in which Fulanito lives, if he's alone and his kids are somewhere else, he can't take care of himself, and the house is in some kind of state, and you see that. 
</t>
  </si>
  <si>
    <t>So, if you start asking around, like, "Hey, Eugenia, yeah, she's been coming alone for a while," or "She looks more tired lately," or she has an identity, a circle that identifies her and takes care of her somehow. And in the city, I think we're all more anonymous. In the city, we're all NPCs.</t>
  </si>
  <si>
    <t xml:space="preserve">It's really important to spend time building that connection with your surroundings. We don't highlight it enough in the way of "wow, how cool, they're going out into the world, that's awesome, that's crazy!"
</t>
  </si>
  <si>
    <t xml:space="preserve">I already had my dream since I was 12 years old, basically being a total geek, like a really bad rat. But obviously, from 12 to 22, you're thinking, how the hell am I going to Japan?
</t>
  </si>
  <si>
    <t xml:space="preserve">Japan, I take it up the ass. I mean, Japan is the worst shit I've ever gone through in my life. But both the good and the bad, right?
</t>
  </si>
  <si>
    <t>They're so completely wrapped up in money and all that stuff that they think we need to tell them how much we get paid. They write it down like it's some big deal—like, "your salary," I don't know how much you've earned.</t>
  </si>
  <si>
    <t xml:space="preserve">
Now you're seeing us like this, all dressed up and everything. When I go to work every day, I have to take off our stuff and hide the septum. I have to wear these belts. I mean, basically play the part of your life. Clothes like semi-formal, I don't know what.
</t>
  </si>
  <si>
    <t xml:space="preserve">So then you have to play a little mental trick on the one who likes to invent, making her believe it was really an accident, so she doesn't come over and tell her mom that they got into a fight because if she does, the other kid is going to have a whole bunch of consequences. 
</t>
  </si>
  <si>
    <t xml:space="preserve">It's all very magical. Also, very top secret. The workers take the whole thing very seriously—not posting anything on social media.
</t>
  </si>
  <si>
    <t xml:space="preserve">The conditions are really good. This is exclusive for workers. Check out what kind of merchandise there is. It's this little jacket you see here and you just say, "That looks nice."
</t>
  </si>
  <si>
    <t xml:space="preserve">They're so proud of French things. France is the best, the French are the best, French cuisine is the best—and I take a dump on French cuisine.
</t>
  </si>
  <si>
    <t xml:space="preserve">
Look, my name is Ivan, for anyone who doesn't know me. And as I've explained perfectly already, I've worked by talking badly and quickly, annoying people in order to try and get them to accept some colleague going to the house.
</t>
  </si>
  <si>
    <t>I turn around and there he is, with his hand like that, and he's got this damn green parrot, man. It fell out of a tree. I say, well, there it goes. From the vet. I open up its wing and start looking at it. And now I say, man, what do I do with this damn parrot, man?</t>
  </si>
  <si>
    <t xml:space="preserve">But dude, they had to call my mom. You see, on top of that, when my mom was on vacation for one day, dude, I had to give her the third degree, dude. They even took away my fucking Red Cross vest, dude. 
</t>
  </si>
  <si>
    <t>The Red Cross said they were going to report the police on my behalf, I don't know what for. Then the police apologized. Another weird move, man. Hell, I wish I had a gypsy life like this, let's go.</t>
  </si>
  <si>
    <t xml:space="preserve">That day I set a record for half of Spain with the Red Cross, I think that's what it was, man. 218 coupons in one day. I mean, it looked like that, man — full of cars, you know, brother, man, here everyone's spending more money. And I, well, depending on the place, I have a speech.
</t>
  </si>
  <si>
    <t xml:space="preserve">You opened the MD as if saying, "I do this for a living, but it's not exactly my passion."
</t>
  </si>
  <si>
    <t xml:space="preserve">We have a wide range. There are property owners who don't care at all—they just want to maximize their return. But I also have property owners who are very careful about whom they let in. They talk to people before accepting them or have pretty strict criteria. For example, one of them only accepts families with good reviews.
</t>
  </si>
  <si>
    <t xml:space="preserve">Or there's also the typical person who says no, no, I don't want tourist traps, I want an authentic experience of this place. And you look at them and say, "You don't even know what you're asking for."
</t>
  </si>
  <si>
    <t xml:space="preserve">It's a mess. In short, you can't get involved with any passenger, you can't have any kind of relationship. And I thought that was pretty much forbidden. 
</t>
  </si>
  <si>
    <t>People have a lot of hate for the French, and I get it, but I have to say that in my case I developed a hatred for Italians. It's like a Spaniard, but at the level of an in-law, like the worst possible one.</t>
  </si>
  <si>
    <t xml:space="preserve">Let's open up that melon. In the previous video we talked about less posh places, now we're talking about more posh places. We're talking about ultra-Catholic private schools in the center of Madrid, where I've come across the worst bunch of kids you can imagine.
</t>
  </si>
  <si>
    <t xml:space="preserve">Once, I think it was around July, there was a French customer. Typical French customer, around 50 or 60 years old, right? His car broke down and he had to contact his insurance in France. And this guy didn't know a word of Spanish, you know?
</t>
  </si>
  <si>
    <t xml:space="preserve">The guy from the workshop just says it like that. Tell that stupid foreigner not to worry, his car will be ready by Friday afternoon.
</t>
  </si>
  <si>
    <t xml:space="preserve">Whenever I've filmed any videos in England and come across an Irish person—either male or female—the top comment that's always been thrown at me in every video I've filmed there has been "f*** the English to hell."
</t>
  </si>
  <si>
    <t xml:space="preserve">Well, we were out partying, and then the usual thing happened—because everywhere, all the bars and clubs close at 2 in the morning. At 2 in the morning, back to your damn house. And there they go, the Irish, like the Greeks, I mean, they're absolutely hammered.
</t>
  </si>
  <si>
    <t>The historical accuracy is kind of... Well, I really like it, okay? I love the history of fashion. And I'm pretty much like, why isn't that done correctly? Have they ever done anything good by not putting horns on? At least they did that right. The things they do include stuff like that, obviously. Historical accuracy, they kind of take it a bit too far.</t>
  </si>
  <si>
    <t xml:space="preserve">Okay, before I tell you the story, I've got to ask you something because it's something that's really famous about India—its cuisine, and especially the experience of a lot of my friends who have been there. It's the first time you get sick.
</t>
  </si>
  <si>
    <t xml:space="preserve">These monkeys, which come in groups of 30 or 40 maybe, would jump into the embassy area. You'd see them from a distance and say, "Jesus, what nice little guys," like, you'd see the monkeys with their mothers, the little ones attached here, and you'd see these big monkeys that looked like meatballs, you know? Like, how fat they were.
</t>
  </si>
  <si>
    <t xml:space="preserve">They treat you differently, both good and bad. They assume you're upper class, they think you have money, so sometimes they see you as a wallet with legs.
</t>
  </si>
  <si>
    <t xml:space="preserve">
They do the whole show when you order a bottle of Don Periñón or whatever champagne they have. They're standard Madrid types, I'll tell you. This is capi. There are probably a lot of little Indian Nicoláses around. There's definitely a lot of Indian Froilán. Yeah, I don't know, I guess it's just seeing things step by step, figuring out who has holes or not.
</t>
  </si>
  <si>
    <t xml:space="preserve">Women's rights sometimes fall short. It's still the case that women are expected to stay home and take care of household chores—that old-fashioned stuff.
</t>
  </si>
  <si>
    <t xml:space="preserve">Like, don't laugh, because we Spaniards aren't really rocket scientists either, okay?
</t>
  </si>
  <si>
    <t>There are places everyone goes to, and I really want to know the ins and outs of those little characters who must go to MediaMarkt.</t>
  </si>
  <si>
    <t>I've been working at MediaMarkt for two and a half years. Fortunately—or unfortunately—where I ended up is right in the center of Málaga, specifically on Vialia, where a lot of people pass by and there's all kinds of riffraff around.</t>
  </si>
  <si>
    <t xml:space="preserve">And on top of that, I had the gaming section, especially the keyboards, the mice, where the typical little brats would come there to mess around with them, the little keyboard things. 
</t>
  </si>
  <si>
    <t>Sure, you can imagine an old guy, my colleague fighting with him, another man just behind insulting my colleague because he said the phone wasn't working and Santa Lucia had told them the repair had to be done by them.</t>
  </si>
  <si>
    <t xml:space="preserve">The little troublemaker shows up at the door, passing by and saying: "Who's gonna deal with the hot potato?" Because you know, dealing with that guy is no joke, man.
</t>
  </si>
  <si>
    <t>When I already asked him which bank it was, he immediately started: "And why do you want so many details?" He was yelling in the middle of the store, throwing punches.</t>
  </si>
  <si>
    <t>Dude, how are you gonna get out of this? You gotta come up with everything you can because the guy's totally out of his mind, throwing punches, and all you want to do is get the hell out as fast as possible.</t>
  </si>
  <si>
    <t>There, in the store, they told you that you couldn’t get a refund for stuff like that, but obviously, when a guy like that comes in all worked up, you don’t want him hanging around the store giving everyone the third eye all day, so what you really want is to get rid of him.</t>
  </si>
  <si>
    <t>Sure, like he thinks if he takes two laptops, I'm gonna give them to him, he's gonna get a discount. Yeah, like I was the owner of that store. Bro, if I take these two laptops, how much would you charge me? Well, the same price.</t>
  </si>
  <si>
    <t>I got stuck, I saw the guard standing up, automatically stopped the escalator, and I saw an older man sitting on the ground next to the guard, bleeding. I ran into the little room, started taking serum, started cleaning his wounds to check how his face looked. His face was like a Christ.</t>
  </si>
  <si>
    <t>The one who gets screwed is me, because you imagine getting someone else's ID, processing a loan, and then the person who ends up getting approved accidentally—well, the one who gets in trouble is the other person.</t>
  </si>
  <si>
    <t>And then there was the typical kid who came with the dad and grabbed some rebounds because the dad had bought him a Xiaomi and the kid wanted an iPhone, and the dad would just look at you and say, "Dude, how much does the cheapest iPhone cost?" And he'd try to make it seem like it wasn't a big deal to the kid, but the kid was dead set on that iPhone.</t>
  </si>
  <si>
    <t>"Damn, it hurts me, for example. Those kinds of things have always really affected me — that the kid wants it so bad, and the dad has to buy it, otherwise the kid takes the cheaper option and ends up in a mess. If it were my dad, he’d have already given me a piece of his mind with a biscuit."**</t>
  </si>
  <si>
    <t>The guy had stolen a Nintendo Switch, PlayStation controllers, and had basically stolen around six thousand euros worth of stuff from the store. The real jerk must have been getting tired of robbing us there, and he wanted to make it a bit harder.</t>
  </si>
  <si>
    <t>I wasn't into Apple, not really, nor did I hang out with Samsung or Xiaomi people. I just went my own way.</t>
  </si>
  <si>
    <t>There came a moment when he said: "If the blood's going to end up in the river eventually." I got really hot under the collar, I smashed the table, and I told him: "Look, I don't feel like putting up with you or your nonsense."</t>
  </si>
  <si>
    <t>Today we're going to talk about that supermarket where you used to go to buy things because it was cheaper than the copón, and now it's more expensive than the Virgin.</t>
  </si>
  <si>
    <t>The truth is that the atmosphere was super pleasant and I've been super comfortable and super happy working there.</t>
  </si>
  <si>
    <t>I haven't seen a more comfortable uniform in my life. Hey, it's famous for being ugly. No way, ugly for real — honestly, yeah, it is.</t>
  </si>
  <si>
    <t>No need to feel ashamed about asking questions, because they ask you every silly thing you have to do with absolute audacity.</t>
  </si>
  <si>
    <t>The manager of that day at the store went upstairs to check, to make sure everything was in order, and came down and said: "Damn, I stepped on something, but it feels like someone had pooped in the lobby and was jumping forward."</t>
  </si>
  <si>
    <t>A guy comes in one day and says: "You've just been robbed between the boxes, because he crawled along the floor behind the boxes and the guy stole it."</t>
  </si>
  <si>
    <t>One day they tried to distract me from behind too. They did it with the real backside, because I didn’t even turn around.</t>
  </si>
  <si>
    <t>I know there's someone who's gonna steal milk, a pack of pasta, rice, water, yeah, that kind of people, like… it doesn’t even bother me.</t>
  </si>
  <si>
    <t>A guy was picking things up while talking on the phone with one hand, and then he was calmly putting them away with the other. And there was another guy behind him who I suppose doesn't have as much patience: "You're an idiot, you're a moron."</t>
  </si>
  <si>
    <t>At that moment, there was a lady who was almost alone, and man, it kinda affects you a little because it's sad, but we were there in the session.</t>
  </si>
  <si>
    <t>I don't get the mentality that we have that Mercadona is cheap because they don't do any deals or anything.</t>
  </si>
  <si>
    <t>This time, one of my favorite regions, the fish and chips region, the area with those teeth-like things, the people who everyone talks about in their own language, but they don't speak anyone else's language. Let's find out what England is like.</t>
  </si>
  <si>
    <t>I didn't like the PhD because everyone was precarious, underpaid, and there was this girl who graduated at 35 years old because finally her parents had become independent, and I said no, this isn't for me.</t>
  </si>
  <si>
    <t>Science teacher, Biology, Physics and Chemistry, from the equivalent of secondary school second year to high school first year. The best of each house. So, yeah.</t>
  </si>
  <si>
    <t>Well, God, they had a couple of siblings who took classes, and obviously they came without knowing any English to get by. Since I was a very friendly, very helpful teacher, the deputy principal said to me, "Hey, hand over the exams with this, translate them and stuff..." I'd give him the response, what the hell.</t>
  </si>
  <si>
    <t>The problems are worth points. If you do one thing, you get a point. If you do another thing, you get another point. They hand them out like there's no tomorrow.</t>
  </si>
  <si>
    <t>No worry, it's just that they were all taller than me, if that's normal. I was pretty cute for them too, and I used to act all offended.</t>
  </si>
  <si>
    <t>The sons of bitches from my friend are laughing their heads off. "So what now, huh? You wanted to be there so much, people were so polite. Take that."</t>
  </si>
  <si>
    <t>I haven't argued with these ugly British girls. Because they slipped into my stupid Tesco.</t>
  </si>
  <si>
    <t xml:space="preserve">And there was also a French family. I'm going to take a stand in favor of the French. The French were very attentive. The French look out for each other a lot, like a hive mind. 
</t>
  </si>
  <si>
    <t>Now and then my director and my academic head have scolded me. Please, it's obvious you're Spanish.</t>
  </si>
  <si>
    <t xml:space="preserve">We used to have kind of an AMPA night every end of term. It was like a conveyor belt — we'd stay in our seats and the parents would go by one after another. Well, it was the turn of a girl who studied humanities. 
</t>
  </si>
  <si>
    <t>His turn came, he explained it to the dad: He got a 4, but let's try to get him to pass next time, you know. And he slapped the kid right in front of me. It really got under my skin.</t>
  </si>
  <si>
    <t xml:space="preserve">He had the guts to hit his daughter in front of a teacher. Drunk as a barrel. 
</t>
  </si>
  <si>
    <t xml:space="preserve">
No, in the end my deputy head and my headmaster defended me. Two awesome guys.</t>
  </si>
  <si>
    <t xml:space="preserve">My favorite line would be: "What we have done, something you did not do, is to deceive people." It's just amazing, really, dude. 
</t>
  </si>
  <si>
    <t xml:space="preserve">Bro, who taught you Spanish to speak so well? 
</t>
  </si>
  <si>
    <t xml:space="preserve">Most comedians are from Osaka, so they're known for being cheeky. 
</t>
  </si>
  <si>
    <t xml:space="preserve">As a person who's Japanese: Doesn't it seem a little weird that practically everyone's all over Japan these days?
</t>
  </si>
  <si>
    <t>In fact, in 2022, when the Olympics were here in Japan, I saw Kureha and I let out a Mariano Rajoy quote. And she laughed her ass off.</t>
  </si>
  <si>
    <t>Exactly, for them, like, the idea of Spain: beach is sun, sangria is party, paella and bullfighting. Like, if you show them a photo of Asturias or Galicia, they glitch out and say: No, this isn’t Spain.</t>
  </si>
  <si>
    <t xml:space="preserve">So that after that they come to Mallorca, buy their house, and there's a neighborhood in Mallorca that's all written in German. It pains me to say this, because I say: Come on, no, these are stereotypes, let's break the stereotypes, but it's just that they can't. 
</t>
  </si>
  <si>
    <t>And damn, my colleagues who are at a Gymnasium, they say to me: Oh, damn, mine are all from eight German surnames. Christ, don’t joke around.</t>
  </si>
  <si>
    <t>And it makes you think: If they're separating the classes because they perform better or worse, then why the hell do I have kids in my class who are total animals when it comes to studying? When you're academically brilliant, it's because you're a total brainiac.</t>
  </si>
  <si>
    <t>It's just that, yeah, kids are a wellspring of surprises.</t>
  </si>
  <si>
    <t>A kid saw me and said: "Are you married? Do you have a partner?" Well, it doesn't concern you. You're in Spanish class.</t>
  </si>
  <si>
    <t xml:space="preserve">And I said, "But how do you have the guts to call her that? Don't ever call me that, I'm not a dog." 
</t>
  </si>
  <si>
    <t>If they see something's bothering you, instead of stopping, since they're such jerks, they'll make it worse.</t>
  </si>
  <si>
    <t>Well, nothing, if I finished just a little while ago, we were even arguing about this a week before I ended things with him. And he started doing it, and then others started doing it too. And of course, it's like the nonsense spreads.</t>
  </si>
  <si>
    <t>Of course, I talked about it with the ones at the Gymnasium, and they were saying: "Damn, well that didn't happen to me. Go have your kid and they'll slap you in the face with an open hand and things like that," they told me.</t>
  </si>
  <si>
    <t>When you combine problematic with problematic, all you're gonna end up with is problems. It's a segregation system that's crazy.</t>
  </si>
  <si>
    <t>I'm laughing because it's like: "Well, we all know the deal, right? Hey, no need to mention it, right? Come on, Germany, right?" Then you say: "Damn, we haven't learned anything, I swear to God."</t>
  </si>
  <si>
    <t>So if you're taking it from the angle of: "Well, yeah, it's just a statute school—so does that mean you're not smart?" You're already kind of labeling the kid, aren't you? I mean, you're here because you're not that smart, so. Meritocracy at 12, touch your nuts.</t>
  </si>
  <si>
    <t xml:space="preserve">I had it all idealized when I came here, because they sell you the whole thing—there's lots of job opportunities, you'll find work, I don't know what. 
</t>
  </si>
  <si>
    <t>What amuses me is that then they treat us like we're the bottom of the world.</t>
  </si>
  <si>
    <t>And, like, that, not everything that glimmers is gold.</t>
  </si>
  <si>
    <t>It's been a shock, but it hasn't been that bad because I've lived abroad, I speak English well, so it didn't cost me too much to adjust. It was still tough though because my high school is really chaotic—they tell you everything today and then nothing tomorrow, like, the organization is basically non-existent, so that's what cost me the most.</t>
  </si>
  <si>
    <t xml:space="preserve">And the first day of class, well, obviously, they give you so much pressure and you have to show that you're all that, so you don't have to do anything on the first day, like, super, super, super, super, super. 
</t>
  </si>
  <si>
    <t>I'm gonna take a detour here. It happens to me too 'cause I say "America." Actually, I mean Americans. Then people from Latin America come up and say, "Excuse me, you're a total subnormal 'cause America's everything, not just the damn Yankees."</t>
  </si>
  <si>
    <t>Sure, last year there was a student who was always challenging me. I'd give her an assignment, and she'd always have to argue about everything, I don't know what. And on top of that, she was one of those students who missed a lot of classes. Well, I had already had some little conflicts with her, and she was always arguing with me.</t>
  </si>
  <si>
    <t>I was telling you before that my perspective has shifted a bit, my mindset when it comes to grades, because you really see everyone's background and what you realize is that it doesn't matter to them.</t>
  </si>
  <si>
    <t>And there have been a lot of deaths like that because of a fight on the street—because of an argument, leaving a bar, boom, boom, and in the end, someone ends up dead because they pulled out the gun.</t>
  </si>
  <si>
    <t xml:space="preserve">When you run a campaign, obviously you always go for content creators or celebrities—whether it's a footballer, musicians. And for a campaign we did with Exhibit, a very famous rapper who's more known for tuning cars, we made a really cool campaign with him. The guy was awesome, super nice, but damn, he asked for a bag of marijuana. 
</t>
  </si>
  <si>
    <t xml:space="preserve">Well, it's just that in the ad, the drug topic is pretty interesting, huh? Christ, until you face people who really go out every day high, you don't understand how it really works, because a lot of people think they're rockstars. 
</t>
  </si>
  <si>
    <t xml:space="preserve">One of the things, dude, that really hit me, they say you realize it a bit when you grow up, but in this world, more than that, everyone's on drugs. 
</t>
  </si>
  <si>
    <t>Yo started off as an intern right on the anniversary of an agency, they rented a bar, dressed everything up like it was a big event—gringos, Latinos, this whole thing. And dude, I, obviously, was my first day.</t>
  </si>
  <si>
    <t xml:space="preserve">I used to work in a building, at a multinational company. They released a statement, through an agency full of super posh people and all these super money-makers, and here we were, everyone was totally messed up, there was this guy, dude, a total loser, like, outside the bathroom. 
</t>
  </si>
  <si>
    <t>And it really pissed me off when I got into the industry, because it's an industry that I feel is very classist. It's not just about who you work with and all that, but also about access. Christ, if you live in Madrid or Barcelona, which is where everything is, when you have to come here, man, you have to do a master's degree, which is actually a master's degree they just pulled out of thin air.</t>
  </si>
  <si>
    <t>It's not just about being the most talented, having the best ideas, or being the best at designing or writing. You have to have a financial lung from your parents or guts to work. Working weekends doing something else, hunting for freelance on your own, getting paid under the table, and making a living.</t>
  </si>
  <si>
    <t>Hello, my name is Claudi and I do work at Starbucks where you pay 37 euros just because they take out a kidney and say your name. And on top of that, we don’t even write it down anymore.</t>
  </si>
  <si>
    <t>I'm gonna open up a watermelon. In your videos, you criticize the French a lot. I'm here today to defend them, dude. They're the least of the touchy-feely types.</t>
  </si>
  <si>
    <t>It was morning, but I'm talking to you at 7:30. We saw a girl and a young guy walking in. They stood right in front of the bar and started getting all affectionate, giving each other some big kisses, and us saying, "Well, okay, that's fine."</t>
  </si>
  <si>
    <t>So, obviously, a woman suddenly comes up to the counter and asks for a complaint form, saying you've got a broken soap dispenser. And of course, we started talking to her—I let her use the sink, wash her hands, no big deal. She went on and on and on about it.</t>
  </si>
  <si>
    <t>Really, during those 2 years I've been there, I was completely a different person. I lived in bitterness every day. It really takes a toll on you when people treat you so badly, so disrespectfully.</t>
  </si>
  <si>
    <t>So I went, I was looking at the apartments, it was maybe like a basement to take a dump with dampness, one filthy room. Each one was a thousand euros. I begged the housing office so much, maybe there's a place, but you have to share with five Israelis. I'm just shaking my head in disbelief.</t>
  </si>
  <si>
    <t>And he takes us like to a room, maybe a group of 10 men sitting around, sits us down and says, ask whatever you want. And we spent like 2 hours talking about Islam, asking him questions and discussing what the perception of heaven is, of Islam, what he thinks about Christianity, you know, I've heard this, what do you think about that? Of course, then we left with this guy, because we became friends after 2 hours of chatting, I have a photo here with the Polaroid of all of us.</t>
  </si>
  <si>
    <t xml:space="preserve">There was this girl, this chick was from the UK, and her family was super religious, like super religious in the most extreme way, Protestant. The typical stuff—skirt down to the knees, never done anything with anyone, you know.
</t>
  </si>
  <si>
    <t>How's Cairo? It's really nice, like the pyramids you mentioned, man, God, it's probably the weirdest thing in humanity.</t>
  </si>
  <si>
    <t xml:space="preserve">We did a 14-day trip. We were going to Urgeda and there was this really random guy who started following us. I don't even remember his name. 
</t>
  </si>
  <si>
    <t>Yes, it's true that maybe with Israeli people, obviously me, many of my friends from there, like, they're Jewish and not Israelis and everything's totally fine and they're good people, but it's true that perhaps the general feeling, especially at first, is like that often they were a bit... not disrespectful, but they looked at you kind of over the shoulder.</t>
  </si>
  <si>
    <t>I left Jerusalem around July 2023, and there were a lot of heavy tensions. Maybe they launched five thousand missiles over Tel Aviv in one day, which they never do to Tel Aviv.</t>
  </si>
  <si>
    <t xml:space="preserve">Sure, I remember many times that maybe I was where my jewelry box was, because I had a jewelry box in Jerusalem and the guy was totally messed up.
</t>
  </si>
  <si>
    <t xml:space="preserve">Keep in mind that military service is mandatory for both men and women. It's like, you know, imagine giving an 18-year-old a AR-15 and telling them, "Hey, you're gonna put on this uniform and strut around like a peacock in front of all your classmates defending the promised land because you're God's messenger."
</t>
  </si>
  <si>
    <t>At the checkpoints, yeah, it's that everyone was my age and it's not like the military service in Finland. Yeah, yeah, it's not the army. I mean, they pick you up and send you to Lebanon.</t>
  </si>
  <si>
    <t>It's kinda funny because I was in another escape room before, which I saw an offer for on Instagram for an escape room that had been done, that I had played, and I said, you know, why not, when you're stuck, just go with the flow, why not?</t>
  </si>
  <si>
    <t>Besides, what's cool about it is that. Thanks to the people who jump in fully.</t>
  </si>
  <si>
    <t>But what amuses me the most, between quotes, are the families. That's the shit.</t>
  </si>
  <si>
    <t xml:space="preserve">There's a corpse, I don't know what kind, I don't know how many, we had to remove the worms… There's a key moment, one of tension, and my partner or whoever was playing the bad cop said, "Come on, I'm gonna send all of you to God." 
</t>
  </si>
  <si>
    <t>You're watching the escape room and you can see all kinds of people, but how does a "cani" develop? A group of canis that are there.</t>
  </si>
  <si>
    <t xml:space="preserve">When I was 12 years old, my dad was looking for work and the usual thing is you send out all the job applications and see what comes up. And he got an offer and said, "Well, now we have to try it out." And what was the job? Bridge engineer. Hey, what a crazy job! 
</t>
  </si>
  <si>
    <t>A person who hadn't left Albacete ends up on a 12-hour flight full of Vietnamese people. Like me, obviously, since I'm Vietnamese, I've only seen very few Vietnamese people in my life, probably. Hearing them talk, going crazy with the colors.</t>
  </si>
  <si>
    <t>And your teacher still around there? I think he already retired because he'd been working there for so many years, like in a bunch of schools all over the place.</t>
  </si>
  <si>
    <t>It's like the perfect and fantastic image of saying, hey, look how eager this guy is to listen to me. And then for sure the one who talks the most is the husband. A real chatterbox.</t>
  </si>
  <si>
    <t>Once, there was a woman who started staring at the glass, grabbed my arm, and asked why the Romans built downward. People laughed their heads off.</t>
  </si>
  <si>
    <t>Well, so there were these gargoyles on churches, like, like, like, like. There's a church in Barcelona called Santilli Pereri, which is a beautiful church, and it was bombed during the Civil War.</t>
  </si>
  <si>
    <t>There's a lot of people who think here in Spain we're taught that Columbus was a savior and bla, bla, bla. When they come here, I think they do it in good faith, like they want to completely change that view.</t>
  </si>
  <si>
    <t>Parents or parents who come to see their child here in Barcelona are doing a tour with them, and maybe they haven't seen their son in a year. They're excited because they see what the son is achieving and they see that they're in a cool place.</t>
  </si>
  <si>
    <t>There have been thefts on the tours. That's another one of those things we could talk about.</t>
  </si>
  <si>
    <t>It's kind of frustrating because, in the end, what you want to do is give a cool tour in two hours explaining the history of Jews and Christians, I don't know, anything, and then they look at you with that face like, yeah, but you're a young Catalan independence activist, so it's a little bit hard to shake off this stigma.</t>
  </si>
  <si>
    <t>But does Antonio Gaudí still live? A question that's asked to you like, "Is he still alive?"</t>
  </si>
  <si>
    <t>One of the things I like is historical aunts and uncles. I always associate them with cathedrals. They're like magnets for historical aunts and uncles who stand in front of a facade and say, "This is Romanesque, this is Gothic, this has it all."</t>
  </si>
  <si>
    <t>Then there are more "normal" families, let's say, who come looking for the best they can get, but end up in those schools, in that contrast of super good kids, super pretty kids. There's no middle ground there.</t>
  </si>
  <si>
    <t>In their house they have zero education, they don’t have any kind of limits, and when they get to school, one teacher says, "sit down, open the book," they see it like, "I'm here because I'm forced by law."</t>
  </si>
  <si>
    <t>As a priority in that kind of school, you want the kid to be there from 9 to 2 and for nothing serious to have happened, for the kids to leave school happy.</t>
  </si>
  <si>
    <t>Dude, have the big names ever messed with you? They mess with you knowing they're messing with you.</t>
  </si>
  <si>
    <t>I often walk the route home with kids because I pass through the neighborhood. And the kid walks in, goodbye teacher, goes into his house, which is a ground-floor flat with the door open.</t>
  </si>
  <si>
    <t>And then there's a fifth-grade class that would normally be PE or something, and this kid who I don't even talk to comes up and says, "Yo, you should keep your phone." And I'm like, man, I get shocked not because, like, they're gonna steal it from me, but because how accepted the idea of stealing has to be in order for you to recommend someone to keep their phone, because, like, you're gonna get it stolen, I don't know why.</t>
  </si>
  <si>
    <t>What happens is they don't like school. I imagine a kid like that saying, "I want to study this career," and the parents saying, "You're crazy, you're going to start working with me as soon as you're old enough."</t>
  </si>
  <si>
    <t>It was totally exaggerated, but the families themselves have to leave the neighborhoods because they have problems. Not the kids, but the parents with other families. And they change schools, the kid, well, whatever he's managed to learn at least, now it's like starting over.</t>
  </si>
  <si>
    <t>Do you need some kind of stupid educational method to at least save a few of that garbage, or are we just supposed to give up? There you go, just for being born in a place, you're already lost.</t>
  </si>
  <si>
    <t>He cheated on me, he's such a jerk, he went off with three from the same class, he went off with the one from fifth grade and the youngest one, stuff like that happens at school.</t>
  </si>
  <si>
    <t>I've had a real big problem with a parent, but it wasn't during tutoring. Because parents come looking for problems.</t>
  </si>
  <si>
    <t>I've been focusing on finishing these years and saying, there's less unemployment because employment has served to make matches. There's a company, there's someone who needs a company, just with that I think I'd already have enough to fill my work schedule.</t>
  </si>
  <si>
    <t>I'd love to find myself in that situation when you enter a company and you're... the onboarding process....having a memory with all the projects, what's pending, what's left, what budget I have…</t>
  </si>
  <si>
    <t>Tell me about some crazy things that have happened to you, man. You’re caught off guard by your neighbor from the fourth floor and she starts giving you a slap that leaves you in shock.</t>
  </si>
  <si>
    <t>Here you still have that neighborhood, community feeling. I know my neighbor across the street, I don't know what, I don't know what, I don't know how much. That kind of stuff doesn't exist in Madrid. And at the same time, it exists even less in other places.</t>
  </si>
  <si>
    <t>One of them, for example, was called "Patillas," and I don't know why they called him that, because he didn't have any mustache. He was an older guy with a lot of temper. He came with his cane and always went through the self-checkout lanes.</t>
  </si>
  <si>
    <t>Same thing. You'd run into the lady who said she's been buying here for 50 years, but then every time she came, she'd ask where the eggs were… some crazy stuff, man.</t>
  </si>
  <si>
    <t>In the end, you're supposed to not be able to insult because it looks bad, although I will admit that sometimes I've been sent to hell. And I've sent others to hell too.</t>
  </si>
  <si>
    <t>No, I admit it too—I've gotten really heated a lot of times and haven't gone full out, because believe it or not, one day they almost had to separate me from one of them, because he told me he was going to slap my face. And I said, "Do it to the guy, yelling and insulting his wife."</t>
  </si>
  <si>
    <t>It's a supermarket like Mercadona, like Carrefour, like Lidl or like Día. We're not talking about the top [level], where the salespeople have to suck up to you because they have to sell stuff, they have to earn commissions.</t>
  </si>
  <si>
    <t>But then the next coupon I tried didn’t work because they had raised the plastic bags and the plastic bags didn’t count. So, obviously, we had to cancel the whole purchase, start all over again, and she got really upset.</t>
  </si>
  <si>
    <t>My mom's having a huge laugh at my expense, telling me I came back acting like a duck.</t>
  </si>
  <si>
    <t>They hate you less for speaking Spanish to them than for speaking English. They have a real grudge against the English.</t>
  </si>
  <si>
    <t>For example, they did make me talk a bit about the civil war or a class where I had to speak about the Valencia flood. And of course, me talking about something that might be a bit difficult for me, and having a kid next to me who's always making jokes and messing with you—it was horrible for me.</t>
  </si>
  <si>
    <t>There were a lot of people who told me they wanted to come on vacation to Spain. And I'd tell you at the airport, when they ask you, say you're going to Portugal. And they never caught on to the story.</t>
  </si>
  <si>
    <t>But there came a moment when I was walking into class and suddenly I saw 4 or 5 of my students with their faces completely scribbled all over with pencil. My first thought was crazy.</t>
  </si>
  <si>
    <t>One of the really nice things about that age is the flings. Ugh, what a mess! There were some mixed-gender bathrooms at school. I never went into those bathrooms.</t>
  </si>
  <si>
    <t>And I'd spend an entire weekend preparing classes, working hard, making PowerPoint presentations, and setting up escape rooms, just so that in class, five or seven would fall asleep, three wouldn't pay attention, and two would totally ruin the lesson.</t>
  </si>
  <si>
    <t>So, I arrived and for seven straight days I was going out partying, not exaggerating. And of course, people were like, "What the hell's wrong with her?" And the people were super nice. My flatmates were Spanish. The others, not so much.</t>
  </si>
  <si>
    <t>Kit Kat is a club where basically you go to bang. I mean, people show up naked, they're all over the place, obviously, but inside the decoration is totally awesome, yeah?</t>
  </si>
  <si>
    <t>So it's not the poop anymore, it's not the tourists, it's the atmosphere in the center at night. From the NPCs who try to hit on you with the mic, like, no, me, the red-haired girl, I don't know, there's this one like Michael Jackson, who wears it like a glove. He's someone who looks like something's not quite right, he wore a white glove and did that backwards walking thing.</t>
  </si>
  <si>
    <t>Here's where I saw a super friendly camera. The thing is, if you touch my nuts, brother, there were people who would say, no, but give me the longest cup.</t>
  </si>
  <si>
    <t>And in the end, the center's packed with tourists in general, which I guess I can understand—it moves money and that's what feeds us—but we should also take over our own space and enjoy it.</t>
  </si>
  <si>
    <t>Bro, taking out your dick and peeing on the bar. Plus, it was an L-shaped bar and he peed right where I could see his dick. I mean, bro, I saw a dick peeing. 
Translation: Bro, taking out your dick and peeing on the bar. Plus, it was an L-shaped bar and he peed right where I could see his dick. I mean, bro, I saw a dick peeing.</t>
  </si>
  <si>
    <t>I get what you're saying, about the whole toilet destruction thing. I mean, you're saying that there's this diarrhea all over the toilet, like pa-pa-pa-pa-pa-pa, and you had to stain your back.</t>
  </si>
  <si>
    <t>There's an outdoor area that has paddle, then there's the typical regular gym, a part of the gym that's adapted for spinning, I mean, all bikes, like, you know? These crazy guys who go pum, pum, pum at full speed, what do you think, wow, how much they want to work out at 9 in the morning.</t>
  </si>
  <si>
    <t>I don’t get too shocked about it because I’ve also worked almost two years at a Burger King. The Burger King bathrooms are kind of like a mini-military boot camp for this. Like, it's like, "I'm going to Afghanistan," yeah, but I've already seen it all.</t>
  </si>
  <si>
    <t>There's this thing I call the volcano, which is when a toilet gets clogged, especially with diarrhea, okay, it's totally hellish. You've got to be really fucked up inside. .</t>
  </si>
  <si>
    <t>And I've got a car with a dirty water bucket and a clean water bucket. She comes out of class, drinks from it, there's a little bit left, and instead of throwing it away—going to the sink and dumping it because it would be heavy or whatever—she just goes *click, click, click* and empties it into the clean water bucket.</t>
  </si>
  <si>
    <t>Then I started cutting out things that just didn’t do me any good, especially this mindset that a lot of people have—that they’re going to reach their dream job or get a job that pays a lot of money. I think it’s more important than even money or your dream job to find a job where you feel comfortable. It could be something that's neither fun nor fancy, you know?</t>
  </si>
  <si>
    <t>So that's why I was talking about Xavi. It's because later... the guy was wearing gum in the pool, bro. The guy was wearing gum in the pool, I told my teammate, I gave him two elbows and said, bro, he's wearing gum.</t>
  </si>
  <si>
    <t>If they literally don’t know Spanish, spending their summer in Spain and even less English, which is the international language, tell them to go to Bordeaux and have a glass of wine." And my colleague said that. I’m getting back at Pepe Botella, like.</t>
  </si>
  <si>
    <t>Of course, a little bit of posing now and then. A little bit of telling you that you went on vacation to such and such place. It's just that a nice photo doesn't hurt anyone. There's no need not to take photos.</t>
  </si>
  <si>
    <t>Man, she left it all full of sand and kept insulting me, dude. Tired of her shouting, I asked her to leave. And security had to come and tell her to go or stop shouting. They take her to a center where there's no my brand, and there, obviously, since it's not hers, they don't bother, they see the receipt is from another center, pim pam, then they send it over via transfer and the product arrives, well, completely messed up.</t>
  </si>
  <si>
    <t>A lot of times it's animals — dogs chew up the fiber cable and you end up paying 60 bucks for that kind of damage. Once, I also had one that was super upset, like, I called them to let them know I was coming, and they started getting all worked up as if we hadn't talked in ages, I don't know, something like that.</t>
  </si>
  <si>
    <t>It says, uh, and it's that you can't even set up Wi-Fi on the phone. It really worries me when they give you the phone, because a lot of times you have to go into the browser and you end up finding weird stuff.</t>
  </si>
  <si>
    <t>Also, the person living in Gibraltar pays less. That's for the English, for the one who's from here, working there, they really rip you off. I do both declarations. I worked at the McDonald's in Gibraltar and paid 760 euros in taxes.</t>
  </si>
  <si>
    <t>The problem is at the beginning when you start out, because there are things they ask you and you say, "What the hell is this guy asking me?" Like some nuggets, some fries, a regular Coca-Cola, a cheeseburger without cheese and without onion.</t>
  </si>
  <si>
    <t>Yes, yes, I've had some. Well, well, I can't tell you what it was about, because I had absolutely no idea what they were saying.</t>
  </si>
  <si>
    <t>A lady older than me calls me, says that the card they stole from me in a bar, I don't know what, bla, bla, bla. It's just that I went to pee and when I came back it wasn't there.</t>
  </si>
  <si>
    <t xml:space="preserve">Scams. And you have to be really careful because they're absolute jerks, yeah? At first you might say, "Well, this one's for the stupid people, right?" Like it's not that hard to fall for. 
</t>
  </si>
  <si>
    <t>Even the tax agency calls you. A few years ago, they called people pretending to be the Universal Basic Income tax agency. They asked people to send a 100 euro Bizum to a certain number as proof they were real. Of course, then neither the tax office nor anything else showed up.</t>
  </si>
  <si>
    <t>"He says, this phone is paid. I tell him, no, sir, it's not paid. It is paid. I swear to God, sir, it's not paid. I mute myself and hear him say, this idiot who doesn't know anything. I unmute and tell him, well, sir, what he's going to do is look for another idiot who knows something, ¿eh?"</t>
  </si>
  <si>
    <t>I tell it like that and say, haha, how funny, because in reality you're not doing anything wrong, because you're changing the light. I mean, you're not putting her life savings on the line.</t>
  </si>
  <si>
    <t>Raquel stayed in our hearts on this channel. And every two out of three people who have watched the video again, or new people who discovered the videos, say, "When is this kid coming back?" She's back.</t>
  </si>
  <si>
    <t>Well, I haven't stopped traveling. Now I'm traveling to Burgos. Besides traveling to Burgos, it's cool that you're amazed, isn't it? The area where I work is pretty nice.</t>
  </si>
  <si>
    <t>We went to a guy's house, a British couple, really cute, in the most rural part of the rural areas of Burgos. They'd been there for like years.</t>
  </si>
  <si>
    <t>You see everything—go to Fulanito's house, see the conditions he lives in, if he's alone and his kids are somewhere else, he can't take care of himself, and the house is in some kind of state, and you see that.</t>
  </si>
  <si>
    <t>So, if you start asking around, like, hey, Eugenia, yeah, well, she's been coming alone for a while, or she's looked more tired lately, or she has an identity, a circle that identifies her and takes care of her somehow. And in the city, I think we're all more anonymous. In the city, we're all NPCs.</t>
  </si>
  <si>
    <t>Investing time in building that connection with your surroundings is also very important. We don't highlight it enough in the sense of "wow, how cool, going out there, it's awesome, it's a total blast!"</t>
  </si>
  <si>
    <t>I had my dream since I was 12, basically being a total useless otaku, but a real pain in the ass. But obviously, from 12 to 22, you say, how the hell am I gonna go to Japan?</t>
  </si>
  <si>
    <t>Japan, I'd take it up the ass. Like, Japan is the worst shit I've ever been through in my life. But both the good and the bad, yeah?</t>
  </si>
  <si>
    <t>They're completely obsessed with money and all that stuff, thinking we're asking them how much we earn. They write it down like it's some big deal—like, "your salary," I don't know how much you've earned.</t>
  </si>
  <si>
    <t>So now you're gonna see us like this, all dressed up and everything. When I go to work every day, I have to take off ours and hide my septum. I have to wear these belts. I mean, basically playing pretend for your life. Clothes like half-formal, I don't know what.</t>
  </si>
  <si>
    <t>Well then you have to play mind games with the one who likes to make things up, making her believe it was really an accident, so she doesn’t come over and tell her mom they fought because if she does, the other kid is gonna have a whole bunch of consequences.</t>
  </si>
  <si>
    <t>It's all very magical. Also, super top secret. They keep the workers from posting anything on social media.</t>
  </si>
  <si>
    <t>The conditions are really good. This is exclusive for workers. Check out what kind of merchandise there is. It's this little jacket you see here and you say "that's fine."</t>
  </si>
  <si>
    <t>They're so proud of French. France is the best, the French people are the best, French cuisine is the best, and I'm taking a dump on French cuisine.</t>
  </si>
  <si>
    <t>Look, my name's Ivan, for anyone who doesn't know me. And as I've explained perfectly, I've worked by talking bad about people and annoying them to try and get them to agree to have a roommate move in with them.</t>
  </si>
  <si>
    <t>I turn around and there he is, with his hand like that, and he's got this damn green parrot, dude. It fell out of a tree. I say, well, that's it. From the vet. I open its wing, start looking at it. And now I say, dude, what the hell do I do with this damn parrot, dude.</t>
  </si>
  <si>
    <t>But dude, they had to call my mom. Because, like, on the day my mom was on vacation, dude, I had to give her the third degree, dude. They even took away my fucking Red Cross vest, dude.</t>
  </si>
  <si>
    <t>The Red Cross said they were going to report the police on my behalf, I don't know what. Then the police apologized. Another weird move, dude. Jeez, this gypsy life I've got, man, I wish I could just curse it out.</t>
  </si>
  <si>
    <t>That day I set a record for half of Spain with the Red Cross, I think that's what it was, dude. 218 coupons in one day. Like, it seemed like that, man, full of cars, you know, brother, man, here everyone's spending more money. And me, well, it depends on the place, I have a speech.</t>
  </si>
  <si>
    <t>You opened the MD like saying, "I dedicate myself to this, but it's not exactly my passion.</t>
  </si>
  <si>
    <t xml:space="preserve">There's all kinds. There are owners who don't care at all—they just want to maximize their rental income. But I also have owners who are very careful about who they let in, they talk to the people before accepting, or have pretty strict criteria. For example, I have one who only accepts families with good reviews. 
</t>
  </si>
  <si>
    <t>Also there's the typical person who says "no, no, I don't want tourist traps, I want an authentic experience here." And you look at them and say, "You don't even know what you're asking for."</t>
  </si>
  <si>
    <t>It's a total mess. Basically, you can't get involved with any passenger, you can't have any kind of relationship. And I thought that was pretty much forbidden.</t>
  </si>
  <si>
    <t>People have a lot of hate for the French, and I can understand that, but I have to say that in my case, I developed a hate for Italians. It's like a Spaniard, but at the level of a brother-in-law taken to the extreme.</t>
  </si>
  <si>
    <t>Let's open that watermelon. In the previous video we talked about less posh places, now we're talking about more posh places. We're talking about ultra-Catholic private schools in the center of Madrid, where I've come across the worst bunch of kids you can imagine.</t>
  </si>
  <si>
    <t xml:space="preserve">Once, I think it was around July, there was a French client. Typical French client, around 50 or 60 years old, you know? His car broke down and he had to contact his French insurance company. And this guy didn’t speak a word of Spanish, you know?
</t>
  </si>
  <si>
    <t>The guy from the workshop just says it like that. Tell that stupid white guy not to worry, his car's gonna be ready by Friday afternoon.</t>
  </si>
  <si>
    <t>Whenever I've filmed any videos in England and come across an Irish person, the top comment that's always been left on all my videos from there is "f*** the English from top to bottom."</t>
  </si>
  <si>
    <t xml:space="preserve">So we were out partying, and when we came back, the usual thing—because everywhere there, bars and discos close at 2 in the morning. At 2 in the morning, back to your damn house. And there they go, the Irish, like the Greeks, I mean, they're super messed up.
</t>
  </si>
  <si>
    <t xml:space="preserve">
Historical accuracy is kind of... Well, I really like it, okay? I love the history of fashion a lot. And I'm pretty much like, why isn't that done correctly? Have they ever done anything good by not having horns? At least they did that right. The things they do include and stuff like that, obviously, historical accuracy goes a bit overboard.</t>
  </si>
  <si>
    <t>Well, before I tell the story, I gotta ask you, because that's something that's really famous in India, especially about its cuisine, and above all, about the experiences of my friends who've been there—it's the first mess.</t>
  </si>
  <si>
    <t>These monkeys, which come in groups of 30 or 40 maybe, would jump onto the embassy area. You'd see them from a distance and say, "Jesus, how cute," like, you'd see the monkeys with their babies attached to them here, and you'd see these big monkeys that looked like meatballs, you know? Like, just how fat they were.</t>
  </si>
  <si>
    <t>You're treated differently, both good and bad. They see you as upper class, they think you have money, so sometimes they treat you like a wallet with legs.</t>
  </si>
  <si>
    <t>They do the whole show when you order a bottle of Don Periñón or whatever champagne they have. They're standard Madrid, I'll tell you. This is capi. There are probably a lot of little Indian Nicoláses around. There's definitely a lot of Indian Froilán. Yeah, I don’t know, I guess it’s just seeing it step by step, figuring out who has holes or not.</t>
  </si>
  <si>
    <t>Well, women's rights sometimes leave a lot to be desired. It's still a hot topic that women should stay at home, do housework—I mean, that old-fashioned stuff.</t>
  </si>
  <si>
    <t>Yeah, don't laugh, because we Spaniards aren't exactly rocket scientists either, okay?</t>
  </si>
  <si>
    <t>There are places everyone goes, and I really want to know the inside stories of those characters who must go to MediaMarkt.</t>
  </si>
  <si>
    <t>I've been working at MediaMarkt for two and a half years. Fortunately or not, I ended up right in the center of Málaga, specifically on Vialia, where a lot of people pass by and there's all sorts of riffraff around.</t>
  </si>
  <si>
    <t>And on top of that, I had the gaming section, especially the keyboards and mice, where those typical little kids with big fingers would come and mess around with them, the little keypads.</t>
  </si>
  <si>
    <t xml:space="preserve">
Of course, you can imagine an old guy, my buddy fighting with him, another guy just behind teasing my buddy because he said the phone wasn’t working and Santa Lucia told them the repair had to be done by them.
</t>
  </si>
  <si>
    <t xml:space="preserve">Picture the troublemaker walking through the door, passing by and saying: "Who's got the hot potato?" Because you know, dealing with that guy, it's a real pain.
</t>
  </si>
  <si>
    <t>When I already asked him which bank it was, he started shouting: "And why do you want so many details?" He was yelling in the middle of the store, throwing punches.</t>
  </si>
  <si>
    <t xml:space="preserve">So, how are you supposed to get out of this? You've got to make up everything you can because the guy's going crazy, throwing punches like a madman, and all you want to do is get out as fast as possible.
</t>
  </si>
  <si>
    <t>There, in the store, they told you that you couldn't get a refund for that kind of mess, but obviously, when someone like that comes in all riled up, you don't want them hanging around the store messing things up all day, so what you really want is to get rid of them.</t>
  </si>
  <si>
    <t>Bro, people who try to haggle with you, thinking that if they take two laptops, I'm gonna give them a deal, like the price will drop. Yeah, like I was the owner of that store. Bro, if I take these two laptops, how much are you gonna charge me? Well, the same price.</t>
  </si>
  <si>
    <t>I got stuck, I saw the security guard getting up, automatically stopped the escalator, and there I saw an older man sitting on the ground next to the guard, bleeding all over. I ran into the cubicle, started taking some serum, began cleaning his wounds to check how his face looked. His face was completely messed up, like a Christ figure.</t>
  </si>
  <si>
    <t>The one who gets screwed is me, because you imagine getting someone else's ID, applying for financing, and if by chance the person gets approved, the one who gets the problem is the other person.</t>
  </si>
  <si>
    <t>And then there was the typical kid who came along with the dad and got some kicks because the dad had bought him a Xiaomi, and the kid wanted an iPhone. The dad would look at you and say, "Bro, how much is the cheapest iPhone?" And he was trying to make the kid see reason, but the kid was seriously determined to get that iPhone.</t>
  </si>
  <si>
    <t>"Host, for example, it hurts me. That kind of thing has always really marked me — the kid wants it so bad, and the dad has to buy it, or else the kid takes the bounce and makes a mess. If it were my dad, he'd have already slapped me with a biscuit."</t>
  </si>
  <si>
    <t>The guy had stolen a Nintendo Switch and PlayStation controllers, and he'd stolen almost six thousand euros worth of stuff from the store. The real punk must've gotten fed up with robbing us there, and he wanted to make it a bit harder for us.</t>
  </si>
  <si>
    <t xml:space="preserve">I wasn't all about Apple, nor did I hang out with Samsung or Xiaomi fans. I went my own way. 
</t>
  </si>
  <si>
    <t>At a certain point, he said to me: "If the blood's going to get to the river in the end." I got really heated, I hit the table and told him: "Look, I don't feel like putting up with you or your nonsense."</t>
  </si>
  <si>
    <t>Today we're going to talk about that supermarket where you used to go to shop because it was cheaper than the copón, and now it's more expensive than the Virgin.</t>
  </si>
  <si>
    <t xml:space="preserve">The atmosphere was really pleasant and I've been super comfortable and super happy working there.
</t>
  </si>
  <si>
    <t xml:space="preserve">I've never seen a uniform as comfortable in my life. Hey, it's got a reputation for being ugly. No way, it's *really* ugly. The truth is, it is.
</t>
  </si>
  <si>
    <t>You don't need to be ashamed to ask questions, because you're asked every silly thing you have to do with absolute shamelessness.</t>
  </si>
  <si>
    <t>The manager of the store that day went upstairs to check things out and make sure everything was in order, then came back down and said: "Damn, I stepped on some crap, but it feels like someone pooped in the lobby and was jumping forward."</t>
  </si>
  <si>
    <t>nSo, if someone steals, you know they've stolen, and then you see them the next week and you say: \"Watch out for this one, heee might do the 1314 here.\</t>
  </si>
  <si>
    <t>One day, they also tried to distract me from behind. They did it with the real backside, because I didn't even turn around.</t>
  </si>
  <si>
    <t xml:space="preserve">I know there's someone who's going to steal milk, a pack of pasta, rice, water—those people, you know… it doesn’t bother me. 
</t>
  </si>
  <si>
    <t>A man was picking things up while talking on the phone with one hand, and then calmly putting them away with the other. And there was another man behind him who I suppose doesn’t have much patience: “Idiot, moron.”</t>
  </si>
  <si>
    <t>At that moment, there was a lady who was almost alone, and, man, it kinda affects you a little because you feel bad for her, but we were there at the event.</t>
  </si>
  <si>
    <t>I don't get the mindset that we have that Mercadona is cheap because they don't do any deals or anything.</t>
  </si>
  <si>
    <t>This time, one of my favorite regions, the fish and chips region, the area with those teeth-like things, the people who everyone talks about in their own language, but they don’t speak anyone else’s language. Let’s find out what England is like.</t>
  </si>
  <si>
    <t>I didn't like the PhD because everyone was precarious, unstable, and there was this girl who started graduating at 35 because finally her parents had become independent and I said no, this isn't for me.</t>
  </si>
  <si>
    <t>I was a science teacher, Biology, Physics, and Chemistry, covering the equivalent of secondary school from second year to high school. The best of each school. So to speak.</t>
  </si>
  <si>
    <t>Well, God, I had a couple of brothers who took classes, and obviously they came without knowing any English to get by. Since I was a really friendly, helpful teacher, the deputy principal said to me, "Hey, hand over the exams with this, translate them and stuff..." I'd give him the reply, what the hell.</t>
  </si>
  <si>
    <t>The problems are all point-based. If you do one thing, you get a point. If you do another thing, you get another point. They give them out like crazy.</t>
  </si>
  <si>
    <t>Don't worry, it's just that they were all taller than me, if that's normal. I was pretty cute for them too, and I pretended to be upset.</t>
  </si>
  <si>
    <t>The sons of bitches from my friend are laughing their heads off. "So what now, huh? You wanted to be there so much, people were so polite. Take that!"</t>
  </si>
  <si>
    <t>I've never had an argument with these ugly British girls. Because they slipped into the hellish Tesco.</t>
  </si>
  <si>
    <t xml:space="preserve">And I also had a family of French people. I'm going to speak up in favor of the French. The French were very attentive. The French look out for each other a lot, like a hive mind.
</t>
  </si>
  <si>
    <t>Some times my director and my academic supervisor have scolded me. Please, it's obvious you're Spanish.</t>
  </si>
  <si>
    <t xml:space="preserve">We used to have sort of an AMPA night every end of term. It went a bit like a conveyor belt. We stayed in our seats and the parents came by one after another. So it was the turn of a girl who studied arts.
</t>
  </si>
  <si>
    <t>It was her turn, she explained it to her dad: She got a 4, but let's try to get her to pass for next time. And she crossed the girl's face in front of me. Those seven curses went straight into my body.</t>
  </si>
  <si>
    <t>He had the guts to hit his daughter in front of a teacher. Drunk as a barrel.</t>
  </si>
  <si>
    <t>No, in the end my deputy head and my headmaster defended me. Two awesome guys.</t>
  </si>
  <si>
    <t>My deputy director was a retired ex-military guy with a PhD in Shakespeare and redder than a tomato.</t>
  </si>
  <si>
    <t>My favorite line would be: "What we've done, something you didn't do, is to deceive people." It's just amazing, seriously, man.</t>
  </si>
  <si>
    <t xml:space="preserve">Bro, who taught you Spanish to speak so well?
</t>
  </si>
  <si>
    <t>Do you like Spanish music? Yeah, Canto del Loco, Amaral, La Oreja de Van Gogh. That's really strong, man.</t>
  </si>
  <si>
    <t>As someone who's Japanese: Doesn't it seem a bit weird that practically everyone's obsessed with Japan?</t>
  </si>
  <si>
    <t xml:space="preserve">In fact, in 2022, during the Olympics here in Japan, I saw Kureha, and I dropped a Mariano Rajoy quote on him. And he laughed his ass off. 
</t>
  </si>
  <si>
    <t xml:space="preserve">You know, for them, or rather, the idea of Spain: beach means sun, sangria means party, paella and bullfighting. You know, if you show them a photo of Asturias or Galicia, they glitch out and say: No, this isn't Spain. 
</t>
  </si>
  <si>
    <t>So that after they come to Mallorca, they buy their house and there's a neighborhood in Mallorca where everything is written in German. It pains me to say this, because I say: Christ, no, these are stereotypes, let's break the stereotypes, but it's just that they can't.</t>
  </si>
  <si>
    <t xml:space="preserve">And damn, my colleagues who are at a Gymnasium, they say: Oh, damn, mine are all from eight German surnames. Christ, don't joke around. 
</t>
  </si>
  <si>
    <t>And it makes you think: If they're separating students because they perform better or worse, why the hell do I have kids in class who are total brats studying? When you're academically brilliant, you're a total pain in the ass.</t>
  </si>
  <si>
    <t xml:space="preserve">"Well, yeah, kids are a bunch of surprises."
</t>
  </si>
  <si>
    <t xml:space="preserve">A kid saw me and said: "Are you married? Do you have a partner?" Well, you're in Spanish class. 
</t>
  </si>
  <si>
    <t>And I said: "But how dare you call her a teacher like that? Don't ever call me that, I'm not a dog."</t>
  </si>
  <si>
    <t>If they see something bothers you, instead of stopping, since they're such little shits, they'll make it worse.</t>
  </si>
  <si>
    <t>Well, nothing really, if I finished just a little while ago, we've been arguing about this even a week before I finished. And he started doing it, and then others started doing it too. And of course, it's like nonsense spreads like a virus.</t>
  </si>
  <si>
    <t>Sure, I talked to the ones at the Gymnasium, and they told me, "Damn, that didn't happen to me. He goes to have his kid and gets slapped in the face with an open hand and all that stuff," they said.</t>
  </si>
  <si>
    <t>When you mix problematic with problematic, all you're gonna get is more problems. It's a crazy segregation system.</t>
  </si>
  <si>
    <t>I laugh because it's like: "Well, we all know what's going on, right? Hey, no need to mention it, right? Come on, to Germany, right?" Then you say: "Damn, we haven't learned anything, fuck the whole thing."</t>
  </si>
  <si>
    <t>So you're here because you're not that smart, right? Meritocracy at 12 years old, touch your balls.</t>
  </si>
  <si>
    <t>I had a really idealized view of Germany when I first came here, because they sell you the whole package—you’ll find work because there are so many job opportunities, I don’t know what.</t>
  </si>
  <si>
    <t>And, yeah, that's not all gold that shines.</t>
  </si>
  <si>
    <t>It's been a shock, but it hasn't been too bad because I've lived abroad, I speak English well, so it didn't cost me too much to adjust. It was still tough though because my high school is really chaotic—they tell you everything for today tomorrow, like, the organization is basically non-existent, so that's what cost me the most.</t>
  </si>
  <si>
    <t>On the first day of class, well, obviously they push you so hard and you have to show off that you're all that, so you don't really get through the first part at all — you're just super, super, super, super, super nervous.</t>
  </si>
  <si>
    <t xml:space="preserve">I'm going to take a detour here. It happens to me too because I say "America." Actually, I mean Americans. Then people from Latin America come along and say, "Excuse me, you're a total idiot because America is everything, not just those stupid Yankees."
</t>
  </si>
  <si>
    <t>Well, yeah, last year there was a student who was always challenging me. I'd assign homework, and she'd always argue about everything, I don't know why. And on top of that, she was one of those students who missed a lot of classes. So, I'd already had a bit of a row with her, and she was always arguing with me.</t>
  </si>
  <si>
    <t>I was telling you before that my perspective has shifted a bit, my mindset regarding grades, because you really see everyone's background and what you realize is that it's not important to them.</t>
  </si>
  <si>
    <t>And there have been a lot of deaths like that because of a fight on the street—because of an argument, leaving a bar, *pam*, *pam*, and in the end someone ends up dead because they pulled out the gun.</t>
  </si>
  <si>
    <t>When you run a campaign, obviously you always bring in content creators or celebrities—whether it's a footballer, musicians. And for a campaign we did with Exhibit, a very famous rapper who's more known for tuning cars, we made a really cool campaign with him, such a great guy, he was lovely, but jesus, he asked for a bag of marijuana.</t>
  </si>
  <si>
    <t xml:space="preserve">A see, the thing is, in the advert, the drug topic is pretty interesting, right? Christ, until you face people who really use it every day, you don't understand how it actually works, because a lot of people think they're rockstars.
</t>
  </si>
  <si>
    <t>One of the things, man, that really hit home for me was that they say you discover this a bit when you grow up, but in this world more than anything, everyone's on drugs.</t>
  </si>
  <si>
    <t>I started off as an intern right on the anniversary of an agency, they rented a bar, dressed everything up—gringo, Latino, this whole vibe. And man, I, obviously, was my first day.</t>
  </si>
  <si>
    <t xml:space="preserve">I used to work in a building, in a multinational company. They released a statement, through an agency full of super posh people and all these super money-makers, and here we were, everyone was totally messed up, because there was this guy, man, a total mess-up, outside the toilet. 
</t>
  </si>
  <si>
    <t>And it really pissed me off when I got into the industry, because it's an industry that I feel is very classist. Not just because of who you work with and all that, but because of the access itself. Christ, if you live in Madrid or Barcelona, which is where everything is, when you have to come here, man, you have to do a master's degree, which, by the way, is a master's degree that just came out of nowhere.</t>
  </si>
  <si>
    <t>You don't just need to be the most talented, have the best ideas, or be the best at designing or writing anymore. You need to have your parents' financial support or guts to work. Working weekends on other things, looking for freelance gigs on your own, getting paid under the table, and trying to make a living</t>
  </si>
  <si>
    <t>I'm gonna cut open a watermelon. In your videos, the French are criticized a lot. Today I'm here to defend them, man. They're the least of the annoying ones.</t>
  </si>
  <si>
    <t xml:space="preserve">It was morning, but I'm talking to you at 7:30. We see a girl and a young guy walking in. They stood right in front of the bar and started getting all affectionate, giving each other nice kisses, and us saying, "Well, okay, that's fine."
</t>
  </si>
  <si>
    <t>So, obviously, a woman came up to the counter out of the blue and asked for a complaint form, saying the soap dispenser was broken. And of course, we started talking to her—I let her use the sink to wash her hands, no big deal. She kept saying "erré que erré que no" [literally "erré que erré que no"], like she couldn't believe it.</t>
  </si>
  <si>
    <t>Really, during those 2 years I've been there, I was completely a different person. I lived in bitterness every single day. It really eats at you when people treat you so badly, so badly, so badly.</t>
  </si>
  <si>
    <t>Then I went, looking at the apartments—it was basically like a basement to take a dump with dampness, one disgusting room. Each one was a thousand euros. I cried a lot to the housing office. There might be a spot, but you have to share with five Israelis. I'm just glad I got it.</t>
  </si>
  <si>
    <t xml:space="preserve">
And he led us like to a room, maybe a group of ten men sitting around, sat us down and said, "Ask whatever you want." And we spent like two hours talking about Islam, asking him questions, about what the perception of heaven is, about Islam itself, what he thought of Christianity, you know, I've heard about this, what do you think about that? Of course, then we left with this guy, because after two hours of chatting, we became friends, I have a Polaroid photo of it all there.
</t>
  </si>
  <si>
    <t xml:space="preserve">There was this girl, this chick was from the UK, and her family was super religious, like really religious, Protestant. The typical stuff—skirt down to the ankles, never done anything with anyone, you know. 
</t>
  </si>
  <si>
    <t>How's Cairo? It's really cool, like the pyramids you mentioned, God, it's probably the most messed-up thing in humanity.</t>
  </si>
  <si>
    <t>We did a 14-day trip. We were going to Urgeda and there was this totally random guy who started following us. I don't even remember his name.</t>
  </si>
  <si>
    <t xml:space="preserve">Yes, it's true that maybe with Israeli people, obviously me, many of my friends from there, you know, they're Jewish and not Israelis, and everything's totally fine, and they're good people. But it's true that perhaps the general feeling, especially at first, is like that a lot of times they were a bit... not disrespectful, but they looked at you kind of over the shoulder. 
</t>
  </si>
  <si>
    <t>I left Jerusalem around July 2023 and there were a lot of heavy tensions. Maybe they launched five thousand missiles over Tel Aviv in one day, but they never actually hit Tel Aviv. Of course, I remember many times that maybe I was where my jeweler was, because I had a jeweler in Jerusalem and the guy was totally stressed out.</t>
  </si>
  <si>
    <t xml:space="preserve">
Of course, I remember many times that maybe I was where my jewelry box was, because I had a jewelry box in Jerusalem and the guy was really messed up.
</t>
  </si>
  <si>
    <t xml:space="preserve">Keep in mind that military service is mandatory for both men and women. It's like, you know, imagine giving an 18-year-old a rifle like an AR-15 and telling them, "Hey, you're gonna wear this uniform and strut around like a rooster in front of all your colleagues defending the promised land because you're God's messenger."
</t>
  </si>
  <si>
    <t>At the checkpoints, yeah, everyone was my age and it's not like the Finnish military service. Yeah, yeah, it's not the army. I mean, they pick you up and send you to Lebanon.</t>
  </si>
  <si>
    <t>It's kind of funny because I was in another escape room before, which I saw an offer on Instagram for an escape room that someone had made, that I had played, and I said, well, why not, when you're lost, go to the river—why not?</t>
  </si>
  <si>
    <t>Besides, what's cool is that. Thanks to the people who really dive in.</t>
  </si>
  <si>
    <t>But what really amuses me, between quotes, are the families. That's the shit.</t>
  </si>
  <si>
    <t>There's a corpse, like, I don't know what, I don't know how many, we had to get rid of the worms... There's a key moment, one of tension, and my partner or whoever was playing the bad cop, said, "Come on, I'm gonna send all of you to God."</t>
  </si>
  <si>
    <t>You're watching the escape room and you can see all kinds of people, but how does a "cani" develop? A group of canis who are there.</t>
  </si>
  <si>
    <t>When I was 12 years old, my dad was looking for work, and the usual thing is you send out all the job applications and see what comes up. And he got an offer, and they said: well, now we have to try it out. And what was the job? Bridge engineer. Oh man, what a terrible job.</t>
  </si>
  <si>
    <t>A person who hadn't been to Albacete sees a 12-hour plane full of Vietnamese people. Like me, obviously, because Vietnamese people—I've seen very few in my life, probably. Listening to them talk, flipping out in colors.</t>
  </si>
  <si>
    <t>**And your teacher is still around? I think he retired already because he was working there for years, teaching in a bunch of schools all over the place.**</t>
  </si>
  <si>
    <t>It's like this beautiful, fantastic image of saying, "Hey, look at how eager this guy is to listen to me.\" And then for sure, the one who talks the most is the husband. A real chatterbox.</t>
  </si>
  <si>
    <t>Once, someone saw a woman who was staring at the glass, grabbed my arm, and asked why the Romans built downward. People laughed their heads off.</t>
  </si>
  <si>
    <t>There's a lot of people who think here in Spain we're taught that Columbus was the savior and bla, bla, bla. When they come here, I think they genuinely want to completely change that perspective.</t>
  </si>
  <si>
    <t>Parents or parents who come to see their child here in Barcelona are doing a tour with them, and maybe they haven't seen their child in a year. They're excited because they see what the child is achieving and they see that they're in a cool place.</t>
  </si>
  <si>
    <t>There have been thefts on the tours. That's another one we can bring up.</t>
  </si>
  <si>
    <t>It's a bit frustrating because, in the end, all you want to do is take a cool two-hour tour explaining the history of Jews and Christians, or whatever, and then they look at you like, "Yeah, but you're a young Catalan independence activist, so it's a little hard to shake off this stigma."</t>
  </si>
  <si>
    <t>But is Antonio Gaudí still alive? A question you get asked if he's still around.</t>
  </si>
  <si>
    <t>One of the things I like is historical architecture. I always associate it with cathedrals. It's like a magnet for historical architects who stand in front of a facade and say, "This is Romanesque, this is Gothic, this has everything."</t>
  </si>
  <si>
    <t xml:space="preserve">After that, there are more "normal" families, I mean, who come looking for the best they can get, but end up in those schools, in that contrast of super good kids, super pretty kids. There's no middle ground there.
</t>
  </si>
  <si>
    <t>In their house they have zero education, they have no kind of limits, and if one teacher says, "sit down, open the book," they see it as, "I'm here because I'm forced by law.</t>
  </si>
  <si>
    <t>As a priority in those kinds of schools, you want the kid to be there from 9 to 2 and for nothing serious to have happened, for the kids to leave school happy.</t>
  </si>
  <si>
    <t xml:space="preserve">Have the big ones ever messed with you? They mess with you knowing they're messing with you. 
</t>
  </si>
  <si>
    <t xml:space="preserve">I often walk the route home with kids because I pass through the neighborhood. And the kid walks in, goodbye teacher, goes into his house, which is a ground-floor flat with the door left open.
</t>
  </si>
  <si>
    <t>And then there's a fifth-grade class that would normally be PE or something, and this kid, who I don't even talk to, just says, "Hey, you know what? You should keep your phone safe." And I get really taken aback—not because I'm worried they're going to steal it, but because of how accepted the idea of stealing has become, that you'd even recommend someone to keep their phone safe because, I don't know, maybe they're going to get it stolen.</t>
  </si>
  <si>
    <t>The thing is, they don't like school. I imagine a kid like that saying, "I want to study this career," and the parents saying, "You're an idiot, you're going to start working with me as soon as you're old enough."</t>
  </si>
  <si>
    <t>It was totally exaggerated, but the families themselves have to leave the neighborhoods because they have problems. Not the kids, but the parents with other families. And they switch schools — the kid, well, whatever little they've learned, it's all reset.</t>
  </si>
  <si>
    <t xml:space="preserve">Do you need some kind of damned educational system to at least save a few kids from that crap, or are we just supposed to give up? That's it—just for being born in a place, you're doomed.
</t>
  </si>
  <si>
    <t xml:space="preserve">He cheated on me, man, he's such a jerk—he went off with three from the same class, he went off with the one from fifth grade and the youngest one. These kinds of things happen at school.
</t>
  </si>
  <si>
    <t>I've had a major problem with a parent, but it wasn't during a tutorial. Because parents come looking for trouble.</t>
  </si>
  <si>
    <t>I've made it my goal to get through these years and say, there's less unemployment because employment has helped make connections. There's a company, there's someone who needs a company—just with that, I think I'd already have enough to fill up my work schedule.</t>
  </si>
  <si>
    <t>I'd love to be in that situation again, like when you walk into a company and you get... the onboarding process... like a memory with all the projects, what's pending, what's left, what budget I have..</t>
  </si>
  <si>
    <t xml:space="preserve">Tell me about some crazy things they've said to you, man. You're caught off guard by your neighbor from the fourth floor and she starts giving you a slap that's got you in stitches.
</t>
  </si>
  <si>
    <t xml:space="preserve">You still have that neighborhood, community feeling here. I know my neighbor across the street, I don't know what, I don't know what, I don't know how much. That kind of thing doesn't exist in Madrid. And at the same time, it exists less in other places.
</t>
  </si>
  <si>
    <t>One of them, for example, was called "Patillas," but I don't know why they called him that since he didn't have any mustache. He was an older guy with a lot of temper. He came with his cane and always went through the self-checkout counters.</t>
  </si>
  <si>
    <t>Same thing. You'd run into the lady who said she's been buying here for 50 years, but then every time she came, she'd ask where the eggs were... total nonsense, man.</t>
  </si>
  <si>
    <t xml:space="preserve">At the end, you're supposed to not insult because it looks bad, although I have to admit that sometimes I've been called to hell. And I've sent others to hell too.
</t>
  </si>
  <si>
    <t xml:space="preserve">No, I also admit that I've gotten really heated many times and haven't actually gone to fists, because come on, one day they almost had to separate me from someone, because he told me he was going to slap me. And I said: do it to the guy by shouting and insulting his wife.
</t>
  </si>
  <si>
    <t>Once there was a woman and she had a shopping cart full to the brim. I passed by and she started talking to me in a bad way, saying she needed another cart. So, go look for one, right?</t>
  </si>
  <si>
    <t xml:space="preserve">It's a supermarket like Mercadona, like Carrefour, like Lidl or like Día. We're not talking about the top part, where the salespeople have to suck up to you because they need to sell stuff and make commissions.
</t>
  </si>
  <si>
    <t>But then the next coupon I passed didn’t work because they had raised the plastic bags and the plastic bags didn’t count. So, obviously, we had to cancel the whole purchase, start all over again, and she got really upset.</t>
  </si>
  <si>
    <t>My mom's having a huge laugh at my expense, saying I came back acting like a duck.</t>
  </si>
  <si>
    <t>They hate you more for speaking Spanish to them than for speaking English. They've got a real grudge against the English.</t>
  </si>
  <si>
    <t>For example, they actually made me talk a bit about the Civil War or a class where I had to speak about the Valencia floods. And obviously, me talking about something that could be a bit tough for me, and having a kid sitting next to me who's always messing around and picking on you—that was really horrible for me.</t>
  </si>
  <si>
    <t xml:space="preserve">They gave me a real talking-to about being in a relationship. A 13-year-old kid left me shaking. 
</t>
  </si>
  <si>
    <t xml:space="preserve">But there came a moment when I was entering class and all of a sudden I saw 4 or 5 of my students with their faces completely scribbled out with a pencil. My first thought was crazy.
</t>
  </si>
  <si>
    <t xml:space="preserve">One of the really nice things about that age is the crushes. Ugh, what a mess! There were mixed showers at school. I never went into those showers.
</t>
  </si>
  <si>
    <t>And I'd spend an entire weekend preparing classes, working hard, making PowerPoint presentations, and setting up escape rooms, only for them to fall asleep during class—5 or 7 would be talking, 3 wouldn't be paying attention, and 2 would be completely ruining the lesson.</t>
  </si>
  <si>
    <t>So, I came and for seven days straight I was out partying, not overdoing it. And of course, people were flipping out, like, what the hell is wrong with her? And these super nice people. My dorm mates, Spaniards. The others, not so much.</t>
  </si>
  <si>
    <t>Kit Kat is a club where basically you go to fuck. I mean, people show up naked, they're all bare-assed, obviously, but inside the decoration is really cool, yeah?</t>
  </si>
  <si>
    <t>It's not about the crap anymore, it's not about the tourists anymore—it's the vibe in the city center at night. From the NPCs who try to hit on you with their microphones, no, me, the red-haired girl, I don't know, there's this one like Michael Jackson, who's got it down to a T. He's the kind of person who looks like something's off, wearing this white glove and doing that backwards walking thing.</t>
  </si>
  <si>
    <t xml:space="preserve">Here's where I'd see a super friendly camera. What happens is, if you touch my nuts, brother, there were people who would say, no, but put me on the longest cup.
</t>
  </si>
  <si>
    <t>And in the end, the center is full of tourists, which I guess I can understand—it brings in money and that's what feeds us—but we should also claim our own space and enjoy it.</t>
  </si>
  <si>
    <t>Bro, taking off your pants and peeing on the bar. Plus, it was an L-shaped bar, and he peed right where I could see his dick. Like, bro, I saw a dick peeing. 
I saw a dick peeing and the security guy took it out.</t>
  </si>
  <si>
    <t xml:space="preserve">I get what you're saying, about the whole toilet destruction thing. Like, you're saying, diarrhea from this one—pa-pa-pa-pa-pa-pa—throughout the toilet I mentioned, you had to stain your back. 
</t>
  </si>
  <si>
    <t xml:space="preserve">
There's an outdoor area with padel, then there's the typical regular gym, a section of the gym adapted for spinning, like, all bikes, you know? These crazy guys who go pum, pum, pum at full speed, what do you think, man, how much they want to get it done at 9 in the morning.</t>
  </si>
  <si>
    <t>I don't get too shocked about it because I've also worked almost two years at a Burger King. The Burger King bathrooms are kind of like a mini-military experience for this. Like, it's like going to Afghanistan, yeah, but I've already seen everything.</t>
  </si>
  <si>
    <t xml:space="preserve">There's this thing I call the volcano, which is when a toilet gets clogged, clogs a toilet with diarrhea, okay, it's a total nightmare. You've got to be really fucked up inside. 
</t>
  </si>
  <si>
    <t xml:space="preserve">And I have a car with a dirty water bucket and a clean water bucket. She comes out of class, drinks from it, leaves a little bit of water left, and instead of throwing it away, going to the sink and flushing it because it's heavy or whatever, she does this, click, click, click, and empties it straight into the clean water bucket. 
</t>
  </si>
  <si>
    <t>So I started cutting out things that just didn't do me any good, and especially the mindset that so many people have—that they're going to reach their dream job or get a job that gives them a lot of money. I think it's more important than even money or your dream job to find a job where you feel comfortable. It could be something that's neither fun nor fancy, you know?</t>
  </si>
  <si>
    <t xml:space="preserve">
He was coming to this because later... The guy wears gum on the pool, bro. The guy wears gum on the pool, I told my teammate, I gave him two elbows and said, bro, he's wearing gum.</t>
  </si>
  <si>
    <t xml:space="preserve">
Translate this one literally for them—because if they don't even know Spanish, they're vacationing in Spain, and even less so English, which is the international language—tell them to go to Bordeaux and have a glass of wine. And my colleague said that. I'm getting back at Pepe Botella for what he did, you know.
</t>
  </si>
  <si>
    <t xml:space="preserve">Of course, a little bit of posing now and then. A bit of telling you that you went on vacation to such-and-such place. It's just that a nice photo doesn't hurt anyone. There's no need to not take photos.
</t>
  </si>
  <si>
    <t xml:space="preserve">
She left it all full of sand and kept insulting me, man. Tired of her shouting, I asked her to leave. And security had to come and tell her to either leave or stop shouting. They take her to a center where my brand isn't sold, and there, obviously, since it's not hers, they don't bother, they see the receipt is from another center, pim pam, then they send it through transfer and the product arrives, well, completely ruined. 
</t>
  </si>
  <si>
    <t>Many times they're animals — dogs chew through the fiber cable and you end up paying 60 bucks for a broken connector. Once, I got one that was super upset, I mean, I called them to let them know I was coming, and they started getting all worked up like we'd been waiting for ages, I don't know how long or why.</t>
  </si>
  <si>
    <t>He says, oh, and it's that you can't even set up Wi-Fi on your phone. It really worries me when they give you your phone, because sometimes you have to go into the browser and end up finding weird stuff.</t>
  </si>
  <si>
    <t>Also, the person living in Gibraltar pays less. That's for the English, for someone who's from here, working there, they really screw you over. I do both declarations. I worked at the McDonald's in Gibraltar and paid 760 euros in taxes.</t>
  </si>
  <si>
    <t>The problem is at the beginning when I started, because there are things they ask you and you say, "What the hell is this asking me?" Like nuggets, fries, a regular Coca-Cola, a cheeseburger without cheese and without onion.</t>
  </si>
  <si>
    <t>Yes, yes, I've had some. Well, well, I can't really tell you what it was about, because I had absolutely no idea what they were saying.</t>
  </si>
  <si>
    <t>A lady calls me, says, "The card they stole from me in a bar, I don't know, bla, bla, bla." It's just that I went to pee and when I came back, it wasn't there anymore.</t>
  </si>
  <si>
    <t xml:space="preserve">Scams. And you've got to be really careful because they're total pieces of shit, right? At first you might think, well, this one only fools the stupid ones, right? It doesn't really target anyone serious.
</t>
  </si>
  <si>
    <t>Haven't you even been called by the tax agency? A few years ago, people were calling pretending to be the Universal Basic Income tax agency. They'd ask for you to send a 100 euro Bizum to a certain number as proof they were real. Of course, then neither the income nor anything else came through.</t>
  </si>
  <si>
    <t>nHe says, "This phone is paid." I tell him, "No, sir, it's not paid." It is paid. I'm telling you, sir, it's not paid. I mute myself and hear him say, "This dumbass doesn't even know anything." I unmute and tell him, "So, sir, what you're going to do is look for another dumbass who actually knows something, huh?</t>
  </si>
  <si>
    <t>I tell it like that and say, haha, what a joke, because in reality you're not doing anything wrong, because you're just changing the light. I mean, you're not putting his whole life mortgage on it.</t>
  </si>
  <si>
    <t>Raquel stays in our hearts on this channel. And every two out of three people who watch the video again, or new folks who discover the videos, ask, "When is this kid coming back?" She's back.</t>
  </si>
  <si>
    <t xml:space="preserve">Well, I haven't stopped traveling. Now you're traveling to Burgos. Besides traveling to Burgos, it's cool that you're impressed, right? The area where I work is pretty nice. 
</t>
  </si>
  <si>
    <t>We went to a guy's house, a British couple, really cute, in the most rural part of the rural areas of Burgos. They've been there for like ages.</t>
  </si>
  <si>
    <t xml:space="preserve">You see everything—go to Fulanito's house, see the conditions he lives in, if he's alone and his kids are somewhere else, he can't take care of himself, and the house is in some kind of state, and you see all that.
</t>
  </si>
  <si>
    <t>So, if you start asking around, like, hey, Eugenia, yeah, well, she's been coming alone for a while, or she's looked more tired for a while, or she has an identity, a circle that identifies her and looks after her somehow. And in the city, I think we're all more anonymous. In the city, we're all NPCs.</t>
  </si>
  <si>
    <t>Investing time in building that connection with your surroundings is also really important. We don't highlight it enough with that "wow, how cool, going off on your own, it's awesome, it's the best thing ever!" attitude!</t>
  </si>
  <si>
    <t>I had been a total nerd since I was 12, basically a stupid, dirty otaku, but a bad one. But obviously, from 12 to 22, you're like, how the hell am I supposed to go to Japan?</t>
  </si>
  <si>
    <t>Japan, I'd rather take it up the ass. Like, Japan is the worst shit I've ever been through in my life. But both the good and the bad, right?</t>
  </si>
  <si>
    <t xml:space="preserve">They're completely obsessed with money and all that stuff, thinking we're asking them how much we earn. They write it down like it's some big deal—like, "your salary," I don't know how much you've earned.
</t>
  </si>
  <si>
    <t xml:space="preserve">You see us like this now, all dressed up and everything. When I go to work every day, I have to take off my ones and hide my septum. I have to wear these belts. I mean, basically playing pretend for your life. Clothes like half-formal, I don’t know what.
</t>
  </si>
  <si>
    <t>So then you have to play mind games with the one who likes to make things up, making her believe it was really an accident, so she doesn't come over and tell her mom that they fought because if she does, the other little girl is going to end up in a lot of trouble.</t>
  </si>
  <si>
    <t xml:space="preserve">It's all very magical. Also really top secret. The workers are very strict about not posting anything on social media.
</t>
  </si>
  <si>
    <t xml:space="preserve">The conditions are really good. This is exclusive for workers. Check out what kind of merchandise there is. It's this little jacket you see here and you just say "that's nice."
</t>
  </si>
  <si>
    <t>They're so proud of French. France is the best, the French are the best, French cuisine is the best—and I'd rather crap on French cuisine.</t>
  </si>
  <si>
    <t>Hey, I'm Ivan, for anyone who doesn't know me. And as I've explained perfectly, I've been pushing my luck, annoying people to try to get someone to accept a colleague to come to the house</t>
  </si>
  <si>
    <t>I turn around and there he is, with his hand like that, and he's got this damn green parrot, man. It fell out of a tree. I said, well, there it goes. From the vet. I open up its wing, I start looking at it. And then I say, man, what the hell am I gonna do with this damn parrot, man.</t>
  </si>
  <si>
    <t>But bro, they had to call my mom. You see, on top of everything, my mom was on vacation for one day, bro, and I had to give her the third degree, bro. They even took away my fucking Red Cross vest, bro.</t>
  </si>
  <si>
    <t>The Red Cross said they were going to report the police on my behalf, I don't know what. Then the police apologized. Another weird move, man. God, this gypsy life I've got, let's get this over with.</t>
  </si>
  <si>
    <t xml:space="preserve">That day I set a record for half of Spain with the Red Cross, I think that's what it was, man. 218 coupons in one day. I mean, it looked like that, man—full of cars, you know, brother, man, here everyone's spending more money than the others. And I, well, depending on the place, I have a speech.
</t>
  </si>
  <si>
    <t xml:space="preserve">You opened the MD like saying, "I do this, but it's not exactly my passion." 
</t>
  </si>
  <si>
    <t>There's all kinds. There are owners who don't care at all—they just want to get the maximum return. But there are also owners who are really careful about who they let in, they talk to them before accepting or have pretty strict criteria. For example, I have one who only accepts families with good reviews.</t>
  </si>
  <si>
    <t>Also there's the typical person who says no, no, I don't want tourist traps, I want an authentic experience here. And you see them and you say you don't even know what you're asking for.</t>
  </si>
  <si>
    <t>It's a disaster. Basically, you can't get involved with any passenger, you can't have any kind of relationship. And I thought that was pretty much off-limits.</t>
  </si>
  <si>
    <t>People have a lot of hate for the French, and I get it, but I have to say that in my case I developed a hate for Italians. They're like a Spaniard, but at the level of an in-law, like the worst version.</t>
  </si>
  <si>
    <t>Let's open up that watermelon. In the previous video we talked about less posh places, now we're talking about more posh places. We're talking about ultra-Catholic private schools in the center of Madrid, where I've run into the worst bunch of kids you can imagine.</t>
  </si>
  <si>
    <t xml:space="preserve">Once, I think it was around July, there was a French client. Typical French client, around 50 or 60 years old, right? His car broke down and he had to get in touch with his French insurance company. And this guy didn't speak a word of Spanish, you know?
</t>
  </si>
  <si>
    <t xml:space="preserve">The mechanic says it exactly like that. Tell that bastard of a customer not to worry, his car will be ready by Friday afternoon.
</t>
  </si>
  <si>
    <t xml:space="preserve">Whenever I've filmed any videos in England and come across an Irish person—either male or female—the top comment that's always been left on every video I've filmed there has been something like "f*** the English from top to bottom."
</t>
  </si>
  <si>
    <t xml:space="preserve">So we were out partying, and then the usual thing—because everywhere there, bars and clubs close at 2 in the morning. At 2 in the morning, back to your damn house. And there they are, the Irish, like the Greeks, I mean, they're absolutely smashed.
</t>
  </si>
  <si>
    <t xml:space="preserve">The historical accuracy is a bit... Well, I really like it, okay? I love the history of fashion. And I'm kind of like, why isn't that done correctly? Have they ever done anything good by not having horns? At least they got that right. The things they include and stuff like that, obviously, the historical accuracy goes a little overboard. 
</t>
  </si>
  <si>
    <t>Well, before I tell you the story, I gotta ask you something because it's something that's really famous about India, its food, and especially the experience of a lot of my friends who've been there—it's the first thing they throw up.</t>
  </si>
  <si>
    <t xml:space="preserve">These monkeys, which come in packs of 30 or 40 maybe, would jump onto the embassy area. You see them from a distance and you say, "Damn, they're so cute," like, you'd see the monkeys with their babies attached here, and you'd see these big monkeys that looked like meatballs, you know? Like, how fat they were.
</t>
  </si>
  <si>
    <t>You're treated differently, both good and bad. They see you as someone from the upper class, they assume you have money, so sometimes they treat you like a wallet with legs.</t>
  </si>
  <si>
    <t xml:space="preserve">They make a whole show when you order a bottle of Don Periñón or whatever champagne they have. They're standard Madrid types, I'll tell you. This is capi. There are probably a lot of little Indian Nicoláses [slang for wealthy, flashy people] Sure, there's a lot of Indian Froilán [another slang term for wealthy, flashy people]. Yeah, I don't know, I guess it's just seeing it step by step, figuring out who has holes [in their pockets or in their status] or not. 
</t>
  </si>
  <si>
    <t>Women's rights sometimes leave a lot to be desired. It's still an ongoing issue that women are expected to stay home and do housework — I mean, that's just the old-fashioned stuff.</t>
  </si>
  <si>
    <t xml:space="preserve">Like, don't laugh, because we Spaniards aren't exactly rocket scientists either, okay?
</t>
  </si>
  <si>
    <t>"There are places that everyone goes to, and I really want to know the inside stories of those little characters who must go to MediaMarkt."</t>
  </si>
  <si>
    <t>"I've been working at MediaMarkt for 2 and a half years. Luckily or unluckily, where I ended up is right in the center of Málaga, right in Vialia, where a lot of people pass through and where there's all kinds of riffraff."</t>
  </si>
  <si>
    <t xml:space="preserve">"And on top of that, I had the gaming stuff, especially the keyboards and mice, where the typical little cebolletas kids would come to play with them, the little keyboards."
</t>
  </si>
  <si>
    <t xml:space="preserve">Of course, you can imagine an old guy, my partner was arguing with him, another man just behind there teasing my partner because he said the phone wasn’t working and Santa Lucia had told him the repair had to be done by them.
</t>
  </si>
  <si>
    <t xml:space="preserve">
"The churumbel shows up at the door, passing by and saying: 'Who gets the hot potato?' Because you imagine, putting up with that guy, man."
</t>
  </si>
  <si>
    <t xml:space="preserve">
"When I already asked him which bank it was, he started: 'And why do you want so much data?' Yelling there in the middle of the store, hitting people."</t>
  </si>
  <si>
    <t>How do you get out of this mess? You have to make up everything you can because the guy is going nuts, throwing punches, and all you want is to get out as soon as possible.</t>
  </si>
  <si>
    <t xml:space="preserve">
There, in the store, they told you that you couldn't get a refund for that kind of mess, but obviously, when someone like that comes in all worked up, you don't want them hanging around the store causing trouble all day long, so what you really want is to get rid of them.
</t>
  </si>
  <si>
    <t>People who try to haggle with you, thinking that if they take two laptops, I'll give them a better price. Indeed, as if I were the owner of the store. Bro, if I take these two laptops, how much would you charge me? Well, the same price.</t>
  </si>
  <si>
    <t xml:space="preserve">
I got scared, I saw the guard standing up, automatically stopping the escalator, and there I saw an older man sitting on the ground next to the guard, bleeding heavily. I ran into the room, started giving him IV fluids, started cleaning his wounds to check out his face. His face looked like a Christ.
</t>
  </si>
  <si>
    <t>The one who ends up in trouble is me, because you know, imagine getting someone else's ID, processing a loan, and then the person whose application gets approved—well, the one who ends up in trouble is the other person.</t>
  </si>
  <si>
    <t>And then there was the typical kid who came with the dad and grabbed some rebounds because the dad had bought him a Xiaomi and the kid wanted an iPhone, and the dad would look at you and say, "Dude, how much is the cheapest iPhone?" And he was trying to make the kid see, but the kid was really serious about wanting that iPhone.</t>
  </si>
  <si>
    <t xml:space="preserve">"Damn, for me, for example, it really gets to me. That kind of thing has really stuck with me—how the kid wants that damn thing and the father has to buy it for him, otherwise the kid takes the rebound and messes everything up. If it were my father, he would have already shut me up with a cookie."
</t>
  </si>
  <si>
    <t xml:space="preserve">
He had stolen a Nintendo Switch, PlayStation controllers, and had stolen approximately six thousand euros worth of stuff from the store. The real jerk must have gotten fed up with stealing from us there, and wanted to make it a bit harder.
</t>
  </si>
  <si>
    <t>I wasn't into Apple, nor was I into Samsung or Xiaomi. I was going my own way.</t>
  </si>
  <si>
    <t>There came a moment when he said: “If in the end the blood is going to reach the river.” I got really hot under the collar, I gave the table a good whack, and I told him: “Look, I don’t have the patience to put up with you or the nonsense you bring.”</t>
  </si>
  <si>
    <t>Today we're going to talk about that supermarket where you used to shop a while ago because it was cheaper than the usual price, and now it's more expensive than the Virgin.</t>
  </si>
  <si>
    <t>The thing is, the atmosphere was really nice, and I've been really comfortable and really enjoying myself working there.</t>
  </si>
  <si>
    <t xml:space="preserve">
I've never seen a more comfortable uniform in my life. You know, they say it's ugly. No, it's damn ugly, believe me.
</t>
  </si>
  <si>
    <t xml:space="preserve">You don't need to feel ashamed about asking questions, because they ask you every silly thing you have to do with absolute audacity.
</t>
  </si>
  <si>
    <t xml:space="preserve">The manager of that day at the store went up to check, to make sure everything was in order, and he said to me: "Damn, I stepped on some shit, but it feels like someone had pooped in the lobby and was jumping forward."
</t>
  </si>
  <si>
    <t>So, if someone steals, you already know they've stolen, and then you see them the week after and you say: 'Watch out for this one, heee don't let him do the 1314 here.</t>
  </si>
  <si>
    <t>"One day, a man comes and says: 'You’ve just been robbed between the boxes, because it crawled along the floor behind the boxes and the guy stole.'"</t>
  </si>
  <si>
    <t>One day, they also tried to distract me from behind. They did it with the real butt, because I didn't even turn around.</t>
  </si>
  <si>
    <t>I know there’s someone who’s going to steal milk, a pack of pasta, rice, water—those people, well… it doesn’t even bother me.</t>
  </si>
  <si>
    <t>A guy was picking things up while talking on the phone with one hand, and then he was calmly putting them away with the other. And there was a guy behind him who I suppose doesn't have as much patience: "Idiot, moron."</t>
  </si>
  <si>
    <t>At that moment, there was a lady who was almost alone, and, wow, it affects you a little because it's sad, but we were there at the function.</t>
  </si>
  <si>
    <t>I don't get the mindset we have that Mercadona is cheap because they don't do any sales or discounts.</t>
  </si>
  <si>
    <t>This time, one of my favorite regions, the fish and chips region, the area with those teeth in that way, the people everyone talks about in their own language, but they don't speak anyone else's language. Let's find out what England is like.</t>
  </si>
  <si>
    <t>I didn't like the PhD because everyone was precarious, people were losing their jobs, and there was this girl who started graduating at 35 years old, because finally her parents had become independent, and I said no, this isn't for me.</t>
  </si>
  <si>
    <t>"Biology, Physics, and Chemistry teacher, from the equivalent of second year of ESO up to second year of high school. The best of each house. So, telita."**</t>
  </si>
  <si>
    <t xml:space="preserve">
Well, my God, I had two brothers who were getting lessons, and obviously they came without knowing any English to get by. Since I was such a friendly, helpful teacher, the deputy director said, "Hey, get the exams ready with this, translate it and stuff..." I'd just give him the answer, what the hell.
</t>
  </si>
  <si>
    <t>"The problems are worth points. If you do one thing, it's worth a point. If you do another thing, it's worth another point. There, they give you a lot of points."</t>
  </si>
  <si>
    <t>"Don’t worry, it’s just that they were all taller than me, if that’s even normal. I was really short for them too, and I’d act all upset."</t>
  </si>
  <si>
    <t>"My friend's little bastards laugh a lot. 'So what now, huh? You wanted to be there so much, that the people were so polite. Wow!' "</t>
  </si>
  <si>
    <t>I haven't argued with these ugly British women. Because they slipped into my put-put Tesco.</t>
  </si>
  <si>
    <t>And I also had a French family. I'm going to take a stand in favor of the French. The French were very attentive. The French look out for each other a lot, like a hive of bees.</t>
  </si>
  <si>
    <t>Now and then my director and my academic supervisor have scolded me. Please, it's obvious you're Spanish.</t>
  </si>
  <si>
    <t>We used to have sort of an AMPA night every end of term. It was like a conveyor belt — we stayed in our seats while the parents came one after another. Well, it was a girl's turn who was studying humanities.</t>
  </si>
  <si>
    <t xml:space="preserve">It was her turn, she explained it to the father: She got a 4, but let's try to get her to pass for the next one and so on. And she slapped the girl in front of me. It really got under my skin, those seven bad things.
</t>
  </si>
  <si>
    <t>"No, in the end, my deputy director and my director defended me. Two awesome guys."</t>
  </si>
  <si>
    <t>"My favorite line would be: 'What we have done, something you didn't do, is to deceive people.' It's just awesome, really, dude."</t>
  </si>
  <si>
    <t>Most comedians are from Osaka, so they're known for being cheeky.</t>
  </si>
  <si>
    <t>As a person who is Japanese: doesn't it seem a bit weird that practically everyone is into Japan these days?</t>
  </si>
  <si>
    <t>In fact, in 2022, when the Olympics were here in Japan, I saw Kureha and I let out a Mariano Rajoy quote. And she laughed so hard she almost fell over.</t>
  </si>
  <si>
    <t>Exactly, for them, or rather, the idea of Spain: beach is sun, sangria is party, paella and bullfighting. In other words, if you show them a photo of Asturias or Galicia, they crash, say: No, this isn't Spain.</t>
  </si>
  <si>
    <t>So that then they come to Mallorca, buy a house, and there's a neighborhood in Mallorca where everything is written in German. It pains me to say it, because I say: Come on, no, these are stereotypes, let's break the stereotypes, but it's just that they can't.</t>
  </si>
  <si>
    <t>"And hell, my colleagues at the Gymnasium tell me: Oh, hell, mine are all German surnames. Hell, don’t be kidding me."</t>
  </si>
  <si>
    <t xml:space="preserve">
And it makes you think: If they're supposed to do this separation because some students perform better or worse, then why the hell do I have kids in class who are studying like animals? When you're academically brilliant, it's because you're a complete idiot.</t>
  </si>
  <si>
    <t>"You know, kids are full of surprises."</t>
  </si>
  <si>
    <t>"A child saw me and said: Are you married? Do you have a partner? Well, it doesn’t matter to you. You’re in Spanish class.</t>
  </si>
  <si>
    <t>And I said, "But how dare you call her that? Don't even think about calling me that—I'm not a dog!"</t>
  </si>
  <si>
    <t xml:space="preserve">If they see something's bothering you, instead of stopping, since they're such idiots, they'll just make it worse.
</t>
  </si>
  <si>
    <t>Well, nothing, if I finished just a little while ago, we had been arguing with him about it even a week before I finished. And he started doing it, and then others also started doing it. And obviously, it's like nonsense spreads.</t>
  </si>
  <si>
    <t>Of course, I talked about it with the ones at the Gymnasium, and they said to me, "Damn, that never happened to me. Go have your kid and get slapped in the face with an open hand and all sorts of things," they said.</t>
  </si>
  <si>
    <t>When you combine problematic with problematic, all you're going to end up with is problems. It's a segregation system that's crazy.</t>
  </si>
  <si>
    <t>I laugh because it's like: "Well, we all know what's going on, right? Hey, no need to mention it, right? Come on, to Germany, right?" You say: "Damn, we haven't learned anything, I swear to God."</t>
  </si>
  <si>
    <t xml:space="preserve">"Whether you take it from the angle of: 'Well, obviously, it's a state school — so you're not that smart?' You're already kind of categorizing the kid a bit, aren't you? In other words, you're here because you're not that smart, so. Meritocracy at 12 years old, get your head out of your ass."
</t>
  </si>
  <si>
    <t>I had a very idealized view of Germany when I first came here, because they sell you the whole thing — you'll find a job because there's a lot of job offers, I don't know what.</t>
  </si>
  <si>
    <t>What amuses me is that then they treat us as if we were the bottom of the world.</t>
  </si>
  <si>
    <t>And, well, that, that not everything that shines is gold.</t>
  </si>
  <si>
    <t>It's been a shock, but it wasn't that bad because I've lived abroad, I speak English well, so it didn't cost me too much to adjust. It was still tough though because my high school is really chaotic—they tell you everything for today tomorrow, like, the organization is basically non-existent, so that's what cost me the most.</t>
  </si>
  <si>
    <t>And the first day of class, well, obviously, since they push you so hard and you have to show that it's like that, you don't even get through one thing on the first day like that super duper duper duper duper.</t>
  </si>
  <si>
    <t>I'm going to take a detour. It also happens to me because I say "America." In reality, I mean Americans. Then people from Latin America come along and say, "Excuse me, you're a total subnormal because America is everything, not just the damn Yankees."</t>
  </si>
  <si>
    <t>nSo, yeah, last year there was a student who was always challenging me. I'd assign homework, and she'd always have to argue about everything, I don't know what. On top of that, she was one of those students who missed a lot of class. Well, I had some run-ins with her and she always argued with me.</t>
  </si>
  <si>
    <t>What I was telling you before, that my mindset has shifted a bit regarding grades, because you really see the background of everyone, and what you see is that it's not important to them.</t>
  </si>
  <si>
    <t>And there have been many deaths like that because of a fight on the street, because of a disagreement when leaving a bar, bam, bam, in the end someone dies because they pulled out their weapon.</t>
  </si>
  <si>
    <t xml:space="preserve">When you run a campaign, obviously you go for content creators or celebrities—whether it's a footballer, musicians. And for a campaign we did with Exhibit, a very famous rapper who's more known for tuning cars, we did a really cool campaign with him, the guy was awesome, super nice, but damn, he asked for a bag of marijuana.
</t>
  </si>
  <si>
    <t xml:space="preserve">Well, it's that in the ad, the drug topic is quite interesting, right? Damn, until you face people who are really high every day, you don't understand how it really works, because a lot of people think they're rockstars.
</t>
  </si>
  <si>
    <t>One of the things, man, that really stuck with me was that they say you discover it a bit when you grow up, but in this world more than anything, everyone is on drugs.</t>
  </si>
  <si>
    <t>I started as an intern right on the anniversary of an agency, they rented a bar, dressed everything up like it was a gringo, Latino, this little party thing. And dude, I, obviously, was my first day.</t>
  </si>
  <si>
    <t xml:space="preserve">I used to work in a building, at a multinational company. They released a statement, through an agency full of super posh people and all these super money-makers, and here we were all the talk, because there was this guy, man, a real loser, outside the restroom.
</t>
  </si>
  <si>
    <t>And it really annoyed me when I entered the industry, and it's that this industry feels very classist to me. Not just because of who you work with and all that, but because of access itself. Damn, if you live in Madrid or Barcelona, which is the city where everything is, when you have to come here, dude, you have to do the master’s degree, which is also a master’s degree that they pulled out of nowhere</t>
  </si>
  <si>
    <t xml:space="preserve">It’s not just about being the most talented, having the best ideas, or being the best at designing or writing. You also need financial support from your parents or guts to work. Working weekends on other things, finding freelance work on your own, getting paid under the table, and figuring out how to make a living.
</t>
  </si>
  <si>
    <t>"Hello, my name is Claudi, and indeed I work at Starbucks where you pay 37 euros just to have them take out a kidney and say your name. And on top of that, we don't even write it down anymore."</t>
  </si>
  <si>
    <t>"I'm gonna open a watermelon. In your videos, the French are criticized a lot. Today I'm here to defend them, dude. They're the least of the tocahuevos."</t>
  </si>
  <si>
    <t>It was in the morning, but I'm talking to you at 7:30. We saw a young girl and a young guy walk in. They stood right in front of the bar and started making out, giving each other some good kisses, and us saying, "Well, that's nice."</t>
  </si>
  <si>
    <t>So, obviously, a woman suddenly comes up to the counter and says, "I want a complaint form, you have a broken soap dispenser." And of course, we start talking to her, I let her use the sink here to wash her hands, nothing happens. She keeps saying "errr, errr, no."</t>
  </si>
  <si>
    <t>Really, during those 2 years I've been there, I was completely a different person. I lived in bitterness every single day. It really takes a toll on you when people treat you so badly, so inconsiderately.</t>
  </si>
  <si>
    <t xml:space="preserve">So I went, I was looking at apartments—it was kind of like a basement with dampness, one disgusting room. Each one was a thousand euros. I cried a lot to the people at the housing office. There might be a place, but you have to share with five Israelis. I'm just laughing through my teeth.
</t>
  </si>
  <si>
    <t>And he takes us into a room, like a group of maybe ten men sitting around, he sits us down and says, \"Ask whatever you want.\" And we spent like two hours talking about Islam, asking him questions—and what's the perception of heaven, of Islam, what does he think of Christianity? Hey, I've heard this—what do you think about this thing? Sure, then we left with this guy, because we became friends after two hours of talking. I have a Polaroid photo of the whole thing.</t>
  </si>
  <si>
    <t>There was this girl, this chick was from the UK, and her family was super religious, like super religious in the most extreme way, Protestant. The typical stuff—skirt down to the ankles, never done anything with anyone, you know.</t>
  </si>
  <si>
    <t xml:space="preserve">And how's Cairo? It's really nice, like the pyramids you mentioned, God, it's probably the most weird thing in humanity.
</t>
  </si>
  <si>
    <t>Yeah, it's true that maybe with Israeli people — obviously me, many of my friends from there, I mean, they're Jewish and not Israelis, and everything's totally fine, and they're good people — but yeah, it's true that maybe the general feeling, especially at first, is like they were a bit... not disrespectful, but they did look at things like from above the shoulder.</t>
  </si>
  <si>
    <t xml:space="preserve">
Sure, I remember a lot of times that I might have been where my jeweler was, because I had a jeweler in Jerusalem and the guy was really messed up.
</t>
  </si>
  <si>
    <t xml:space="preserve">Keep in mind that military service is mandatory for both men and women. It's like, obviously, you imagine giving an 18-year-old a rifle like an AR-15 and telling them, "Hey, you're going to dress like this and strut around like a rooster in front of all your colleagues defending the promised land because you're God's messenger."
</t>
  </si>
  <si>
    <t xml:space="preserve">"It's interesting because I was in another fear room before, where I saw an offer on Instagram for an escape room that I had already done and played, and I said, well, when in Rome, do as the Romans do, why not?"
</t>
  </si>
  <si>
    <t>*Also, what’s cool is that. Thanks to the people who really get into it.*</t>
  </si>
  <si>
    <t xml:space="preserve">But what amuses me the most, between quotes, are the families. That's the real deal.
</t>
  </si>
  <si>
    <t>There's a corpse, I don't know what kind, I don't know how many, we had to get rid of the worms… There's a key moment, one of tension, and my partner or whoever was playing the bad cop said, “Come on, I'm going to send all of you to God.”</t>
  </si>
  <si>
    <t>When I was 12 years old, my dad was looking for work, and the usual thing is that you send out all the job offers and see what comes up. And he got it, and they said: well, now we have to try it out. And what was the job? Bridge engineer. Oh man, what a cool job!</t>
  </si>
  <si>
    <t>"And your teacher, is he still there? I think he already retired because he had been working there for a lot of years, teaching in a bunch of schools all over the place."</t>
  </si>
  <si>
    <t>It's like the beautiful and fantastic image of saying, come on, look how good, how eager this man is going to be to listen to me. And then surely the one who talks the most is the husband. A chap</t>
  </si>
  <si>
    <t xml:space="preserve">Once, someone saw a woman who was staring at the glass, grabbed my arm, and asked why the Romans built downward. People laughed their heads off.
</t>
  </si>
  <si>
    <t>"Well, there were the gargoyles on the churches, like, like, like, like. A church in Barcelona called Santilli Pereri, which is a beautiful church, was bombed during the Civil War. Some people ask if the gargoyles are actually cannons for shooting."</t>
  </si>
  <si>
    <t>There's a lot of people who think here in Spain it's as if we're educated to believe that Columbus was the savior and bla, bla, bla. When they come here, I think with good intentions, as if they want to completely change that view.</t>
  </si>
  <si>
    <t xml:space="preserve">Parents or parents who come to see their child here in Barcelona are doing a tour with them, and maybe they haven't seen their son in a year. They're excited because they see what their son is achieving and realize they're in a nice place.
</t>
  </si>
  <si>
    <t>"There have been thefts on the tours. That’s another thing we could talk about."</t>
  </si>
  <si>
    <t>That's kind of frustrating because in the end, what you want to do is give a cool tour in two hours explaining the history of Jews and Christians, I don't know, anything really, and then people look at you like, "Oh yeah, but you're a young Catalan independence activist, so it's a little bit hard to get rid of that stigma."</t>
  </si>
  <si>
    <t>But does Antonio Gaudí still live? A question that's been asked to you if he's still alive.</t>
  </si>
  <si>
    <t xml:space="preserve">One of the things I like is historical architecture. I always associate it with cathedrals. It's like a magnet for history buffs who stand in front of a façade and say, "This is Romanesque, this is Gothic, this has everything."
</t>
  </si>
  <si>
    <t>After that, there are more "normal" families, I mean, who come looking for the best they can find, but end up in those schools, in that contrast of super good kids, super nice kids. There's no middle ground there.</t>
  </si>
  <si>
    <t>In their home, they have zero education; they have no kind of limits, and if one teacher tells them, "sit down, take out the book," they see it as, "I'm here because I'm forced by law."</t>
  </si>
  <si>
    <t>As a priority in that kind of school, you just want the kids to be there from 9 to 2 and for nothing serious to have happened, for the kids to leave the school happy.</t>
  </si>
  <si>
    <t>Have the big guys ever messed with you? They mess with you knowing they're messing with you.</t>
  </si>
  <si>
    <t xml:space="preserve">I often walk the route home and I do it many times accompanied by kids because I pass through the neighborhood. And the kid enters, "Goodbye teacher," then goes into his house, which is a ground-floor flat with the door left open. 
</t>
  </si>
  <si>
    <t>And then a fifth-grade class comes by, which would be PE or something like that—a kid I don’t even talk to tells me, "If I were you, I’d keep your phone." And I’m just shocked—not because, damn, they’re gonna steal it from me—but because how accepted the concept of stealing has to be in order for you to recommend to a prospect, "keep it because they’re gonna steal it from you, I don’t know why."</t>
  </si>
  <si>
    <t xml:space="preserve">The thing is, they don't like school. I imagine a kid like that saying, "I want to study a degree," and the parents saying, "You're crazy, you're going to start working with me as soon as you're old enough." 
</t>
  </si>
  <si>
    <t>It was a total exaggeration, but the families themselves have to leave the neighborhoods because they have problems. Not the kids, but the parents with other families. And they switch schools, the kid already, because whatever he learned minimally, now it gets reset.</t>
  </si>
  <si>
    <t>Do you need some f***ing educational method to at least save a few pieces of that shit, or do you just have to give up? That's it—once you're born in a place like that, you're doomed.</t>
  </si>
  <si>
    <t>He cheated on me, it's because he's a jerk, he went out with three from the same class, he went out with the one from fifth grade and the younger one, these things happen in school.</t>
  </si>
  <si>
    <t>I've had a real big problem with a parent, but it wasn't during a tutorial. Because parents come looking for problems.</t>
  </si>
  <si>
    <t xml:space="preserve">I've set it as my goal to finish these years and say, there's less unemployment because employment has helped make matches. There's a company, there's someone who needs a company — just with that, I think I'd already have enough to fill my workday.
</t>
  </si>
  <si>
    <t>I'd love to find myself in the situation when you enter a company and you find yourself... the onboarding process....a memory with all the projects, what's pending, what's left, what budget I have…</t>
  </si>
  <si>
    <t>Tell me about some wild things people have said to you, man. One day your neighbor from the fourth floor just jumps out of nowhere and starts giving you a slap that'll leave you in trouble.</t>
  </si>
  <si>
    <t>Here you still have that neighborhood, community feeling. I know my neighbor across the street, I don't know what, I don't know what, I don't know how much. That kind of stuff doesn't exist in Madrid. And at the same time, it exists less in other places.</t>
  </si>
  <si>
    <t xml:space="preserve">One of them, for example, was called "Patillas," but I don't know why they called him that since he didn't have any mustache. He was an older man with a lot of temper. He came with his cane and always went through the self-checkout lanes.
</t>
  </si>
  <si>
    <t xml:space="preserve">"At the end of the day, you're supposed to not insult because it looks bad, although I do admit that sometimes I've been called a piece of crap. And I've called people a piece of crap too."
</t>
  </si>
  <si>
    <t>No, I also admit that I've gotten really worked up a lot of times and haven't fought back, because look, one day they almost had to separate me from him, because he told me he was going to hit me. And I said to him, "Do it to him, shouting and insulting his wife."</t>
  </si>
  <si>
    <t>It was once a woman and she had a shopping cart completely full. I passed by and she started talking to me in a rude way, saying she needed another cart. So, go look for one, right?</t>
  </si>
  <si>
    <t xml:space="preserve">It's a supermarket like Mercadona, like Carrefour, like Lidl or like Día. We're not talking about the top, where the salespeople have to fawn over you because they have to sell, they have to earn commissions.
</t>
  </si>
  <si>
    <t>But then the next coupon I gave her didn't work because she had raised the plastic bags and the plastic bags didn't count. So, obviously, we had to cancel the whole purchase, start all over again, and she got really upset.</t>
  </si>
  <si>
    <t xml:space="preserve">"My mom is teasing me a lot, telling me I came back as a duck."
</t>
  </si>
  <si>
    <t xml:space="preserve">They hate you more for speaking Spanish to them than for speaking English. The English have a grudge against them.
</t>
  </si>
  <si>
    <t>For example, they did make me talk a bit about the Civil War or a class where I had to talk about the Valencia flood. And obviously, I was talking about something that for me could be a bit difficult, and there was a kid sitting next to me who was always making jokes and messing with you — that was terrible for me.</t>
  </si>
  <si>
    <t>There were a lot of people who told me they wanted to come on vacation to Spain. And I'd tell you at the airport, when they ask you, say you're going to Portugal. And they never caught on to the trick.</t>
  </si>
  <si>
    <t xml:space="preserve">They hit me with the "boyfriend" topic. A 13-year-old kid who left me shaking.
</t>
  </si>
  <si>
    <t xml:space="preserve">But there came a moment when I was entering class and all of a sudden I saw 4 or 5 of my students with their faces completely scribbled with pencil. My first thought was total madness.
</t>
  </si>
  <si>
    <t>One of the really nice things about that age is the crushes. Ugh, what a mess! There were some mixed-gender showers at school. I never went into those showers</t>
  </si>
  <si>
    <t>And I'd spend an entire weekend preparing classes, working hard, making PowerPoint presentations, and setting up escape rooms, just so that in class, five or seven students would fall asleep, three wouldn't pay attention, two would completely ruin the lesson.</t>
  </si>
  <si>
    <t>So, I arrived and went out partying every single day for seven straight days, without exaggerating. And of course, people were shocked, like, what the hell is wrong with this girl? And the people were super cool.</t>
  </si>
  <si>
    <t>Kit Kat is a nightclub where you basically go to have sex. I mean, people go topless, they go all the way down, obviously, but then inside, the decoration is really cool, right?</t>
  </si>
  <si>
    <t>It's not the poop anymore, it's not the tourists either—it's the atmosphere in the city center at night. From the NPCs who rap at you with the mic, no, me, the red-haired girl, I don't know what, there's the one like Michael Jackson, who wears it like a glove. He's someone who looks like something's not right, he wore a white glove and did the backwards walking thing.</t>
  </si>
  <si>
    <t xml:space="preserve">Here's where I'd see a super friendly camera. The thing is, if you touch my nuts, brother, there were people who would say, no, but put me on the longest cup.
</t>
  </si>
  <si>
    <t>And in the end, the center is packed with tourists in general, which I guess I can understand—they bring in money and that's what feeds us—but we should take over our own space too and enjoy it.</t>
  </si>
  <si>
    <t>Brother, taking out the cock and peeing on the bar. Plus, it was an L-shaped bar, and he peed right where I could see his cock. In other words, brother, I saw a cock peeing.</t>
  </si>
  <si>
    <t xml:space="preserve">I get what you're saying, about the big destruction of the toilet. I mean, you're saying that there's this diarrhea—pa-pa-pa-pa-pa-pa—everywhere in the toilet I'm talking about, so you had to get your back dirty. 
</t>
  </si>
  <si>
    <t>There's an outdoor area with pádel, then there's the usual regular gym, a section of the gym set up for spinning, like, all bikes, you know? These crazy guys going pum, pum, pum at full speed, you know what I mean, how much they want to do it at 9 in the morning.</t>
  </si>
  <si>
    <t>I don't get as shocked as much because I've also worked almost two years at a Burger King. The Burger King bathrooms are like some kind of military boot camp for this. I mean, it's like going to Afghanistan, yeah, but I've already seen everything</t>
  </si>
  <si>
    <t xml:space="preserve">"And I have a cart with a dirty water bucket and a clean water bucket. He comes out of class, drinks some, there's a little bit of water left, and instead of throwing it away, going to the sink and throwing it because it would weigh him down or I don't know, he does this, click, click, click, and pours it into the clean water bucket."
</t>
  </si>
  <si>
    <t xml:space="preserve">So I've gotten rid of a lot of things that just didn't do me any good, and especially the mindset that a lot of people have—that they're going to get their dream job or a job that gives them a lot of money. I think it's more important than even money or your dream job to find a job where you feel comfortable. It could be something that's nothing special, you know?
</t>
  </si>
  <si>
    <t>That's what I was getting at because later… The guy had gum in the pool, bro. The guy had gum in the pool, I told my teammate, I gave him two elbows and said, bro, he has gum in the pool. He's halfway to buying Georgie, the whole company</t>
  </si>
  <si>
    <t>"Translate this into French: if they literally don’t know Spanish, vacationing in Spain and much less English, which is the international language, tell them to go to Bordeaux to have a glass of wine. And my partner said that. I’m getting back at what Pepe Botella did, meaning..."</t>
  </si>
  <si>
    <t xml:space="preserve">Of course, a little bit of posing now and then. A little bit of telling you that you went on vacation to such-and-such place. It's just that a nice photo doesn't hurt anyone. There's no need not to take photos.
</t>
  </si>
  <si>
    <t>She left everything full of sand and kept insulting me, man. Tired of her shouting, I asked her to leave. Security had to come and tell her to leave or stop yelling. They go to a center where my brand isn’t available, and there, obviously, since it’s not theirs, they don’t care—they see the receipt is from another center, pim pam, then they send it to you via transfer, and the product arrives, and it’s a mess.</t>
  </si>
  <si>
    <t>"Many times it's animals, like dogs eating the fiber cable and charging you 60 euros for replacing just one of those connectors. Once, I also had to deal with someone who was super angry, like, I called them to let them know I was coming, and they started getting really mad as if we'd been waiting for ages, I don't know why."</t>
  </si>
  <si>
    <t xml:space="preserve">"Ah, and it's that you can't even set up Wi-Fi on the phone. It really worries me when they give you your phone to them, because a lot of times you have to go into the browser and end up finding weird stuff."
</t>
  </si>
  <si>
    <t>Also, people in Gibraltar pay less. That's for the English, for someone who's from here, working there, they really beat you up. I do both declarations. While working at the McDonald's in Gibraltar, I paid 760 euros in taxes.</t>
  </si>
  <si>
    <t>The problem is at the beginning when I started, because there are things they ask you and you say, "What the hell is this guy asking me?" Like some nuggets, some fries, a regular Coca-Cola, a cheeseburger without cheese and without onion.</t>
  </si>
  <si>
    <t>Yes, yes, I've had some [of those]. Well, well, I can't tell you what it was about, because I had absolutely no idea what they were saying.</t>
  </si>
  <si>
    <t xml:space="preserve">
An old lady called me and said, "The card they stole from me at a bar, I don't know what, bla, bla, bla." It's that I went to pee and when I came back, it wasn't there anymore.</t>
  </si>
  <si>
    <t>Scams. And you have to be really careful because they're really assholes, right? At first you might say, "Well, this one only tricks the stupid people, right?" Like it's not that hard to fall for.</t>
  </si>
  <si>
    <t>They even call you from the tax agency. A few years ago, they would call people pretending to be the Universal Basic Income tax agency. They would ask for a 100 euro Bizum to a certain number as verification. Of course, then neither the tax office nor any money showed up.</t>
  </si>
  <si>
    <t>He says, "This phone is paid." I tell him, "No, sir, it's not paid. It is paid." I'm sure it's not, sir, that it's not paid. I mute myself and hear him say, "This subnormal one who doesn't learn anything." I unmute myself and say, "Sir, what he's going to do is look for another subnormal one who knows something, right?"</t>
  </si>
  <si>
    <t xml:space="preserve">I tell it like that and say, jajaja, what a joke, because in reality you're not doing anything wrong, because you're changing the light. I mean, it's not like you're putting her life savings on the line. 
</t>
  </si>
  <si>
    <t>Raquel stayed in our hearts on this channel. And every two out of three people who have watched the video again, or new people who discovered the videos, say, "When is this girl coming back?" She's back.</t>
  </si>
  <si>
    <t>It's just that I haven't stopped traveling. Now I travel to Burgos. Besides traveling to Burgos, it's nice that you get amazed, isn't it? The area where I work is really nice.</t>
  </si>
  <si>
    <t>We went to the house of a guy, a British couple, really cute, in the most rural part of the rural areas of Burgos. They've been living there for like years.</t>
  </si>
  <si>
    <t>You see everything—you go to Fulanito's house, you see the conditions in which Fulanito lives, whether he's alone and his kids are somewhere else, he can't take care of himself, and the house is in some kind of state, and you see it all.</t>
  </si>
  <si>
    <t>So, if you go around asking, like, hey, Eugenia, yeah, well, she's been coming alone for a while, or she's looked more tired for a while, or she has an identity, a group of people who recognize her and take care of her somehow. And in the city, it seems like we're all more anonymous. In the city, we're NPCs.</t>
  </si>
  <si>
    <t xml:space="preserve">"Investing time in building that connection with your surroundings is also really important. We don’t emphasize it enough in the way of 'Wow, what a cool thing, going around the world, it’s awesome, it’s crazy!'"
</t>
  </si>
  <si>
    <t>"I had already made up my mind since I was 12, basically an otaku pig shit, but a bad rat. But obviously, from 12 to 22, you say, 'how the hell am I going to Japan?'"</t>
  </si>
  <si>
    <t>Japan, I'd rather swallow it up my ass. I mean, Japan is the worst shit I've ever gone through in my life. But both the good and the bad, right?</t>
  </si>
  <si>
    <t>They're totally obsessed with money and all that stuff, thinking they're asking us how much we earn. He writes it down on a paper, like, he writes down your salary, I don't know how much you've earned</t>
  </si>
  <si>
    <t xml:space="preserve">"You know, now you’re seeing us like this, with all that look and stuff. Every day when I go to work, I have to take off my septum and hide it. I have to put on some belts. I mean, do the whole pretend thing like your life depends on it. Clothes like semi-formal, I don't know what."
</t>
  </si>
  <si>
    <t xml:space="preserve">"So then you have to pull a mental trick on the one who likes to invent, making her believe it was really an accident, so she doesn’t go tell her mom that they fought, because otherwise the other little girl is going to have a bunch of consequences."
</t>
  </si>
  <si>
    <t>"Everything is really magical. It's also very top secret. The workers take the whole thing very seriously—not posting anything on social media."</t>
  </si>
  <si>
    <t xml:space="preserve">The conditions are really good. This is exclusive for workers. Check out what kind of merchandise there is. It's this little jacket you see here and you think, "this is nice."
</t>
  </si>
  <si>
    <t>They're so proud of French things. France is the best, the French are the best, French cuisine is the best—and I'm taking a dump on French cuisine.</t>
  </si>
  <si>
    <t xml:space="preserve">Look, my name is Ivan, for anyone who doesn't know me. And as I've explained perfectly, I've worked speaking poorly and quickly, annoying people to try to get them to accept a colleague to go to the housing.
</t>
  </si>
  <si>
    <t>I turn around and there he is, holding the damn green parakeet with his hand, dude. It fell out of a tree. I say, well, there it is. From the vet. I open its wing and start looking at it. And now I say, dude, what am I supposed to do with this damn parakeet, dude?</t>
  </si>
  <si>
    <t xml:space="preserve">But dude, they had to call my mom. Because, like, on the day my mom was on vacation, dude, I had to give her the third degree, dude. They even took away my fucking Red Cross vest, dude. 
</t>
  </si>
  <si>
    <t>That day I set a half-Spain record for the Red Cross, I think, man. 218 coupons in one day. I mean, it looked like that, man, full of cars, you know, brother, man, here everyone's spending more money. And I, well, depending on the place, I have a speech.</t>
  </si>
  <si>
    <t>We have a wide variety. There are owners who don't care at all—they just want to get the maximum return. But I also have owners who are very careful about whom they let in, they talk to them before accepting, or they have pretty strict criteria. For example, I have one who only accepts families with good reviews.</t>
  </si>
  <si>
    <t>*Or there's also the typical person who says no, no, I don't want tourist traps, I want an authentic experience of this place. And you look at them and say, "You don't know what you're asking for."</t>
  </si>
  <si>
    <t>"It's a mess. In short, you can't get involved with any passenger, you can't have any kind of relationship. And I thought that was pretty much prohibited."</t>
  </si>
  <si>
    <t>People have a lot of hate for the French, and I can understand that, but I have to say that in my case, I developed a hatred for Italians. It's like a Spaniard, but at the level of a brother-in-law taken to the extreme.</t>
  </si>
  <si>
    <t>Let’s get into it. In the previous video, we talked about less affluent places, now we’re talking about affluent ones. We’re talking about ultra-Catholic private schools in the center of Madrid, in which I’ve encountered the worst kind of riffraff you can imagine.</t>
  </si>
  <si>
    <t>Once, I think it was around July, there was a French customer. Typical French customer, about 50 or 60 years old, right? His car broke down and he had to contact the insurance in France. And this gentleman didn't speak a word of Spanish, do you know?</t>
  </si>
  <si>
    <t xml:space="preserve">The mechanic just said it like that. Tell that stupid white guy not to worry, his car will be ready by Friday afternoon.
</t>
  </si>
  <si>
    <t xml:space="preserve">Whenever I've filmed any videos in England and come across an Irish person, male or female, the top comment I've always gotten on every video I've filmed there has been "to shit all over England from top to bottom."
</t>
  </si>
  <si>
    <t>So we were out partying, and when we came back, the usual thing—because everywhere, all the bars and clubs close at 2 in the morning. At 2 in the morning, to your damn house. And there they go, the Irish like the Greeks, I mean, they're super drunk.</t>
  </si>
  <si>
    <t xml:space="preserve">Historical accuracy is a bit... Well, I really like it, okay? I love the history of fashion. And I'm kind of like, why isn't that the right thing? Why don't they include the horns? At least they got that right. The things they do include and stuff like that, obviously, they throw historical accuracy out the window. 
</t>
  </si>
  <si>
    <t xml:space="preserve">
Well, before I tell the anecdote, I need to ask you because that's something that's really famous in India, especially about its cuisine, and above all, about the experience of many of my friends who have been there—it's the first time you throw up.</t>
  </si>
  <si>
    <t>These monkeys, which travel in groups of 30 or 40, maybe, would jump onto the embassy area. You see them from afar and say, "joder," what nice guys, like, you'd see the monkeys with mothers and little monkeys attached here, you'd see big monkeys that looked like meatballs, you know? Like, how fat they were.</t>
  </si>
  <si>
    <t>They make the whole show when you order a bottle of Don Periñón or whatever champagne. They're standard Madrid types, I'll tell you. This is capi. There are probably a lot of little Indian Nicoláses [slang for people who act overly posh or pretentious]. There's definitely a lot of Indian Froilán [another slang term for someone acting pretentious or fake]. Yeah, I don't know, I guess it's just seeing things one step at a time, figuring out who has holes [in their pockets or in their reputation] or not.</t>
  </si>
  <si>
    <t>"Women's rights sometimes fall short. It's still common for women to stay at home, take care of household tasks — I mean, that's just the old-fashioned thing."</t>
  </si>
  <si>
    <t xml:space="preserve">Like, don't laugh, because we Spaniards aren't really rocket scientists either, okay?
</t>
  </si>
  <si>
    <t>There are shows that everyone watches, and I really want to know the behind-the-scenes stuff about those characters that air on MediaMarkt.</t>
  </si>
  <si>
    <t xml:space="preserve">
I've been working at MediaMarkt for two and a half years. Luckily or not, that's exactly where I ended up — right in the center of Málaga, specifically in Vialia, where a lot of people pass through and where you find all sorts of riffraff.</t>
  </si>
  <si>
    <t xml:space="preserve">And on top of that, I had the gaming section, especially the keyboards and mice, where the typical little kids would come and mess around with them, those tiny keyboards. 
</t>
  </si>
  <si>
    <t xml:space="preserve">Sure, imagine an old guy, my colleague fighting with him, another guy just behind teasing my colleague because he said his phone wasn’t working and Santa Lucía had told him the repair had to be done by them.
</t>
  </si>
  <si>
    <t xml:space="preserve">He shows up at the door, passing by and saying: “Who’s going to deal with the hot potato?” Because you know, dealing with that guy, right?
</t>
  </si>
  <si>
    <t xml:space="preserve">When I already asked him which bank it was, he started shouting right in the middle of the store, throwing punches. 
</t>
  </si>
  <si>
    <t xml:space="preserve">So how do you get out of that situation? You have to come up with everything you can because the guy’s acting like a crazy goat, throwing punches, and all you want is to get out as soon as possible.
</t>
  </si>
  <si>
    <t>At the store, they told you that you couldn’t get a refund for that kind of problem, but obviously, when someone like that comes in all worked up, you don’t want them hanging around the store causing trouble all day, so what you really want is to get rid of them.</t>
  </si>
  <si>
    <t>People who try to haggle with you, thinking that if you take two laptops, I'm going to, they're going to lower the price. Yeah, as if I were the owner of that store. Bro, if I take these two laptops, how much will you let me have them for?</t>
  </si>
  <si>
    <t>I got confused, I saw the guard standing up, automatically the escalator started, and I saw an older man sitting on the floor next to the guard, bleeding all over. I went into the booth, started taking serum, started cleaning his wounds to check his face. His face was like a Christ.</t>
  </si>
  <si>
    <t>It’s me who gets the blame, because you imagine getting someone else’s ID, processing a loan, and then the person who happens to get approved ends up being the one who gets in trouble.</t>
  </si>
  <si>
    <t>And then there was the typical kid who came with the dad and would get into some trouble because the dad had bought him a Xiaomi, and the kid wanted an iPhone. The dad would look at you and say, “Dude, how much does the cheapest iPhone cost?” And he’d try to make the kid see reason, but the kid was really serious about that iPhone.</t>
  </si>
  <si>
    <t>Damn, for example, it really hurts me. Things like this have always really marked me — that the kid wants it so bad, and the dad has to buy it because otherwise the kid takes the bounce [i.e., gets upset] and causes a real mess. If it were my dad, he’d have already given me a piece of his mind with a cookie [i.e., scolded me].</t>
  </si>
  <si>
    <t xml:space="preserve">
The guy had stolen a Nintendo Switch, PlayStation controllers, and had basically taken around six thousand euros worth of stuff from the store. That little punk looked like he was getting tired of robbing us there, and he wanted to make it a bit harder.</t>
  </si>
  <si>
    <t xml:space="preserve">I wasn’t part of the Apple crowd, nor was I hanging out with Samsung or Xiaomi folks. I did my own thing.
</t>
  </si>
  <si>
    <t>There came a moment when he said, “If things get too hot, blood will end up in the river.” I got really heated up, I slapped the table and told him, “Look, I don’t feel like putting up with you or your nonsense.”</t>
  </si>
  <si>
    <t xml:space="preserve">Today we’re going to talk about that supermarket where you used to go to buy things a year ago because it was cheaper than the copón, and now it’s pricier than the Virgin. 
</t>
  </si>
  <si>
    <t>The truth is, the atmosphere was really nice, and I’ve been really comfortable and really enjoying myself working there.</t>
  </si>
  <si>
    <t>I’ve never seen a more comfortable uniform in my life. Believe it or not, it’s got a reputation for being ugly. No way—awfully ugly, to be honest.</t>
  </si>
  <si>
    <t>You shouldn’t feel ashamed to ask questions, because they ask you every nonsense thing you have to go with absolute audacity.</t>
  </si>
  <si>
    <t xml:space="preserve">The manager of that day at the store went upstairs to check, to make sure everything was okay, and he said: "Damn, I stepped on some crap, but it feels like someone had pooped in the lobby and was jumping forward."
</t>
  </si>
  <si>
    <t>nSo, if someone steals, you already know they did it, and then you see them the week after and you say: \"Watch out for this guy, heee might do the 1314 here.</t>
  </si>
  <si>
    <t>One day a guy comes in and says, “You’ve just been robbed between the counters, because he crawled along the floor behind the counters and the guy stole.”</t>
  </si>
  <si>
    <t>One day they also tried to distract me from behind. They did it the real way, because I didn’t even turn around.</t>
  </si>
  <si>
    <t>I know there’s someone who’s going to steal milk, a package of pasta, rice, water—those people, you know… it doesn’t even bother them.</t>
  </si>
  <si>
    <t>There was a guy picking up things while talking on the phone with one hand, and then he was calmly putting them away with the other. And there was another guy behind him who I suppose doesn’t have as much patience: “Idiot, moron.”</t>
  </si>
  <si>
    <t>At that moment, there was a lady who was almost alone, and, goodness, it affects you a little because it's sad, but we're there in the performance.</t>
  </si>
  <si>
    <t>I don’t get the mindset we have that Mercadona is cheap because they don’t even offer any deals, not even going back.</t>
  </si>
  <si>
    <t>This time, one of my favorite regions, the fish and chips region, the group with those teeth in that way, that bunch of people everyone talks about in their own language, but they don’t speak anyone else’s language. Let’s find out what England is like.</t>
  </si>
  <si>
    <t>I didn’t like the PhD because everyone was precarious, I lost money, and there was this girl who started graduating at 35 years old, because finally her parents had become independent, and I said no, this isn’t for me.</t>
  </si>
  <si>
    <t xml:space="preserve">Biology, Physics, and Chemistry teacher, from the equivalent of second year of ESO to second year of high school. The best of each school. So there you go. 
</t>
  </si>
  <si>
    <t xml:space="preserve">You know, God, they had a couple of brothers who were taking classes, and obviously, they came without knowing any English to get by. Since I was a really friendly, very helpful teacher, the deputy principal told me: “Hey, take those exams with this, translate them and stuff…” I’d just blurt out the answer, what the hell.
</t>
  </si>
  <si>
    <t>The problems are worth points. If you do one thing, you get a point. If you do another thing, you get another point. They give you a lot there.</t>
  </si>
  <si>
    <t xml:space="preserve">Don’t worry, it’s just that they were all taller than me, if that’s even normal. I was really little for them too, and I’d act all upset. 
</t>
  </si>
  <si>
    <t xml:space="preserve">The sons of bitches from my friend are laughing a lot. "So what now, huh? So much that you wanted to be there, where the people were really polite. Take that."
</t>
  </si>
  <si>
    <t>I haven’t had a fight with these ugly British women. Because they slipped through my fingers at the stupid Tesco.</t>
  </si>
  <si>
    <t>And I also had a family of French people. I'm going to speak up in favor of the French. The French were really attentive. The French take care of each other a lot, like a beehive.</t>
  </si>
  <si>
    <t>We used to have kind of an AMPA night every end of term. It went a bit like on a conveyor belt. We stayed in our seats, and the parents came one by one. It was a girl who was into humanities' turn.</t>
  </si>
  <si>
    <t xml:space="preserve">
It was her turn, she explained it to the father: She got a 4, but we're going to try to get her to pass next time, you know. And she crossed her face in front of me at the girl. It felt like seven curses went through my body.</t>
  </si>
  <si>
    <t xml:space="preserve">She had the guts to hit her daughter in front of a teacher. Drunk as a barrel.
</t>
  </si>
  <si>
    <t>My subdirector was a retired ex-military guy with a PhD in Shakespeare and redder than a red pepper.</t>
  </si>
  <si>
    <t>My favorite phrase would be: "What we have done, something you didn't do, is to deceive people." It's amazing, for real, dude.</t>
  </si>
  <si>
    <t>Dude, who taught you Spanish to speak so well?</t>
  </si>
  <si>
    <t>"Do you like Spanish music? Yeah, Canto del Loco, Amaral, La Oreja de Van Gogh. This is really strong, dude."</t>
  </si>
  <si>
    <t>As a Japanese person, don’t you think it’s kind of weird that practically everyone is all over Japan these days?</t>
  </si>
  <si>
    <t>In fact, in 2022, when the Olympics were here in Japan, I saw Kureha, and I dropped a line from Mariano Rajoy. And he laughed his head off.</t>
  </si>
  <si>
    <t>Exactly, for them, the idea of Spain is: beach means sun, sangria means party, paella and bullfighting. That is, if you show them a photo of Asturias or Galicia, they get confused and say, “No, this isn’t Spain.”</t>
  </si>
  <si>
    <t>So that later they come to Mallorca, buy a house, and there's a neighborhood in Mallorca where everything is written in German. It hurts me to say this, because I say: Come on, no, these are stereotypes, let's break the stereotypes, but it's just that they can't.</t>
  </si>
  <si>
    <t>And damn it, my colleagues who are at a Gymnasium tell me: Oh, come on, mine are all from eight German surnames. Christ, you're not kidding.</t>
  </si>
  <si>
    <t>And it makes you think: If this separation is supposed to be because they perform better or worse, then why the hell do I have kids in my class who are total hard workers yet aren’t very smart? When you’re academically brilliant, it’s because you’re just a dumbass.</t>
  </si>
  <si>
    <t>You see, of course, kids are a well of surprises.</t>
  </si>
  <si>
    <t>A child saw me and said: “Are you married? Do you have a partner?” Well, he said, “You don’t care. You’re in Spanish class.”</t>
  </si>
  <si>
    <t>And I said, “But how dare you call her that? Don’t even think about calling me that—I’m not a dog.”</t>
  </si>
  <si>
    <t>If they see something's bothering you, instead of stopping, since they're such jerks, they're just going to make it worse.</t>
  </si>
  <si>
    <t>Well, nothing, if I ended things just a little while ago, we were arguing about this even a week before I ended it. And he started doing it, and then others also started doing it. And obviously, it's like nonsense spreads.</t>
  </si>
  <si>
    <t xml:space="preserve">Yeah, I talked to the ones at the Gymnasium, and they said to me: “Hell, that never happened to me. You go out there and get slapped in the face with an open hand and all sorts of stuff,” they told me.
</t>
  </si>
  <si>
    <t xml:space="preserve">
When you combine problematic with problematic, all you're going to end up with is more problems. It's a segregation system that's crazy.
</t>
  </si>
  <si>
    <t>So if you take it that way: "Well, of course, it's just a state school, so then you're not so smart?" You're already kind of putting the kid in a category, aren't you? Like, you're here because you're not so smart, then. Meritocracy at 12 years old, touch your balls.</t>
  </si>
  <si>
    <t>I had it all idealized when I came here, because they sell you the whole thing – you'll find a job because there was a lot of job offers, I don’t know what.</t>
  </si>
  <si>
    <t>And, well, that—that not everything that shines is gold.</t>
  </si>
  <si>
    <t>It's been a shock, but it wasn't that bad because I've lived abroad, I speak English well, so it didn't take me too long to adjust. It was still a bit tough because my high school is really chaotic — they tell you everything for today and then tomorrow, like, the organization is basically non-existent, so that's what cost me the most.</t>
  </si>
  <si>
    <t>And on the first day of class, of course, they push you so hard and you have to act like it's all real, so you don’t even get to skip one thing right away — you’re just super, super, super, super, super over it.</t>
  </si>
  <si>
    <t>I’m going to take a detour here. It also happens to me because I say “America.” Actually, I mean American citizens. Then people from Latin America come along and say, “Excuse me, you’re a total idiot because America is everything, not just those stupid Yankees.”</t>
  </si>
  <si>
    <t>Yeah, it's true that last year there was a student who always challenged me. I’d give homework, and she’d always have to argue about everything, I don’t know why. And on top of that, she was one of those students who was always missing class. Well, I’d already had some arguments with her, and she always argued with me.</t>
  </si>
  <si>
    <t>What I was telling you before—that my perspective has shifted a bit regarding grades—is because you really see everyone's background, and what you realize is that it doesn't matter to them. In the end, they have to carve out a life, and their life is outside of school. In the end, they leave here around 7 PM and go to work until midnight.</t>
  </si>
  <si>
    <t>And there have been a lot of deaths like that because of a fight on the street—because of an argument, when leaving a bar of drinks, *pam, pam*, in the end someone dies because they pulled out the gun.</t>
  </si>
  <si>
    <t>When you run a campaign, obviously, you always go for content creators or celebrities, whether it's a footballer, musicians. And for a campaign we did with Exhibit, a very famous rapper who’s more known for tuning cars, we did a really cool campaign with him, the awesome guy, he was great, but damn, he asked for a bag of marijuana.</t>
  </si>
  <si>
    <t xml:space="preserve">
Well, it's just that in the ads, the whole drug thing is pretty interesting, isn't it? Jeez, until you actually meet people who really do it every day, you don't get how it really works, because a lot of people think they're rockstars,</t>
  </si>
  <si>
    <t>One of the things, man, that really stuck with me, they say you discover it a bit when you grow up, but in this world more than that, everyone is on drugs.</t>
  </si>
  <si>
    <t>I was starting as an intern right on the anniversary of an agency, they rented a bar, dressed everything up like gringos, Latinos, this whole act. And dude, I, obviously, was my first day.</t>
  </si>
  <si>
    <t xml:space="preserve">I used to work in a building, in a multinational. They released a statement, an agency full of all super posh people and all super money-makers, and here we were all the worst, because there was a total idiot, dude, an idiot outside the toilet.
</t>
  </si>
  <si>
    <t>And it really pissed me off when I got into the industry, because it's an industry I feel is very classist. It's not just about who you work with or anything like that, but also about access. Christ, if you live in Madrid or Barcelona, which is where everything is, when you have to come here, dude, you have to do a master’s degree, which is actually one that was pulled out of nowhere.</t>
  </si>
  <si>
    <t>It's not just about being the most talented, having the best ideas, or being the best at designing or writing. You have to have a financial lung from your parents or guts to work. Weekends doing something else, looking for freelance work on your own and getting paid under the table, and making a living.</t>
  </si>
  <si>
    <t>Hi, I'm Claudi, and yeah, I do work at Starbucks where you pay 37 euros just because they take out one of your kidneys and say your name. And on top of that, we don’t even write it down anymore.</t>
  </si>
  <si>
    <t>I'm going to open a watermelon. In your videos, the French are criticized a lot. I'm here today to defend them, dude. They're the least annoying ones.</t>
  </si>
  <si>
    <t>It was morning, but I’m talking to you at 7:30. We saw a girl and a young guy walk in. They stood right in front of the bar and started flirting, giving each other some nice kisses, and we were saying, well, okay, that’s fine.</t>
  </si>
  <si>
    <t>So, obviously, a woman suddenly approached us at the sink and said, “I want a complaint form, you’ve got a broken soap dispenser.” And of course, we started talking to her, I let her stay there by the sink to wash her hands, nothing happened. She kept saying “no, no, no.”</t>
  </si>
  <si>
    <t>Really, during those 2 years I’ve been there, I was completely a different person. I lived in bitterness every day. It really gets to you when people treat you so badly, so badly, so badly.</t>
  </si>
  <si>
    <t>So I went there, looking at the apartments — it was maybe like a basement that was a total mess, with dampness and just one filthy room. Each one cost a thousand euros. I really pleaded with the people at the housing office. There might be a place, but you have to share it with five Israelis. I’m going to end up laughing at myself.</t>
  </si>
  <si>
    <t>And he takes us like to a room, maybe a group of 10 men sitting around, sits us down and says, "Ask whatever you want." And we spent like two hours talking about Islam, asking him questions, about what he thinks of heaven, of Islam, of Christianity—oh, I've heard about this, what do you think about that guy? Of course, then we left with this guy, because after two hours of talking we became friends, I have a photo here with the Polaroid, all in one shot.</t>
  </si>
  <si>
    <t xml:space="preserve">There was this girl, this chick was from the UK, and her family was super religious, like super religious in the most extreme, Protestant way. The typical stuff—long skirts all the way down to her ankles, never done anything with anyone, you know.
</t>
  </si>
  <si>
    <t>And how was Cairo? It's really cool, like the pyramids you mentioned, God, it's probably the weirdest thing in humanity.</t>
  </si>
  <si>
    <t>We did a 14-day trip. We were heading to Urgeida, and there was this really random guy who started following us. I don’t even remember his name.</t>
  </si>
  <si>
    <t>Yeah, it's true that maybe with Israeli people—obviously me, a lot of my friends from there, you know, they're Jewish and not Israeli, and everything's totally fine, and they're good people—but yeah, it's true that maybe the general feeling, especially at first, is like they were sometimes... not disrespectful, but they looked at you like from above the shoulder.</t>
  </si>
  <si>
    <t>I left Jerusalem around July 2023, and there were a lot of heavy tensions. Maybe they launched five thousand missiles over Tel Aviv in one day, which they never do to Tel Aviv. Of course, I remember many times when maybe I was where my jeweler was, because I had a jeweler in Jerusalem, and the guy was really on edge.</t>
  </si>
  <si>
    <t>Sure, I remember many times that maybe I was where my jewelry box was, because I had a jewelry box in Jerusalem and the uncle was really messed up.</t>
  </si>
  <si>
    <t xml:space="preserve">Keep in mind that military service is mandatory for both men and women. It's like, of course, you imagine giving an 18-year-old an AR-15 and telling him, "Hey, you're going to dress up like this outfit and strut around like a peacock in front of all your colleagues, defending the promised land because you're God's messenger."
</t>
  </si>
  <si>
    <t>At the checkpoints, obviously, everyone was my age and it's not like the military service in Finland. Yeah, yeah, it's not the army. I mean, they pick you up and send you to Lebanon.</t>
  </si>
  <si>
    <t>It's interesting because I was previously in another escape room, which I saw an offer for on Instagram for an escape room that someone had made, that I had played, and I said, well, if you're going to be lost, why not go to the river? Why not?</t>
  </si>
  <si>
    <t>But what really amuses me, like, are families. That's the hell of it.</t>
  </si>
  <si>
    <t xml:space="preserve">There's a dead body, like, I don't know what, I don't know how many, we have to get rid of the worms… There's a key moment, one of tension, and my partner or whoever was playing the bad cop, said, “Come on, I’m gonna send all of you to hell.” 
</t>
  </si>
  <si>
    <t>You're watching the escape room and you can see all kinds of people, but how does a cani work? A group of canis that are there.</t>
  </si>
  <si>
    <t>When I was 12 years old, my dad was looking for work, and the usual thing was to send out all the job applications and see what came up. And he got one, and they said, “Okay, now we have to try.” And what was the job? Bridge engineer. Oh man, what a cool job!</t>
  </si>
  <si>
    <t>A person who hadn’t left Albacete ends up on a 12-hour flight full of Vietnamese people. Well, I mean, Vietnamese people—I had seen very few Vietnamese people in my life, probably. Listening to them talk was mind-blowing, like they were speaking in colors.</t>
  </si>
  <si>
    <t>And your teacher is still around there? I think he already retired because he had been working there for a lot of years, kind of like teaching in a bunch of schools all over the place.</t>
  </si>
  <si>
    <t>Once there was a woman who started staring at the glass, grabbed my arm, and asked me why the Romans built downward. People laughed their heads off.</t>
  </si>
  <si>
    <t>Well, there were the gargoyles on the churches, like, like, like, like. There's a church in Barcelona called Santilli Pereri, which is a beautiful church, that was bombed during the Civil War.</t>
  </si>
  <si>
    <t>There are a lot of people who think here in Spain that we're taught that Columbus was a savior, and bla, bla, bla. When they come here, I think they do it in good faith, as if they want to completely change that view.</t>
  </si>
  <si>
    <t>Parents or moms who come to visit their kid here in Barcelona are doing a tour with them, and maybe they haven't seen their kid in a year. They're pumped because they see what the kid's accomplishing and they see that they're in a cool spot.</t>
  </si>
  <si>
    <t>There have been thefts on the tours. That's another topic we can bring up.</t>
  </si>
  <si>
    <t>It really gets frustrating because in the end, what you want to do is give a cool 2-hour tour explaining the history of Jews and Christians, I don’t know, anything, and then people look at you like, “Oh yeah, but you’re a young Catalan independence activist,” so it’s a little hard to shake off that st</t>
  </si>
  <si>
    <t>But does Antonio Gaudí still live? A big deal they asked you if he's still alive.</t>
  </si>
  <si>
    <t xml:space="preserve">One of the things I like is historical architecture. I always associate it with cathedrals. It’s like a magnet for those history buffs who stand in front of a façade and say, “This is Romanesque, this is Gothic, this has it all.”
</t>
  </si>
  <si>
    <t>Then there are more "normative" families, let's say, who are trying to get the best they can, but they end up in those schools, in that contrast of super good, super beautiful kids. There's no middle ground there.</t>
  </si>
  <si>
    <t xml:space="preserve">
In their homes, they have zero education, no limits at all, and if a teacher just says, "sit down, open your book," they see it like, "I'm here because I'm forced by the law."</t>
  </si>
  <si>
    <t>As a priority in those kinds of schools, you just want the kid to be there from 9 to 2 and for nothing serious to have happened, so the kids can leave school happy.</t>
  </si>
  <si>
    <t xml:space="preserve">Have the bigger kids ever messed with you? They mess with you knowing they're messing with you.
</t>
  </si>
  <si>
    <t>I take the same route home many times, usually accompanied by kids because I pass through the neighborhood. And the kid walks in, "Goodbye, teacher," then goes into his house, which is a basement with the door left open.</t>
  </si>
  <si>
    <t>And then there's a fifth-grade class that would be PE or whatever, and this kid who I don’t even talk to, he just says to me, "If I were you, I’d keep your phone." And I get really taken aback—not because, damn, they’re going to steal it from me—but because how accepted you have to think stealing is to recommend to someone like a prospect, "keep it, because they’re going to steal it from you, I don’t know why."</t>
  </si>
  <si>
    <t>The thing is, they don't like school. I can imagine a kid like that saying, "I want to study a degree," and the parents saying, "You're an idiot, you're going to start working with me as soon as you're old enough."</t>
  </si>
  <si>
    <t>It was really exaggerated, but the families themselves have to leave the neighborhoods because they have problems. Not the kids, but the parents with other families. And they change schools, the kid already, so whatever they’ve minimally learned, now it gets reset.</t>
  </si>
  <si>
    <t>Do you need some f***ing educational method to at least save a few of that s***, or are you just supposed to give up? You're already there—just by being born in a place, you're doomed.</t>
  </si>
  <si>
    <t>He cheated on me, he's such a jerk, he went off with three from the same class, he went off with the one from fifth grade and the younger one, these things happen at school.</t>
  </si>
  <si>
    <t>I had a real big problem with a parent, but it wasn’t during a tutoring session. Because parents come looking for problems.</t>
  </si>
  <si>
    <t>I’ve set myself the goal of finishing these years and saying, there’s less unemployment because employment has helped make matches. There’s a company, there’s someone who needs a company—just with that, I think I’d already have enough to fill up my work schedule.</t>
  </si>
  <si>
    <t>I’d really like to find myself in a situation like when you enter a company and you get… the onboarding process… a document with all the projects, what’s pending, what’s left, what budget I have…</t>
  </si>
  <si>
    <t>"Tell me some wild stories they’ve told you, dude. Out of the blue, your neighbor from the fourth floor grabs you and starts giving you a slap that’ll make you crap your pants."</t>
  </si>
  <si>
    <t>You still get that neighborhood, community vibe here. I know my neighbor across the street, I don’t know what, I don’t know what, I don’t know how much. That kind of thing doesn’t exist in Madrid. And at the same time, it exists even less in other places.</t>
  </si>
  <si>
    <t xml:space="preserve">One of them, for example, was called "El Patillas"—I don’t know why they called him that, because he didn’t even have a mustache. He was an older guy with a lot of bad temper. He came with his cane and always went through the self-checkout counters. 
</t>
  </si>
  <si>
    <t>Same thing. You'd run into the lady who said she'd been buying here for 50 years, but then every time she came, she'd ask you where the eggs were… total drama, dude.</t>
  </si>
  <si>
    <t xml:space="preserve">In the end, it's supposed that you can't insult people because it looks bad, although I have to admit that sometimes I've been called a jerk. And I've also called people a jerk too.
</t>
  </si>
  <si>
    <t>No, I also admit that I’ve gotten pretty angry a lot of times and haven’t actually hit him, because believe me, one day they almost had to separate us, because he said he was going to hit me. And I told him, "Do it, yell at him and insult his wife."</t>
  </si>
  <si>
    <t xml:space="preserve">It was once a woman, and she had a shopping cart completely full. I went through it like that, and she started talking to me in a rude way, saying she needed another cart. Well, go and get it, right?
</t>
  </si>
  <si>
    <t xml:space="preserve">It's a supermarket like Mercadona, like Carrefour, like Lidl, or like Día. We're not talking about the top management, where the salespeople have to try too hard to please you because they need to sell and earn commissions. 
</t>
  </si>
  <si>
    <t>But then the next coupon I passed didn’t go through because they had raised the plastic bags and the plastic bags didn’t count. So, obviously, we had to cancel the whole purchase, start all over again, and she got really upset.</t>
  </si>
  <si>
    <t>My mom has a huge laugh at my expense, telling me I came back acting like a duck.</t>
  </si>
  <si>
    <t>They hate it less when you speak Spanish to them than when you speak English. They have a grudge against the English.</t>
  </si>
  <si>
    <t>For example, yes, they made me talk a little about the civil war or a class where I had to talk about the Valencia flood. And obviously, I was talking about something that for me could be a bit tough, and there was a kid sitting next to me who kept messing around and picking on you, so for me that was horrible.</t>
  </si>
  <si>
    <t xml:space="preserve">There were a lot of people who used to tell me they wanted to come on vacation to Spain. And I’d tell you at the airport, when they ask you, say you’re going to Portugal. And they never caught on to the story.
</t>
  </si>
  <si>
    <t>They gave me a hard time about the whole boyfriend thing. A 13-year-old kid who left me shaking.</t>
  </si>
  <si>
    <t>But there came a moment when I was walking into class and all of a sudden I saw 4 or 5 of my students with their faces completely covered in pencil marks. My first thought was, "This is crazy."</t>
  </si>
  <si>
    <t>One of the really nice things about that age is the romantic flings. Ugh, what a mess! There were some mixed-gender showers at school. I never went into those showers. There were some on the ground floor. I’m scared of what I might find in this bathroom.</t>
  </si>
  <si>
    <t>And I'd spend an entire weekend preparing classes, working hard, making PowerPoint presentations, and setting up escape rooms, only for five or seven students to fall asleep, three not to listen, and two to completely ruin the class.</t>
  </si>
  <si>
    <t>So, I arrived and for seven straight days I was out partying nonstop, without exaggerating. And of course, people were shocked, like, what the hell's wrong with her? And the people were super cool. The guys from my apartment, Spaniards. The others, not really.</t>
  </si>
  <si>
    <t xml:space="preserve">Kit Kat is a club where basically you go to have sex. I mean, people go naked, they really go all the way, obviously, but inside the decoration is awesome, right? 
</t>
  </si>
  <si>
    <t>It's not about the crap anymore, it's not about the tourists anymore—it's about the vibe in the city center at night. From the NPCs who rap with the mic in a flashy way, no, me, the red-haired girl, I don't know what, there's Michael Jackson guy, who looks like he's got it down to a T. He's the kind of person who looks like something's off, wearing that white glove and doing the walk backwards.</t>
  </si>
  <si>
    <t>Here's where I saw a super friendly camera. What happens is, if you mess with me, brother, there were people who would say, no, but give me the longest glass.</t>
  </si>
  <si>
    <t>And in the end, the center is packed with tourists in general, which I also understand brings in money and that’s what feeds us, but we should also take ownership of our own space and enjoy it.</t>
  </si>
  <si>
    <t xml:space="preserve">Brother, taking out your dick and peeing on the bar. Plus, it was an L-shaped bar, and he peed right where I could see his dick. I mean, brother, I saw a dick peeing. 
</t>
  </si>
  <si>
    <t>I get what you're saying, about the big mess on the toilet. I mean, you're saying that this diarrhea, this pa-pa-pa-pa-pa-pa all over the toilet I was talking about, you had to get your back dirty.</t>
  </si>
  <si>
    <t xml:space="preserve">There's an outdoor area with paddle tennis, then there's the typical regular gym, a section of the gym adapted for spinning, I mean, all bikes, like, you know? These f***ing crazy people going pum, pum, pum, at full speed, what do you think, damn, how much they want to do it at 9 in the morning.
</t>
  </si>
  <si>
    <t>I’m not really shocked because I’ve worked almost two years at a Burger King too. The Burger King bathrooms are like a sort of military for this. I mean, like going to Afghanistan, yeah, but I’ve already seen everything.</t>
  </si>
  <si>
    <t>There's this thing I call the volcano, which is when a toilet gets clogged, like with diarrhea, hey, it's a total pain. You have to be really fucked up inside.</t>
  </si>
  <si>
    <t>And I have a car with a dirty water bucket and a clean water bucket. She comes out of class, drinks some, there's a little bit of water left, and instead of throwing it away, going to the sink and throwing it because it would weigh her down or whatever, she does this, *click, click, click*, and empties it into the clean water bucket.</t>
  </si>
  <si>
    <t xml:space="preserve">So I've let go of things that just didn't do me any good, and especially the mindset that so many people have—that they're going to reach their dream job or get a job that gives them a lot of money. I think it's more important than even money or your dream job to find a job where you feel comfortable. It can be something that's neither fun nor bad, you know?
</t>
  </si>
  <si>
    <t>This came up because later… the guy was wearing gel in the pool, bro. The guy was wearing gel in the pool, I told my buddy, I gave him two elbows and said, bro, he’s wearing gel.</t>
  </si>
  <si>
    <t xml:space="preserve">"Translate this literally, if they don’t even know Spanish, spending their summer in Spain, let alone English, which is the international language, tell them to go to Bordeaux and have a glass of wine. And my partner said that. I’m getting back at what Pepe Botella did, that is."
</t>
  </si>
  <si>
    <t>Obviously, a little bit of showing off now and then. A little bit of telling you that you went on vacation to such-and-such place. It’s just that a nice photo doesn’t hurt anyone. You don’t have to avoid taking photos.</t>
  </si>
  <si>
    <t>She left everything full of sand and kept insulting me, dude. Tired of her shouting, I asked her to leave. And security had to come and tell her to go or stop yelling. They take her to a center where there’s no longer my brand, and there, obviously, since it’s not hers, they don’t bother, they see the receipt is from another center, pim pam, then they send it over as a transfer, and the product arrives, and it’s a mess.</t>
  </si>
  <si>
    <t>A lot of the time, it's animals — dogs chew up the fiber cable and you end up paying 60 bucks for that. Once, I also had one that was super upset, like, I called them to let them know I was coming, and they started getting really annoyed, like we’d been waiting for ages, I don’t even know how long.</t>
  </si>
  <si>
    <t>He says, uh, and it’s that you can’t even set up Wi-Fi on your phone. It really worries me when they give you your phone, because a lot of times you have to go into the browser and you end up finding weird stuff.</t>
  </si>
  <si>
    <t>Also, people who are in Gibraltar pay less. That’s for the English, for someone who’s from here, works there, they’ll kill you. I do both declarations. When I was working at the McDonald's in Gibraltar, I paid 760 euros in taxes.</t>
  </si>
  <si>
    <t>The problem is at the beginning when I started, because there are things they ask you and you say, “what the hell is he asking me?” Like some nuggets, some fries, a regular Coke, a cheeseburger without cheese and without onion.</t>
  </si>
  <si>
    <t>Yeah, yeah, I’ve had some. Well, well, I don’t know what to tell you, because I had absolutely no idea what they were saying.</t>
  </si>
  <si>
    <t>An older lady called me and said, “The card they stole from me at a bar, I don’t know what, bla, bla, bla.” It’s that I went to pee and when I came back, it wasn’t there anymore.</t>
  </si>
  <si>
    <t>Scams. And you have to be really careful because they're really fucking annoying, right? At first you might say, "Well, this one just targets fools, right?" Because the difficult ones don't work.</t>
  </si>
  <si>
    <t>Even the tax agency calls you. A few years ago, they used to call people pretending to be the Universal Basic Income tax agency. They’d ask people to send a 100 euro mobile money transfer to a certain number to verify they were real. Of course, then neither the income nor anything else happened.</t>
  </si>
  <si>
    <t>He says, "This phone is paid." I tell him, "No, sir, it's not paid. It's free." He insists, "No, sir, it is paid." I mute myself and hear him say, "That subnormal person doesn't even realize anything." I unmute and tell him, "Well, sir, what he's going to do is look for another subnormal person who does know something, huh?"</t>
  </si>
  <si>
    <t xml:space="preserve">I tell it like that and say, jajaja, what a joke, because in reality you're not doing anything wrong to them, you're just changing their light. I mean, you're not exactly giving them their life mortgage. 
</t>
  </si>
  <si>
    <t>Raquel stayed in our hearts on this channel. And every two out of three people who have watched the video again, or new people who discovered the videos, say, "When is this little girl coming back?" She's back.</t>
  </si>
  <si>
    <t>It's just that I haven't stopped traveling. Now you're traveling to Burgos. Besides traveling to Burgos, it's cool that you're amazed, right? The area where I work is really nice.</t>
  </si>
  <si>
    <t>We went to see a guy, a British couple, really cool people, in the most rural part of the rural areas of Burgos. They’d been living there for ages.</t>
  </si>
  <si>
    <t>You see everything—you go to Fulanito's house, you see the conditions he lives in, if he's alone and his kids are somewhere unknown, he can't take care of himself, and the house is in no particular condition, and you see it.</t>
  </si>
  <si>
    <t>So, if you go around asking, like, hey Eugenia, yeah, well, she's been coming alone for a while, or she's looked more tired lately, or she has an identity, a circle that identifies her and takes care of her somehow. And in the city, I think we're all more anonymized. In the city, we're like NPCs.</t>
  </si>
  <si>
    <t>Spending time to build that connection with your surroundings is also really important. We don’t highlight it enough in a way like, “Wow, how cool, they’re going around the world, that’s amazing, that’s a total blast!”</t>
  </si>
  <si>
    <t>I already had my dream since I was 12—basically being an asshole otaku, but a real pain in the ass. But obviously, from 12 to 22, you say, how the hell am I going to Japan?</t>
  </si>
  <si>
    <t>Japan, I stuff it up the ass. I mean, Japan is the worst shit I've ever gone through in my life. But both the good and the bad, right?</t>
  </si>
  <si>
    <t>They’re completely obsessed with money and all that stuff, thinking they’re asking us how much we earn. He writes it down on a piece of paper, like, “your salary,” I don’t know how much you’ve earned. And I’m like, kid, you’re just a 10-year-old, do you know what I’m saying, brother?</t>
  </si>
  <si>
    <t xml:space="preserve">
Well, now you can see us like this, in all our glory. Every day when I go to work, I have to take off my stuff and hide my septum. I have to wear these belts. I mean, act like you're living your best life pretending. Like, semi-formal clothes, I don't know what.</t>
  </si>
  <si>
    <t>Well then, you have to play a mental trick on the one who likes to make things up and tell her it was really an accident so she doesn’t find out and tell her mom they fought, because otherwise the other kid is going to have a bunch of consequences.</t>
  </si>
  <si>
    <t>It's all really magical. Also, super top secret. They take the whole thing very seriously when it comes to workers not posting anything on social media.</t>
  </si>
  <si>
    <t xml:space="preserve">
The conditions are really good. This is exclusive for workers. Look at what kind of merchandise there is. It's this little jacket you see like that and you say it's okay.</t>
  </si>
  <si>
    <t>They’re so proud of the French. France is the best, the French are the best, French cuisine is the best—and I’m taking a dump on French cuisine.</t>
  </si>
  <si>
    <t xml:space="preserve">Look, my name is Ivan, for everyone who doesn't know me. And as I've already explained perfectly, I've worked by talking badly and quickly, annoying people in order to try to get them to accept some colleague going to the house.
</t>
  </si>
  <si>
    <t>I turn around and there he is, with his hand like that, and he’s got this damn green parakeet, dude. It fell out of a tree. I say, well, that’s it. From the vet. I open its wing, start looking at it. And now I say, dude, what the hell do I do with this damn parakeet, dude?</t>
  </si>
  <si>
    <t xml:space="preserve">
But dude, they had to call my mom. Because on top of that, when my mom was on vacation for one day, dude, I had to give her the third degree, dude. They even took away my damn Red Cross ID badge, dude.
</t>
  </si>
  <si>
    <t>The Red Cross said they were going to file a complaint against the police on my behalf, I don’t know what for. Then the police apologized. Another weird move, man. Damn this gypsy life I’ve got, let’s go.</t>
  </si>
  <si>
    <t>That day I broke the half-Spain record for the Red Cross, I think, dude. 218 coupons in one day. Like, it seemed that way, dude, full of cars, I mean, bro, dude, here everyone spends more money. And me, well, depending on the place, I have a speech.</t>
  </si>
  <si>
    <t>There's all kinds. There are owners who don't care at all, they just want to get the maximum return. But I also have owners who are very careful about who they let in, they talk to them before accepting or have pretty strict criteria. For example, I have one who only accepts families with good reviews.</t>
  </si>
  <si>
    <t>Or there's also the typical person who says "no, no, I don’t want tourist traps, I want a real experience here." And you see them and say, "You don’t know what you’re asking for."</t>
  </si>
  <si>
    <t xml:space="preserve">
It's a mess. In short, you can't get involved with any passenger, you can't have any kind of relationship. And I thought that was pretty much prohibited.</t>
  </si>
  <si>
    <t>People have a lot of hate for the French, and I get it, but I have to say that in my case, I developed a hate for the Italians. It's like a Spaniard, but at the level of a brother-in-law, like at maximum.</t>
  </si>
  <si>
    <t>Let's open that watermelon. In the previous video we talked about less affluent areas, now we're talking about more affluent ones. We're talking about ultra-Catholic private schools in the center of Madrid, where I've come across the worst kind of riff-raff you can imagine.</t>
  </si>
  <si>
    <t xml:space="preserve">Once, I think it was around July, there was a French client. Typical French client, around 50 or 60 years old, right? His car broke down, and he had to contact his insurance in France. And this guy didn’t know a single word of Spanish, you know?
</t>
  </si>
  <si>
    <t xml:space="preserve">
The guy from the workshop just told me exactly like that. Tell that damn foreigner not to worry, his car will be ready by Friday afternoon.</t>
  </si>
  <si>
    <t xml:space="preserve">Every time I’ve filmed a video in England and run into an Irishman or an Irishwoman, the star comment that they’ve always given me in all the videos I’ve filmed there has been to shit all over the dead of England from top to bottom. 
</t>
  </si>
  <si>
    <t>Well, we were out partying, and the usual thing — because everywhere, all the bars and clubs close at 2 in the morning. At 2 in the morning, to your damn house. And there they go, the Irish, like the Greeks, I mean, they’re super smashed.</t>
  </si>
  <si>
    <t xml:space="preserve">
Historical accuracy is kind of... Well, I really like it, okay? I love the history of fashion. And I’m pretty much like, why isn’t that done correctly? Have they done anything good by not adding horns? At least they got that right. The things they include and all that, obviously, they take historical accuracy a bit too far.</t>
  </si>
  <si>
    <t>Well, before I tell you the story, I have to ask you something because it’s something that’s super famous about India, its cuisine, and especially the experience of many of my friends who’ve been there—it’s the first time you throw up.</t>
  </si>
  <si>
    <t xml:space="preserve">
These monkeys, which travel in groups, maybe 30 or 40 of them, would jump into the embassy area. You see them from far away and say, damn, how cute they are, like, you'd see the monkeys with mothers and little monkeys attached here, you'd see big monkeys that looked like meatballs, you know? Like, how fat they were.</t>
  </si>
  <si>
    <t xml:space="preserve">They treat you differently, both good and bad. They assume you're upper class, they assume you have money, so sometimes they see you as a wallet with legs.
</t>
  </si>
  <si>
    <t>They put on the whole show when you order a bottle of Don Periñón or whatever champagne. That’s standard Madrid, by the way. This is capi. There are definitely a lot of little Indian Nicoláses around. There’s a lot of Indian Froilán too. Yeah, I don’t know, I guess it’s just seeing one step at a time, seeing who has holes or not.</t>
  </si>
  <si>
    <t xml:space="preserve">
Women's rights sometimes leave much to be desired. It's still common for women to stay home and do household chores—that old-fashioned stuff.</t>
  </si>
  <si>
    <t>A ver, don't laugh, because we Spaniards aren't really rocket scientists, okay?</t>
  </si>
  <si>
    <t>translation_salam_baseline</t>
  </si>
  <si>
    <t>translation_salam_fewshot1</t>
  </si>
  <si>
    <t>translation_salam_fewshot2</t>
  </si>
  <si>
    <t>translation_salam_CoT1</t>
  </si>
  <si>
    <t>translation_salam_CoT2</t>
  </si>
  <si>
    <t>There are places that everyone goes and I really want to know the ins and outs of the characters who must go to MediaMarkt.</t>
  </si>
  <si>
    <t>I worked in MediaMarkt for 2 years and a half. Luck or misfortune, I was just in the center of Malaga, in Vialia, where a lot of people pass by and where all kinds of riff-raff are.</t>
  </si>
  <si>
    <t>And then I had the gaming part, especially the keyboards and mice, where the typical kids would come over to play with their little keyboards there.</t>
  </si>
  <si>
    <t>Of course, you can imagine an old man, my colleague fighting with him, another man just behind insulting my colleague because he said that the phone was going bad and Santa Lucia told him that the repair had to be done by them.</t>
  </si>
  <si>
    <t>The kid comes through the door, passing and saying: "Who's got the hot potato? Because you can imagine, holding that guy, it's a real pain</t>
  </si>
  <si>
    <t xml:space="preserve">When I already asked him what bank it was, he started: "And why do you want so many data?" Screaming there in the middle of the store, hitting him.
</t>
  </si>
  <si>
    <t>What do you have to do there? You have to come up with everything you can because the guy is going crazy hitting you and you just want to get out as soon as possible.</t>
  </si>
  <si>
    <t xml:space="preserve">People who try to haggle with you, they think that if they take 2 laptops, the price will go down. Indeed, as if I were the owner of the store. Brother, if I take these 2 laptops, how much do you leave me?
</t>
  </si>
  <si>
    <t>It caught my eye, I see the guard getting up, the escalator stops automatically and I see an older man sitting on the floor next to the guard, dripping blood. I went into the room, started to get saline, started to clean his wounds to see how his face was. His face was a mess</t>
  </si>
  <si>
    <t>The one whose hair falls out is me, because imagine that you get the DNI of any person, you process a financing and if by chance it is accepted, the one who gets into a mess is the other person</t>
  </si>
  <si>
    <t>And then there was the typical child who came with the father and got into a tizzy because the father had bought him a Xiaomi and the child wanted an iPhone and the father like looked at him and said: "Hey, what's the cheapest iPhone? And as he tried to show the child, but the child was by God that it was an iPhone.</t>
  </si>
  <si>
    <t>Damn it, for example, it hurts me. That kind of thing has always marked me a lot that the child wants it for cojones and the father has to buy it because if not the child gets angry and makes a big mess. If I were my father, I would have already crossed my mouth with a good slap</t>
  </si>
  <si>
    <t xml:space="preserve">The guy had stolen a Nintendo Switch, Play controllers, and had stolen about six thousand euros worth of stuff in the store. The very dimwitted one saw that he wouldn't be getting away with it and wanted to make things a little more difficult.
</t>
  </si>
  <si>
    <t>I wasn't going with an Apple badge, nor was I going with the Samsung companions, nor was I going with the Xiaomi companions. I was on my own.</t>
  </si>
  <si>
    <t>There came a moment when he said to me: If at the end the blood is going to reach the river. I got angry, gave him a slap on the table and told him: Look, I don't want to put up with you or your silly things.</t>
  </si>
  <si>
    <t>Let's talk about that supermarket where you used to go shopping a year ago because it was cheaper than the copon and now it's more expensive than the Virgin.</t>
  </si>
  <si>
    <t>The truth is that the atmosphere was super pleasant and I was super comfortable and at ease working there.</t>
  </si>
  <si>
    <t xml:space="preserve">You shouldn't be ashamed of asking, because they ask you every silly thing that you have to go with absolute shamelessness.
</t>
  </si>
  <si>
    <t>The manager of that day's store goes upstairs to check that everything is correct and comes down and says to me: "Fuck, I've pissed on shit, but it's like that in the lobby there has been someone who has shit and has gone jumping forward".</t>
  </si>
  <si>
    <t>So, if someone steals something, you know they've stolen it and you see them the next week and say, \"Watch out for this guy, he might do the 1314 here</t>
  </si>
  <si>
    <t>One day a guy comes and says, \"Someone just robbed you between the boxes, who dragged himself across the floor of the boxes and ran away while stealing</t>
  </si>
  <si>
    <t xml:space="preserve">One day they also tried to distract me from behind. They did it with the real one, because it's that I didn't even turn around.
</t>
  </si>
  <si>
    <t>I know there's someone who is going to steal milk, a pack of pasta, rice, water, well, that person, well... You don't care.</t>
  </si>
  <si>
    <t xml:space="preserve">A man was collecting things while talking on the phone with one hand and then quietly putting things away with the other. And there was a guy behind who I assume doesn't have as much patience: "Asshole, idiot".
</t>
  </si>
  <si>
    <t xml:space="preserve">In that moment, a lady who was almost alone and, hmm, it affects you a little bit because you feel sorry for her, but we're there in the function.
</t>
  </si>
  <si>
    <t>I don't understand the mentality we have that Mercadona is cheap because they don't do back-to-back offers.</t>
  </si>
  <si>
    <t>This time, one of my favorite regions, the region of fish and chips, of the people with teeth like that, of that people who everyone talks about in their language, but they don't talk in the language of no one. Let's get to know England.</t>
  </si>
  <si>
    <t>I didn't like the PhD because everyone was precarious, lost and there was a girl who graduated at 35, because finally the parents had become independent and I said no, this is not for me.</t>
  </si>
  <si>
    <t>It's like, God, he had a couple of brothers who were taking classes from him, and of course, they came without knowing English very well. As I was a very nice, very helpful teacher, the vice-principal told me: "Hey, put the exams together with this, translate it for him... I was giving him the answer, what the fuck.</t>
  </si>
  <si>
    <t>The problems are marked by points. If you do one thing, you get a point. If you do another thing, you get another point. There they give it to them all mashed up.</t>
  </si>
  <si>
    <t>Don't worry, it's that they were all taller than me, if it's normal. That I was very funny to them too and I pretended to be angry.</t>
  </si>
  <si>
    <t>The sons of a bitch of my friend are laughing a lot. "Now what, huh? So much that you wanted to be there, that the people were very well-behaved. Take that."</t>
  </si>
  <si>
    <t>I haven't argued with these ugly British women. Because they would sneak into the fucking Tesco.</t>
  </si>
  <si>
    <t>And I also had a French family. I'm going to break a lance for the French. The French are very attentive. The French look out for each other like a hive mind.
They were one of the best parents I've ever had. The worst, the British.</t>
  </si>
  <si>
    <t>We used to do like a night of the PTA at the end of each term. They were a bit like a conveyor belt. We would stay in our chair and the parents would pass by turns. So it was a girl who was in the humanities.</t>
  </si>
  <si>
    <t>It was his turn, he explained it to the father: He got a 4, but let's try to get him to pass for the next one and so on. And he crossed the girl's face in front of me. Seven evils entered my body</t>
  </si>
  <si>
    <t>He had the audacity to hit his daughter in front of a teacher. Drunk as a skunk.</t>
  </si>
  <si>
    <t xml:space="preserve">No, in the end my sub-director and my director defended me. Two real good guys.
</t>
  </si>
  <si>
    <t>My favorite phrase would be: "What we have done, which you did not do, is to deceive people." It's crazy, really, dude.</t>
  </si>
  <si>
    <t xml:space="preserve">Dude, who taught you Spanish to speak so well?
</t>
  </si>
  <si>
    <t>Do you like Spanish music? Yes, Canto del Loco, Amaral, La Oreja de Van Gogh. This is very strong, dude.</t>
  </si>
  <si>
    <t xml:space="preserve">As a person who is Japanese: don't you think it's a bit weird that practically everyone is obsessed with Japan?
</t>
  </si>
  <si>
    <t xml:space="preserve">In fact, in 2022, during the Olympic Games here in Japan, I saw Kureha, I told her one of Mariano Rajoy's phrases, and she laughed her ass off.
</t>
  </si>
  <si>
    <t xml:space="preserve">Exactly, for them, the idea of Spain: beach is sun, sangria is party, paella and bullfights. O sea, you show them a photo of Asturias or Galicia, they bug out, they say: No, this is not Spain.
</t>
  </si>
  <si>
    <t>For them to then come to Mallorca, buy their own house and there's a neighbourhood in Mallorca that's all written in German. I'm sorry to say it, because I say: Shit, no, they're stereotypes, let's break the stereotypes, but they can't.</t>
  </si>
  <si>
    <t xml:space="preserve">And coño, my colleagues who are in a Gymnasium, tell me: Ah, coño, mine are all with 8 German surnames. Fuck off.
</t>
  </si>
  <si>
    <t>And it makes you think: If this separation is supposed to be because they perform better or worse, why the fuck do I have kids in class who are real study beasts? When academically you are brilliant, because you are a fucking genius.</t>
  </si>
  <si>
    <t xml:space="preserve">Well, of course, kids are a well of surprises.
</t>
  </si>
  <si>
    <t xml:space="preserve">A child saw me and said to me: Are you married? Do you have a partner? Well, you don't care. You're in Spanish class.
</t>
  </si>
  <si>
    <t>And I: "But how do you have the balls to call it that to a teacher? Don't even think about it, don't call me that, I'm not a dog."</t>
  </si>
  <si>
    <t>If they see that something bothers you, well, instead of stopping, as they are some chinchones, they will do it more.</t>
  </si>
  <si>
    <t xml:space="preserve">Well, nothing, if I finished recently, until a week before finishing we have been arguing with him about that. And he started to do it and then others also started to do it. And of course, the stupidity is contagious.
</t>
  </si>
  <si>
    <t>Of course, I talked to those who are at the Gymnasium and they told me: "Holy cow, that hasn't happened to me at all. Maybe have your child and get hit with an open hand and things like that," they told me.</t>
  </si>
  <si>
    <t xml:space="preserve">When you put the problematic with the problematic, well, all you're going to have are problems. It's a system of segregation that blows your mind.
</t>
  </si>
  <si>
    <t>I laugh because it's like: "Well, we all know the deal, right? Eh, no need to mention it, right? Come on to Germany, right?" You say: "Fuck, we haven't learned anything, damn it</t>
  </si>
  <si>
    <t>Whether you take it as: ‘Well, obviously, it’s a state school, so you’re not that bright, are you?’ You’re already pigeonholing the child a bit, aren’t you? I mean, you’re here because you’re not that bright, So, you're here because you're not as smart, then. Meritocracy at the age of 12, fuck off.</t>
  </si>
  <si>
    <t xml:space="preserve">I had it very idealized when I came, because they sell you the shit, you'll find a job because there was a lot of job offers, I don't know what.
</t>
  </si>
  <si>
    <t>To me, what's funny is that then they treat us like we're the bottom of the world.</t>
  </si>
  <si>
    <t xml:space="preserve">And, well, that not everything that shines is gold.
</t>
  </si>
  <si>
    <t>It's been a shock, but it hasn't been that much because I've lived abroad, I speak English well, so for me it hasn't been that difficult to get used to, also because my school is very chaotic, they tell you everything from one day to the next, that is, the organization is absent, so that's what has cost me the most.</t>
  </si>
  <si>
    <t xml:space="preserve">And the first day of class, well, as they put so much pressure on you and you have to show that it's like that, you don't have to pass anything in the first moment.
</t>
  </si>
  <si>
    <t>I'm going to make a sidebar. I also do this because I say America. In reality, I mean Americans. And then people from Latin America say, sorry, you're a fucking idiot because America is everything, not just the fucking yankees.</t>
  </si>
  <si>
    <t>It's true that last year she was a student who always challenged me. I sent her a task and she always had to argue about anything, I don't know what. She was also a student who missed a lot. Well, I had already had a little spat with her and that she always argued with me.</t>
  </si>
  <si>
    <t>What I was telling you earlier is that my chip has changed a bit, the chip in terms of grades, because you really see the background of all of them and what you see is that for them this is not important</t>
  </si>
  <si>
    <t>And there have been many deaths like this from a fight in the street, because over a discussion, leaving a bar, bam, bam, in the end a dead person because they pulled out their weapon.</t>
  </si>
  <si>
    <t xml:space="preserve">When you do a campaign, of course, you always rely on content creators or famous people, whether it's a footballer, musicians. And for a campaign we did with Exhibit, a very famous rapper, who is better known for having tuned cars, we did a very cool campaign with him, the guy was really nice, but fuck, he asked for a bag of weed.
</t>
  </si>
  <si>
    <t>You know, in the ads, the drug thing is quite curious, right? Fuck it, until you face people who really go all day high, you don't understand how it really works, because a lot of people think they're rock stars.</t>
  </si>
  <si>
    <t>One of the things, dude, that I also realized very clearly, they say that you also discover it a bit when you become an adult, but in this world it's like everyone is on drugs.</t>
  </si>
  <si>
    <t>I went in as an intern right on the anniversary of an agency, they rented a bar, they dressed everything up between gringo, latino, of this roll. And you know, I was my first day.</t>
  </si>
  <si>
    <t xml:space="preserve">I used to work in an office, in a multinational company. They send out a press release, a super posh PR agency and everyone's super money-makers and we're all so cool, there was a turd, dude, a turd outside the toilet.
</t>
  </si>
  <si>
    <t>And that gave me a lot of rage when I entered the industry, and it's an industry that I feel is very classist. Not only by with whom you work and all that, but by the very access. Fuck, if you live in Madrid or Barcelona, which is where everything is, when you have to come here, dude, you have to study the master's degree, which is a master's degree that was pulled out from under the rug.</t>
  </si>
  <si>
    <t>It's not just that you're the most talented, that you have the best ideas or that you're the best at designing or the best at writing. It's that you have to have a financial lung from your parents or balls to work. On weekends, looking for freelance work on your own and earning it in the black and looking for a way to make a living</t>
  </si>
  <si>
    <t xml:space="preserve">Hello, my name is Claudi and I actually work at Starbucks where you pay 37 euros because they take out your kidney and say your name. And on top of that, we don't even write it down anymore.
</t>
  </si>
  <si>
    <t>I am going to open a melon. In your videos, French people are criticized a lot. Today I come to defend them, dude. They are the least annoying.</t>
  </si>
  <si>
    <t>It was morning, but I'm talking to you at 7:30. We see a girl and a young boy enter. They stood there in front of the bar and started groping each other, giving each other big kisses, and we were saying, well, that's good.</t>
  </si>
  <si>
    <t>Then, of course, a woman suddenly asks us at the bar and says, I want a complaint form, you have the soap dish broken. And of course, we start talking with her, I leave her the bar, wash your hands, no problem. She keeps saying no.</t>
  </si>
  <si>
    <t>So I went, I looked at the flats, it was maybe like a basement to take the piss with damp 1 disgusting room. A thousand euros each. I managed to cry a lot to the people at the residence. Maybe there's a place, but you have to share with 5 Israelis. I give myself a pat on the back.</t>
  </si>
  <si>
    <t>And he takes us like to a room, a group maybe of 10 men sitting around, he makes us sit and he says, ask whatever you want. And we spend like 2 hours talking about Islam, asking him things and what is his perception of heaven, of Islam, what he thinks of Christianity, hey, I heard this, what do you think of this guy? Of course, then we leave with this guy, because we've made him our friend after 2 hours talking, I have there a photo with the Polaroid with everything</t>
  </si>
  <si>
    <t>There was a girl, this girl was from the UK, and her family was super religious, but super religious to the extreme, Protestant. The typical skirt to the ankles, had never done anything with anyone and so on.</t>
  </si>
  <si>
    <t xml:space="preserve">And Cairo, how was it? It's very cool with those pyramids you say, God, it's probably the most awesome thing in the world.
</t>
  </si>
  <si>
    <t>We did a 14-day route. There was a random guy who started following us. I don't even remember his name.</t>
  </si>
  <si>
    <t xml:space="preserve">Yes, it's true that maybe with Israelis, obviously many of my friends there, in a plan, they're Jewish and not Israelis and everything is super fine and they're good people, but it's true that perhaps the general feeling, especially at the beginning, is like that many times they were a little... not disrespectful, but they looked something like over the shoulder.
</t>
  </si>
  <si>
    <t>I left Jerusalem around July 2023 and there were many very heavy tensions. Maybe they fired five thousand missiles on top of Tel Aviv in a day, which they never fire on Tel Aviv. Of course, I remember many times that maybe I was at my jeweler, because I had a jeweler in Jerusalem and the guy was stuck up his ass.</t>
  </si>
  <si>
    <t xml:space="preserve">Sure, I remember many times that maybe I was at my safe, because I had a safe in Jerusalem that the guy was pinched.
</t>
  </si>
  <si>
    <t>Keep in mind that military service is mandatory for both men and women. It's like, imagine that you give a 18-year-old boy an AR-15 and tell him, "You're going to put on this suit and act like a big shot in front of all your friends to defend the promised land because you're an envoy of God."</t>
  </si>
  <si>
    <t>In the checkpoints, of course, it's that all the people were my age and it's not like the Finnish military service. Yes, yes, that it's not the military. That they take you and send you to Lebanon.</t>
  </si>
  <si>
    <t>It's curious because I was previously in another scare room, which I saw an offer on Instagram for a scare room that I had played, and I said, well, what the heck, why not?</t>
  </si>
  <si>
    <t xml:space="preserve">But what I find most funny, quotes, families. That's the fuck.
</t>
  </si>
  <si>
    <t xml:space="preserve">There's a corpse, such, I don't know what, I don't know how many, you have to get rid of the maggots... There's a key moment, which is tense, and my colleague or so we do as the bad cop and said "Come on, I'm going to send all of you to God."
</t>
  </si>
  <si>
    <t>You see the escape room and you can see many types of people, but how does a dog develop? A group of dogs that are there.</t>
  </si>
  <si>
    <t>When I was 12, my dad was looking for a job and the usual thing where you throw all the offers, well, to see what comes up. And he got hired and said: okay, now we have to try. What was the job? Engineer of bridges. Hey, what a crazy job.</t>
  </si>
  <si>
    <t xml:space="preserve">A person who had never been to Albacete finds themselves in a 12-hour flight full of Vietnamese people. I, of course, had seen very little Vietnamese people in my life, probably. Listening to them talk, I was going crazy.
</t>
  </si>
  <si>
    <t>And your teacher is still there? I think he retired already because he had been working so many years in so many schools all over the place.</t>
  </si>
  <si>
    <t xml:space="preserve">It's like the beautiful and fantastic image of saying, well, look how well, what a desire this man will have to listen to me. And then surely the one who talks the most is the husband. A chatterbox.
</t>
  </si>
  <si>
    <t>Once a woman saw me looking at the glass, she grabbed my arm and asked why the Romans built downwards. People laughed.</t>
  </si>
  <si>
    <t>Well, there were the gargoyles of the churches, such, such, such, such. One church in Barcelona called Santilli Pereri, which is a beautiful church, was bombed in the Civil War.</t>
  </si>
  <si>
    <t>There's a lot of people who think that here in Spain we're brought up with the idea that Columbus was the savior and blah, blah, blah. When they come here, I think with good faith they want to totally change that vision.</t>
  </si>
  <si>
    <t>Parents or mothers who come to see their son here in Barcelona, are doing a tour with them and maybe they haven't seen the son for a year. They are emotional because they see what their son is achieving and they see that they are in a nice place.</t>
  </si>
  <si>
    <t>There have been robberies on the tours. That's another can of worms we can open.</t>
  </si>
  <si>
    <t xml:space="preserve">It's a bit frustrating because at the end of the day you just want to do a cool tour in 2 hours explaining the history of the Jews and Christians, I don't know, anything, and they're going to look at you with the face of, well, but it's a young Catalan independentist, then it's a bit complicated to get rid of this stigma.
</t>
  </si>
  <si>
    <t>But is Antonio Gaudí still alive? Dude, they've asked you if he's still alive.</t>
  </si>
  <si>
    <t>One of the things I like is the historical uncle. I always identify it with cathedrals. An attraction for historical uncles who stand in front of a facade and say this is Romanesque, this is Gothic, this has everything.</t>
  </si>
  <si>
    <t xml:space="preserve">After that, there are more normative families, so to speak, who come looking for the best they can, but end up in those schools, in that contrast between super nice, super good kids. There's no middle ground there.
</t>
  </si>
  <si>
    <t xml:space="preserve">In their house they have 0 education, they have no type of limits and that the teacher arrives at school and says, sit down, take the book, they see it as, I am here because the law forces me to.
</t>
  </si>
  <si>
    <t>As a priority in that type of schools, you want the child to be from 9 to 2 and that nothing serious has happened, that the children leave the school happy.</t>
  </si>
  <si>
    <t>Have you ever been taken advantage of by the big ones? They take advantage of you knowing that they are taking advantage of you.</t>
  </si>
  <si>
    <t xml:space="preserve">Yo the route I take home I often do accompanied by children because I pass through the neighborhood. And the child enters, goodbye teacher, goes into his house which is a basement with the door open.
</t>
  </si>
  <si>
    <t>And then there's a fifth grade class, I don't know if it's physical education or something, and a guy who doesn't talk to me or anything says, "You should keep your phone." And I'm shocked, not that someone might steal it, but how much you have to assume the concept of stealing to the point where you're giving advice to a stranger, keep it because they're going to steal it because I don't know what.</t>
  </si>
  <si>
    <t>What happens is that they don't like school. I imagine a child like that saying I want to study the degree and the parents saying but you're an idiot, as soon as you're old enough you're going to work with me.</t>
  </si>
  <si>
    <t>It was a super exaggerated, but the families themselves have to leave the neighborhoods because they have problems. Not the children, but the parents with other families. And they change schools, the child already, then what he has learned minimally, now it is reset.</t>
  </si>
  <si>
    <t>Do we need some bloody educational method to salvage at least a few of those lot, or do we just have to give up? That’s it – just for being born in a certain place, you’re a lost cause.</t>
  </si>
  <si>
    <t>That he cheated on me, is that he's a bastard, is that he went with 3 from the same class, is that he went with the fifth grade girl and the little one, these things happen in school</t>
  </si>
  <si>
    <t>I've had a very big problem with a parent, but it wasn't during a tutorial. Because parents come looking for problems.</t>
  </si>
  <si>
    <t>I have set myself the goal of finishing these years and saying, there are fewer unemployed people because employment has served to make matches. There is a company, there is one who needs a company, only with that I think I would already have enough to fill my working day.</t>
  </si>
  <si>
    <t>I would love to find myself as when you enter a company that you find the Onboarding. ... a memory with all the projects, what is to be done, what remains, what budget I have</t>
  </si>
  <si>
    <t>Tell me things that people have said to you, dude. Suddenly your neighbour from the fourth floor comes up to you and starts giving you a beating.</t>
  </si>
  <si>
    <t>And here you still have the feeling of neighborhood, community. I know the neighbor across the street, no idea what, no idea what, no idea how much. That shit doesn't exist in Madrid. And yet it exists less in other places.</t>
  </si>
  <si>
    <t>One of them, for example, they called him the Patillas, I don't know why they called him the Patillas, because he didn't have any patillas. He was an older man with a lot of bad attitude. He would come with his cane and always pass by the self-service payment boxes.</t>
  </si>
  <si>
    <t>The same. You meet the lady who says she has been buying there for 50 years, but then, every time she comes, she asks where the eggs are... some fantasies, dude</t>
  </si>
  <si>
    <t xml:space="preserve">In the end, you're supposed not to insult because it's ugly, although I do recognize that sometimes they've sent me to hell. And I've also sent them to hell.
</t>
  </si>
  <si>
    <t xml:space="preserve">No, I also admit that I have heated up many times and I haven't fought, because look, one day they almost had to separate me from one, because he told me that he was going to cross my face. And I told him: do it to the guy, shouting and insulting his wife
</t>
  </si>
  <si>
    <t>Once upon a time, there was a woman and she had a shopping cart full of things. I passed by and she started to say rudely that she needed another cart. Well, go and get it, right?</t>
  </si>
  <si>
    <t>It's a supermarket like Mercadona, like Carrefour, like Lidl or like Día. We're not talking about the top, where the salespeople have to fawn over you because they have to sell you, they have to earn commissions.</t>
  </si>
  <si>
    <t xml:space="preserve">But then the next coupon I passed didn't accept it because they had raised the plastic bags and the plastic bags didn't count. So, of course, you had to cancel the whole purchase, start all over again, and he got angry.
</t>
  </si>
  <si>
    <t xml:space="preserve">My mother is driving me crazy telling me I've come back as a duck.
</t>
  </si>
  <si>
    <t>They hate it more when you speak Spanish to them than when you speak English to them. They have a grudge against the English.</t>
  </si>
  <si>
    <t>For example, yes, they did make me talk a bit about the civil war or a class I had to talk about the Valencia storm. And of course, I'm talking about something that can be a bit complicated and having a guy next to me who is all the time making jokes and messing with you, for me that was horrible.</t>
  </si>
  <si>
    <t xml:space="preserve">There were a lot of people who told me they wanted to come on vacation to Spain. And I would tell you at the airport, when they ask you, say that you are going to Portugal. And they don't catch on.
</t>
  </si>
  <si>
    <t>Someone threw a zinger at me about boyfriends. A 13-year-old boy who left me shaking.</t>
  </si>
  <si>
    <t>But one day I was entering the classroom and suddenly I see 4 or 5 of my students with their faces completely scribbled with a pen. My first thought was madness.</t>
  </si>
  <si>
    <t>One of the very nice things about that age are romances. Ugh, what a mess! There were mixed bathrooms in high school. I never went into those bathrooms.</t>
  </si>
  <si>
    <t xml:space="preserve">And I would spend an entire weekend preparing classes and getting creative and working and making PowerPoints and preparing escape rooms so that then in class 5, 7 would be talking, 3 wouldn't be listening, 2 would be disrupting the class.
</t>
  </si>
  <si>
    <t>Basically, I arrived and went out 7 days in a row, partying, no exaggeration. And of course, people were freaking out, like, this girl, what the fuck is wrong with her? And the really nice people. The ones from my dorm, Spanish. The rest, not so much."}</t>
  </si>
  <si>
    <t>Kit Kat is a disco where basically you go to have sex. That is, people go naked, they are obviously high, but then the decoration inside is amazing, right?</t>
  </si>
  <si>
    <t>It's no longer the crap, it's no longer the foreigners, it's the atmosphere in the center at night. From the NPCs who rap you with the microphone in a, no, I, the red-haired girl, don't know what, there's the one of Michael Jackson, who has like a white glove. It's a person who you can see that something is not right, he was walking backwards with a white glove on.</t>
  </si>
  <si>
    <t xml:space="preserve">Here where I see a super nice camera. What happens is that if you touch my balls, brother, there was people who told me, no, but put me the longer cup.
</t>
  </si>
  <si>
    <t>And in the end, the center is full of tourists in general, who, after all, also understand that they move money and that's what gives us food, but we should also take possession of our own space and enjoy it.</t>
  </si>
  <si>
    <t>Brother, of pulling out his dick and peeing on the bar. Plus, it was a L-shaped bar and he peed right where I could see his dick. So, brother, I saw a dick peeing</t>
  </si>
  <si>
    <t xml:space="preserve">I understand what you're saying about the megadestruction of a toilet. So you say, diarrhea of this pa-pa-pa-pa-pa-pa all over the toilet that I say, you had to stain your back.
</t>
  </si>
  <si>
    <t xml:space="preserve">There is an outdoor area that has paddle, then there is the typical gym, a section of the gym that is adapted to spinning, i.e. all bicycles, in a way, do you know? The crazy ones who go pum, pum, pum, at full speed, that you say, what a piece of work at 9 in the morning.
</t>
  </si>
  <si>
    <t>I don't get as shocked because I've also worked almost 2 years at a Burger King. The Burger King bathrooms are like a sort of boot camp for this. I mean, I'm going to Afghanistan, yes, but I've already seen it all</t>
  </si>
  <si>
    <t>There is a thing that I call the volcano, which is when a toilet gets clogged, clogs a toilet with diarrhea, watch out, it's really hard. You have to be really fucked up inside.</t>
  </si>
  <si>
    <t>And I have a car with a bucket with dirty water, a bucket with clean water. He comes out of his classes, drinks, he has a little bit of water left, instead of throwing it away, going to the bathroom and throwing it away because it will weigh or whatever, he does so, clic, clic, clic, and empties it into the bucket of clean water.</t>
  </si>
  <si>
    <t>So I've cut myself off from things that simply don't bring me any good, and the mindset, especially, that a lot of people have of I'm going to reach my dream job or a job that gives me a lot of money. I think that more important than even money or your dream job is finding a job where you feel comfortable. It can be something that's neither fun nor boring, you know?</t>
  </si>
  <si>
    <t>That's why I came here... The guy has gel in the pool, dude. The guy has gel in the pool, I told my buddy, I shoved him two elbows in and said, dude, he has gel</t>
  </si>
  <si>
    <t>Translate this into French for them: if they don’t know Spanish, let alone English—which is the international language—and they’re on holiday in Spain, tell them to go to Bordeaux for a glass of wine. And my mate told them just that. I’m getting my own back for what Pepe Botella did, basically.</t>
  </si>
  <si>
    <t xml:space="preserve">Of course, a bit of posing from time to time. A bit of saying you went on vacation somewhere. It's just that a nice photo doesn't hurt anyone. There's no need not to take photos.
</t>
  </si>
  <si>
    <t>Me left everything full of sand and kept insulting me, dude. Tired of shouting, I asked her to leave. And she had to come the security guy to tell her to leave or stop shouting. They go to a center where there's no my brand and there, of course, since it's not theirs, they don't bother, see that the ticket is from another center, pim pam, then they send you the product, well done a shit.</t>
  </si>
  <si>
    <t xml:space="preserve">Many times they are animals, the dogs eat the fiber cable and you eat 60 euros for those fiber routers. Once I had to deal with one that was super indignant, that is, I called him to warn him that I was coming and he started to heat my head like that we had been there for no time, no what.
</t>
  </si>
  <si>
    <t>He says, ‘Oh, and I don’t know how to connect my phone to the Wi-Fi either.’ It really puts me on edge when they hand their phones over to you, because you often have to open the browser and you come across all sorts of strange things.</t>
  </si>
  <si>
    <t>Also, the one who is in Gibraltar pays less. That's for the English, for the one who is from here, works there, they fuck you alive. I do the 2 declarations. I worked at the McDonald's in Gibraltar and paid 760 euros in taxes.</t>
  </si>
  <si>
    <t>The problem is at the beginning when I started that there are things that you ask of you and you say, "What the fuck is this guy asking me?" Some nuggets, some fries, a normal Coca-Cola, a cheeseburger without cheese and without onion.</t>
  </si>
  <si>
    <t>Yes, yes, I've had some. Well, well, I don't know how to tell you what, because I had no fucking idea what they were saying to me.</t>
  </si>
  <si>
    <t xml:space="preserve">An elderly lady calls me, says, the card they stole from me in a bar, I don't know what, bla, bla, bla. It's that I went to the bathroom and when I came back it wasn't there anymore.
</t>
  </si>
  <si>
    <t>Scams. And you have to be very careful because they are very bad sons of a bitch, right? At first you can say, well, it's that this falls on the idiots, right? Of the difficult one does not fall.</t>
  </si>
  <si>
    <t>Even the tax office calls you. A few years ago, they called people pretending to be the tax office for the Universal Basic Income. They asked that to verify that they were them, that they send a Bizum of 100 euros to a certain number. Of course, then neither the tax office nor anything else.</t>
  </si>
  <si>
    <t xml:space="preserve">He says, this number is paid. I say, no, sir, it's not paid. It's paid. Insisting that it's not, sir, that it's not paid. I'm muted and I hear him say, the stupid one who doesn't know anything. I unmute and say, well, sir, what you're going to do is look for another stupid one who knows something, right?
</t>
  </si>
  <si>
    <t xml:space="preserve">I tell it like that and I say, haha, what a joke, because in reality you're not doing him any harm, because you're changing the light. I mean, you're not putting him the mortgage of his life.
</t>
  </si>
  <si>
    <t>Raquel stayed in our hearts on this channel. And every now and then people who have re-watched the video, or new people who have discovered the videos, say, "When is this little girl going to come back?" She's back.</t>
  </si>
  <si>
    <t>It's just that I haven't stopped traveling. Now you're traveling to Burgos. Apart from traveling to Burgos, it's a beautiful place, isn't it? The area where I work is very beautiful</t>
  </si>
  <si>
    <t>We went to the house of a British couple, very cute, in the most rural area of the rural areas of Burgos. They had been there for like years.</t>
  </si>
  <si>
    <t>You see everything, you go to the house of so-and-so, you see the conditions in which so-and-so lives, if he is alone and his children are somewhere else, he is not self-sufficient and the house is not like this and you see it.</t>
  </si>
  <si>
    <t>Basically, if you're asking around, like, hey Eugenia, yes, well she's been coming alone for a while, or she's been looking more tired lately, or she has an identity, a circle that identifies her and takes care of her in some way. And in the city it seems like we're all more anonymous. In the city we're NPCs</t>
  </si>
  <si>
    <t>Investing time in creating that connection with your environment is also very important. We don't highlight it enough with phrases like \"Wow, what a cool thing, he goes around the world, it's brutal, it's a kick in the ass!</t>
  </si>
  <si>
    <t>I had my delusion since I was 12 years old, basically being a fat otaku. But a bad rat. But of course, from 12 to 22 you say, how the fuck am I going to Japan?</t>
  </si>
  <si>
    <t xml:space="preserve">Japan, I put it up my ass. I mean, Japan is the best shit I've ever gone through in my life. But both the good and the bad, right?
</t>
  </si>
  <si>
    <t>They are like so completely full of money and all that they think we ask how much we earn. They put it on a piece of paper, like, your pay, I don't know how much you earned.</t>
  </si>
  <si>
    <t>That you now see us like this in a plan with the looks and all that. I when I go to work every day I have to take off the nose and hide the septum. I have to put on corsets. That is, play pretend with your life. Formal clothes, no idea what.</t>
  </si>
  <si>
    <t>So then you have to play a little mental trick on the one who likes to invent that it was really an accident so that she doesn't go and tell the mother that they hit each other because if not the other little girl is going to have a lot of consequences.</t>
  </si>
  <si>
    <t>It's very magical all. Also very top secret. They take it very seriously about the workers not posting things on social media.</t>
  </si>
  <si>
    <t>The conditions are very good. This is exclusively for workers. Look at the type of merchandise there. It's this jacket that you see and you say that it's good.</t>
  </si>
  <si>
    <t>They are so proud of the French. France is the best, the French are the best, French gastronomy is the best and I shit on French gastronomy.</t>
  </si>
  <si>
    <t xml:space="preserve">Look, my name is Iván, for anyone who doesn't know me. And as I have already explained perfectly, I have worked talking badly and soon, giving the crap to people to try to get some companion to go to the apartment.
</t>
  </si>
  <si>
    <t xml:space="preserve">I turn around and he comes with his hand like this and he brings a fucking green parrot, man. That it has fallen from a tree. I say, well, that's it. To the vet. I open the wing, I start to look at it. And now I say, man, what do I do with that fucking parrot, man.
</t>
  </si>
  <si>
    <t xml:space="preserve">But dude, they had to call my mom. Because on top of that, for one day that my mom is on vacation, dude, I have to give her a hard time, dude. They even took away my damn Cruz Roja backpack, dude.
</t>
  </si>
  <si>
    <t>The Red Cross said they were going to report me to the police in my name, I don't know what. Then the police apologized. A weirder move, dude. Fuck me more with this gypsy life I have, come on.</t>
  </si>
  <si>
    <t>That day I made a record of half of Spain for the Red Cross, I think it was, dude. 218 coupons in a day. That's what it looked like, dude, full of cars that I say, brother, dude, each one poops more money. And I, well, depending on the place, I have a speech.</t>
  </si>
  <si>
    <t>Me opened the MD like saying, I dedicate myself to this, but that it's not really my devotion</t>
  </si>
  <si>
    <t xml:space="preserve">There's of everything. There are owners who don't care, they want to get the highest possible return. But I also have owners who take good care of who they let in, they talk to them before accepting or they have pretty strict criteria. I have one, for example, who only accepts families with good reviews.
</t>
  </si>
  <si>
    <t>Or also the typical one who tells you no, no, I don't want tourist traps, I want an authentic experience of here. And you see them and you say you don't know what you're asking.</t>
  </si>
  <si>
    <t xml:space="preserve">It's a mess. In summary, you can't hook up with any passenger, you can't have any kind of relationship. And I thought that was pretty much prohibited.
</t>
  </si>
  <si>
    <t xml:space="preserve">People have a lot of hate against the French and I understand that, but I have to say that in my case I developed a hate with the Italian people. It's like a Spaniard, but at the level of a maximum cuñado.
</t>
  </si>
  <si>
    <t>Let's open that can of worms. In the previous video we talked about less affluent places, now we're talking about affluent places. We're talking about ultra-Catholic private schools in the center of Madrid, where I've run into the biggest riff-raff you can imagine.</t>
  </si>
  <si>
    <t xml:space="preserve">Once, I think it was in July, there was a French client. Typical French client of about 50 or 60 years old, right? Who had his car open and had to contact the French insurance company. The gentleman didn't speak a word of Spanish, do you know?
</t>
  </si>
  <si>
    <t xml:space="preserve">The mechanic tells me, straight up. Tell that French bastard not to worry, his car will be ready on Friday afternoon.
</t>
  </si>
  <si>
    <t xml:space="preserve">Whenever I've recorded any video in England and I've caught an Irishman or Irishwoman, the star comment that they've always let me off in all the videos I've recorded there has been to curse the English from top to bottom.
</t>
  </si>
  <si>
    <t xml:space="preserve">Well, we were partying and when we came back, the usual, because all the bars and all the discos close at 2 in the morning. At 2 in the morning, to your fucking house. And there the Irish and the Greeks, that is, they are super drunk.
</t>
  </si>
  <si>
    <t xml:space="preserve">The historical accuracy is a bit... I really like it, okay? I really love the history of fashion. And I'm pretty much of, why don't they wear the correct thing? Have they done something good by not wearing horns? At least they did that right. The things they wear and things like that, of course, the historical accuracy they pass it a bit by the arch of triumph.
</t>
  </si>
  <si>
    <t xml:space="preserve">Well, before passing the anecdote, I have to ask you something, because this is something that has a lot of fame from India, from its cuisine, and especially from the experience of many friends of mine who have gone there, is the first cagalera.
</t>
  </si>
  <si>
    <t xml:space="preserve">These monkeys, who go in packs of 30 or 40, maybe, would jump into the zone of the embassy. You see them from far away and you say, fuck, what nice guys, well, you see the monkeys with the mothers attached here, you see the big monkeys that sometimes looked like meatballs, you know? In the sense, of how fat they were.
</t>
  </si>
  <si>
    <t>They treat you differently, to good and to bad. They consider you part of the upper class, they consider you have money, so they see you as a walking wallet sometimes.</t>
  </si>
  <si>
    <t>They make the whole show when you ask for a bottle of Don Perignon or whatever champagne. They are Madrid standard, I will also tell you. This is the capital. There are many little Indian Nicolases, probably. Yes, I don't know, I guess we'll have to see one by one who has holes or not.</t>
  </si>
  <si>
    <t>Women's rights sometimes leave a lot to be desired. It's still up to date that the woman stays at home, household chores, basically the old-fashioned stuff.</t>
  </si>
  <si>
    <t>Well, don't laugh, because we Spaniards aren't exactly shooting stars, okay?"</t>
  </si>
  <si>
    <t xml:space="preserve">There are places that everyone goes and I really want to know the ins and outs of the characters who must go to MediaMarkt. 
</t>
  </si>
  <si>
    <t>I worked there for two years and half, luckily or unluckily, where they put me just happened to be exactly downtown Malaga, exactly in Vialia, where passes so much people and where all kinds of scum happens</t>
  </si>
  <si>
    <t>And then I had the gaming part, especially the keyboards and mice, where the typical kids would come there to play with them, the little keyboards</t>
  </si>
  <si>
    <t>"Sure, imagine this guy, my colleague fighting with him, just behind there another man insulting my colleague saying that his phone wasn’t working properly and Saint Lucia told him that the repair had to be done by them.</t>
  </si>
  <si>
    <t>What do you have to do there to get out of it? You have to invent everything you can because the guy is like a crazy person hitting people and you just want to get away as soon as possible</t>
  </si>
  <si>
    <t>There in the store they told him that they didn't return that type of brown, but of course, when a guy like that comes crazy, you don't want to have him in the store giving you a hard time all day, then what you want is to get rid of him</t>
  </si>
  <si>
    <t>People who try to haggle with you, they think that if he takes two laptops, then his price will go down. Well actually, like I own this store. Brother, if I take these two laptops, how much do you leave them?</t>
  </si>
  <si>
    <t>I heard that, man... See this guy standing there, stops the elevator automatically, see him sitting on the floor next to the guard all covered in blood. So I went inside my room started getting some saline solution, cleaning his wounds checking how badly hurt his face looks like. His face looked terrible.</t>
  </si>
  <si>
    <t>And then there were those typical kids who came along with their father and took out some tantrums because dad bought them a Xiaomi phone while they wanted an iPhone; Dad would look at him like this saying \"Hey man, how much does the cheapest iPhone cost?\" And he tried showing that kid his point, but the child just wouldn’t have anything else except wanting an iPhone by all means necessary.</t>
  </si>
  <si>
    <t>"Fuck, this hurts me too. This type of things always mark me that wants the child by force and the father must buy him/her if not then the kid gets angry and causes chaos. If my dad were here already would have crossed his mouth with one slap on the face</t>
  </si>
  <si>
    <t>The guy had stolen Nintendo Switches, Playstation controllers, and had stolen almost six thousand Euros worth of merchandise from the store. He then went to the other Malaga Mediamarkt and they caught him there when he entered through the door. In the shop where I worked, sadly security was missing a lot</t>
  </si>
  <si>
    <t>I wasn’t going around wearing my “Apple” badge nor did I go out with friends from Samsung or Xiaomi. I went alone."</t>
  </si>
  <si>
    <t>A certain moment came when she said: "If at the end blood will reach the river. I am already angry, I hit the table and say: Look, I don't feel like dealing with either you or your nonsense."</t>
  </si>
  <si>
    <t>Today we are going to talk about that supermarket where you used to go shopping a year ago because it was cheaper than the copon and now it's more expensive than the Virgin</t>
  </si>
  <si>
    <t xml:space="preserve">The atmosphere was very pleasant and I felt comfortable working there. 
</t>
  </si>
  <si>
    <t>"I have never seen a more comfortable uniform in my life. It has a reputation for being ugly. But it is comfortable.</t>
  </si>
  <si>
    <t xml:space="preserve">"You shouldn't be ashamed to ask questions, because they ask you every stupid thing there is. You need to be absolutely shameless." 
</t>
  </si>
  <si>
    <t>The manager of that day of the store goes to the top part to see, to check everything was correct and then comes down and tells me: "Hostia, I have written a shit, but it looks like there was somebody in the lobby who crapped himself and jumped forward."</t>
  </si>
  <si>
    <t>"O sea, if someone steals, you already know that they have stolen something and you see them the next week and say ""Be careful with this guy, he might do something here""."</t>
  </si>
  <si>
    <t>One day they also tried to distract me from behind. They did it with the real ass, because it's that they didn't even turn around.</t>
  </si>
  <si>
    <t>You know, there are people who steal milk, pasta, rice, water... It doesn't matter.</t>
  </si>
  <si>
    <t>The man was picking things up while talking on the phone with one hand and then putting them away calmly with the other. And there was a guy behind who probably doesn't have much patience: \"Asshole, idiot"</t>
  </si>
  <si>
    <t>In that moment, a lady who was almost alone and, fuck, it affects you a little bit because you feel sorry for her, but we're there in the function.</t>
  </si>
  <si>
    <t>I don't understand the mentality we have that Mercadona is cheap because they don't do back-to-back offers</t>
  </si>
  <si>
    <t>This time, one of my favorite regions, the region of fish and chips, people with teeth like that, those people who everyone talks about their own language, but they don’t speak anyone’s language. Let’s go see how England is."</t>
  </si>
  <si>
    <t>"I didn't like the PhD course because everyone was precarious, lost and there was one girl who started her degree at the age of 35 years old because her parents had finally become independent and I said no, this isn't for me."</t>
  </si>
  <si>
    <t>Biology, Physics and Chemistry teacher, in the equivalent to second of Compulsory Secondary Education to second of High School. The best of each house. So telita</t>
  </si>
  <si>
    <t>It had two brothers who were taking classes there; they came without knowing anything about English so well enough to take care of themselves. As I am very nice teacher, helpful one too much, my boss said \"Hey, put the exams together with this, translate it for him... I was giving him the answer, what the fuck.</t>
  </si>
  <si>
    <t>Don't worry, they were all taller than me, which is quite normal. I was very cheeky with them too and pretended to be angry.</t>
  </si>
  <si>
    <t>The fucking kids of my friend laugh a lot. \"Now what, huh? So much you wanted there, people very well behaved. Take\"."</t>
  </si>
  <si>
    <t xml:space="preserve">
I have not argued with these ugly British women. Because they would sneak in at the fucking Tesco. 
</t>
  </si>
  <si>
    <t>And also a French family. I'm going to break a lance for the French. The French were very attentive. The French look out for each other like a hive mind.</t>
  </si>
  <si>
    <t>Sometimes my director and my head of studies have scolded me. Please, it's obvious that you're Spanish</t>
  </si>
  <si>
    <t>We used to do like a night of the AMPA at the end of each term. They were a bit like a conveyor belt. We stayed in our chair and the parents passed by turns. Well, it was a girl who was pure of letters.</t>
  </si>
  <si>
    <t>It’s his turn now; explained this all father: He scored a four, let us try that passes next time etc.. And then crossed her face before my eyes girl. It made seven evils enter my body.</t>
  </si>
  <si>
    <t>He had the nerve to hit his daughter in front of a teacher. Drunk as a skunk.</t>
  </si>
  <si>
    <t>No, in the end my deputy manager and my manager defended me. Two guys with great character.</t>
  </si>
  <si>
    <t>My deputy manager was a former military officer with a PhD in Shakespeare and he was redder than a tomato.</t>
  </si>
  <si>
    <t>My favorite phrase would be: \"What we have done, which you did not do, is to deceive people.\" It's that awesome, dude.</t>
  </si>
  <si>
    <t>Oui, who taught you how to speak Spanish so well?</t>
  </si>
  <si>
    <t>"The Spanish music do you like? Yes, ""Canto del Loco"", ""Amaral"", ""La Oreja de Van Gogh""." This is very strong, man.</t>
  </si>
  <si>
    <t xml:space="preserve">
Most comedians come from Osaka so they know each other as being funny.</t>
  </si>
  <si>
    <t>As a person who is Japanese: Doesn’t it seem like kind of weird that practically everyone seems obsessed with Japan?"}</t>
  </si>
  <si>
    <t>In fact, back at the Olympics here in Japan last year, when I saw Kureha (I had already made her laugh by saying something about Mariano Rajoy), she started peeing herself with laughter.</t>
  </si>
  <si>
    <t>The same way Spain means beach, sangria, party, paaella and bullfights. So if you show them pictures from Asturies or Galacia, they will say : No, this isn´t Spain</t>
  </si>
  <si>
    <t>For them to then come to Mallorca, buy their house, and there's a neighbourhood in Mallorca that's all written in German. I'm sorry to say it, because I say: Shit, no, they're stereotypes, let's break the stereotypes, but they can't.</t>
  </si>
  <si>
    <t xml:space="preserve">Y coño, my colleagues who are in a Gymnasium say to me: Ah, coño, well mine have all eight German surnames. Fuck, don't be silly. 
</t>
  </si>
  <si>
    <t>And it makes you think: If this separation is supposed to be made because they perform better or worse, why the fuck do I have kids in class who are real study beasts? When academically you are brilliant, because you are a fucking genius.</t>
  </si>
  <si>
    <t>Well, of course, kids are a well of surprises.</t>
  </si>
  <si>
    <t>A child saw me and said to me: Are you married? Do you have a partner? Well, you don't care. You are in Spanish class.</t>
  </si>
  <si>
    <t>"But how do you have the balls to call this to a teacher? Do not even think about calling me that, I am not a dog."</t>
  </si>
  <si>
    <t>Well, nothing, if it's just ended recently, until a week before it ended we were arguing with him about that. And he started doing it and then others also started doing it. And of course, it's like the stupidity is contagious.</t>
  </si>
  <si>
    <t>Sure, I talked to some of those at the Gymnasium and they told me: «Dude, that hasn't happened to me at all. Maybe have your child and get hit with an open hand and things like that», they told me.</t>
  </si>
  <si>
    <t xml:space="preserve">When you put together the problematic with the problematic, then all you will have are problems. It is a system of segregation which makes you go crazy. 
</t>
  </si>
  <si>
    <t>I had it very idealized when I came, because they sell you the shit, you'll find a job because there was a lot of job offers, I don't know what.</t>
  </si>
  <si>
    <t>What amuses me is that then we are treated like the bottom of the world.</t>
  </si>
  <si>
    <t>And, well, that's it. That not everything that shines is gold.</t>
  </si>
  <si>
    <t>It was a shock, but not so much because I have lived abroad, I speak English well, so that didn't cause too many problems. Also my institute is very chaotic, they tell you everything from one day to another, so organization is non-existent, which is what caused most of the problems.</t>
  </si>
  <si>
    <t>And the first day of class, well, of course, as they put so much pressure on you and you have to show that it's like that, you don't have to pass even the first moment so super so so so so so</t>
  </si>
  <si>
    <t xml:space="preserve">
I am going to make an aside. This also happens to me when I say America. In reality, I refer to Americans. And then people come from Latin America saying, sorry, you are a fucking idiot because America is everything, not just the damn Yanks.</t>
  </si>
  <si>
    <t>It's true that last year she was a student who always challenged me. I sent her a task and she always had to argue about anything, I don't know what. Plus, she was one of the students who missed a lot. Well, I had already had a little feud with her and that she always argued with me</t>
  </si>
  <si>
    <t>And there have been many deaths like this from a fight in the street, because over a discussion, leaving a bar, bam, bam, in the end a dead person because they pulled out a weapon.</t>
  </si>
  <si>
    <t>When we did a campaign with Exhibit, a very famous rapper who is best known for customizing cars, he made a great campaign with us. He was a wonderful guy, but damn, he asked us for a bag of marijuana.</t>
  </si>
  <si>
    <t>One of the things, dude, that I also realized very clearly, they say that you also discover it a little when you become an adult, but in this world it's like everyone is on drugs.</t>
  </si>
  <si>
    <t xml:space="preserve">I worked in a building at a multinational company. They issued a statement, all their employees were very posh and they were all making money, and here we are all like hell, there was a turd outside the toilet. 
</t>
  </si>
  <si>
    <t>And that really pissed me off when I entered the industry, and it's an industry that I feel is very classist. Not only with who you work with and all that, but also with access. Fuck, if you live in Madrid or Barcelona, which is where everything is, when you have to come here, dude, you have to study the master's degree, which is also a master's degree that they pulled out from under the rug.</t>
  </si>
  <si>
    <t>Well, it's not just that you're the most talented, that you have the best ideas or that you're the best at designing or the best at writing. You also have to have a financial lung from your parents or balls to work. On weekends, looking for freelance work on your own and earning it in the black and looking for a way to live.</t>
  </si>
  <si>
    <t>Hello, my name is Claudi and I actually work at Starbucks where you pay 37 euros because they take out a kidney and say your name. And on top of that, we don't even write it down anymore</t>
  </si>
  <si>
    <t>I am going to open a melon. In your videos they criticize France a lot. Today I come to defend them, man. They are the least annoying</t>
  </si>
  <si>
    <t>It was morning, but I am talking to you at seven thirty. We see a girl and a young guy enter. They stood there facing the bar and started groping each other, giving themselves good kisses and we saying, well, okay</t>
  </si>
  <si>
    <t>Then, of course, a woman suddenly asks us at the bar and says, I want a complaint form, you have the soap dish broken. And of course, we start talking to her, I leave her the bar, wash her hands, no problem. She keeps saying No.</t>
  </si>
  <si>
    <t>Really in those 2 years that I was there, I was a completely different person. I lived bitter day after day. I really think that it consumes you that people treat you so badly.</t>
  </si>
  <si>
    <t>There was this girl, this chick was from Britain, and her family was super religious, but super religious hardcore Protestant. Like typical skirt all the way down to their heels never did anything with anyone like that</t>
  </si>
  <si>
    <t>"Cairo how about?" It's very beautiful like some pyramids that say God, it's probably the most stupid thing in humanity.</t>
  </si>
  <si>
    <t>We did a 14-day route. We were going to Urgedda and there was a very random guy who started to follow us. I don't remember how he was called.</t>
  </si>
  <si>
    <t xml:space="preserve">Yes, it is true that with Israeli people, many friends of mine there are Jewish and not Israelis and everything is fine and they are good people, but yes, it is true that perhaps the general feeling, especially at first, is like they were sometimes a bit... not disdainful, but they did look down their noses at others. 
Evidentely not all the world. The vast majority of people are very nice. 
</t>
  </si>
  <si>
    <t>"I went out of Jerusalem like July last year and there were many heavy tensions. Maybe they fired five thousand missiles above Tel Aviv one day, which never fire on Tel Aviv</t>
  </si>
  <si>
    <t>Sure, I remember many times that maybe I was at my safe, because I had a safe in Jerusalem that the guy was pinched.</t>
  </si>
  <si>
    <t>In the checkpoints, of course, it's that all the people were my age and it's not like the Finnish military service. Yes, yes, that it's not the military. I mean, they take you and send you to Lebanon</t>
  </si>
  <si>
    <t>It's curious because I was previously in another scare room, which I saw an offer on Instagram for a scare room that I had played, and I said, well, let's go for it, what's the worst that can happen?"</t>
  </si>
  <si>
    <t xml:space="preserve">In addition, what's cool is that. Thanks to the people who are very involved. 
</t>
  </si>
  <si>
    <t>"But to me what makes most sense, between quotes, families. There they go crazy.</t>
  </si>
  <si>
    <t>There is a corpse, such, I don't know what, I don't know how many, we have to remove the worms... There is a key moment, which is tense, and my partner or so as we do of bad cop and said \"Come on, I'm going to send all of you to God"</t>
  </si>
  <si>
    <t>You are seeing the escape room and you can see many types of people, but how does a dog develop? A group of dogs that are there.</t>
  </si>
  <si>
    <t>When I was 12, my dad was looking for a job and the usual thing where you throw all the offers, well, to see what comes out. And he got hired and said: okay, now we have to try. What was the job? Engineer of bridges. Hey, what a crazy job.</t>
  </si>
  <si>
    <t>And so a person who had never been to Albacete finds themselves on a 12-hour flight full of Vietnamese people. I, of course, had seen very little Vietnamese people in my life, probably. Listening to them talk, I was blown away.</t>
  </si>
  <si>
    <t>"And your teacher is still there? I think he retired already since he had worked so many years in lots of schools all over the place</t>
  </si>
  <si>
    <t>It's like this beautiful and fantastic image of saying, hey look how great, what will this man want to listen to. And then sure enough the one who talks the most is probably the husband. An chatterbox</t>
  </si>
  <si>
    <t>Once a woman was seen looking at the glass, she grabbed my arm and asked why the Romans built downwards. The people laughed</t>
  </si>
  <si>
    <t>Well, there were gargoyles on churches, like this... One church in Barcelona called St. Ildefons which is a beautiful church was bombed during the civil war. There are people who ask whether the gargoyles are cannons to shoot</t>
  </si>
  <si>
    <t>There’s so many people who think that Spain is like we grow up thinking Columbus was our savior and blah-blah-blah. When they come over here, I think good faith wants to totally change that vision</t>
  </si>
  <si>
    <t>There have been robberies on the tours. That's another melon we can open</t>
  </si>
  <si>
    <t>It's a bit frustrating because at the end of the day you just want to do a cool tour in 2 hours explaining the history of the Jews and Christians, I don't know, anything, and they're going to look at you with the face of, well, but it's a young Catalan independentist, then it's a bit complicated to get rid of this stigma.</t>
  </si>
  <si>
    <t>But does Antoni Gaudi still live? Someone fucking asked you if he’s alive. And they said something about the tramway, but how could I catch him</t>
  </si>
  <si>
    <t xml:space="preserve">One of the things that I like is historical cousin. I always identify him with cathedrals. An attraction for historic cousins who stand in front of a facade and say this is Romanesque, this is Gothic, this has everything. 
</t>
  </si>
  <si>
    <t>After that, there are more normative families, let's say, who come looking for the best they can, but end up in those schools, in that contrast of very good, very nice children. There is no middle ground there.</t>
  </si>
  <si>
    <t xml:space="preserve">"In their homes they have zero education, they don't have any kind of limits and when they come to school and a teacher tells them ""sit down, take out your book"" they see this as something that I am here because the law obliges me to be." 
</t>
  </si>
  <si>
    <t xml:space="preserve">As a priority in this type of school, you want the children to be at school from 9 o'clock until 2 o'clock and nothing serious happens, so that the children leave happy. 
</t>
  </si>
  <si>
    <t>Have they ever played tricks on you? They play knowing they’re playing tricks."</t>
  </si>
  <si>
    <t>Yo the route I take home I often do accompanied by children because I pass through the neighborhood. And the child enters, goodbye teacher, goes into his house which is a basement with the door open.</t>
  </si>
  <si>
    <t>And a fifth-grade class comes by for physical education or something, and a guy I don't talk to or anything tells me, you should keep your phone. And I'm shocked, not like, oh my God, they're going to steal it, but how do you have to assume the concept of stealing to the point where you recommend a stranger, keep it because they're going to steal it because I don't know what</t>
  </si>
  <si>
    <t>The thing is they don’t like school. I imagine a kid saying “I want to study this career” and parents say “but you’re stupid”, when he turns legal age he will work with them</t>
  </si>
  <si>
    <t>That he has cheated on me, it's that he's a bastard, it's that he went with 3 from the same class, it's that he went with the one from fifth and the little one, these things happen at school</t>
  </si>
  <si>
    <t>I had a very big problem with one parent, but it wasn't during a tutorial. Because parents come looking for problems.</t>
  </si>
  <si>
    <t>I have set myself the goal of finishing these years and saying that there are fewer unemployed people because employment has helped to make matches. There is one company, there is one person who needs a company; just with this, I think I would already have enough to fill my working day.</t>
  </si>
  <si>
    <t>"Tell me about some moves that have been made against you, man. Suddenly your neighbour from next door grabs you by the arm and starts giving you a hard time.</t>
  </si>
  <si>
    <t>"Here you still have the feeling of neighborhood, community. I know my neighbor across the street, I don't know what, I don't know what, I don't know how much. That shit doesn't exist in Madrid. And at the same time there is less in other places.</t>
  </si>
  <si>
    <t>"One of them, for example, they called him El Patillas, which I don’t know why they called him El Patillas, because he didn’t have sideburns. He was an older man with lots of bad attitude. He would come with his cane and always go through the self-checkout lanes.</t>
  </si>
  <si>
    <t>The same thing. You ran into the lady who said she had been buying there for 50 years, but then every time she came, she would ask where the eggs were... some nonsense, man</t>
  </si>
  <si>
    <t>In the end, you're supposed not to insult because it's ugly, although I do recognize that sometimes they've sent me to hell. And I've also sent them to hell.</t>
  </si>
  <si>
    <t xml:space="preserve">"I admit that I have often been angry and have not hit anyone, because look at one day when they almost had to separate me from another man who told me that he would punch my face in. And I said to him, ""Do it by shouting and insulting his wife.""" 
</t>
  </si>
  <si>
    <t>It's a supermarket like Mercadona, like Carrefour, like Lidl or like Día. We're not talking about up there, where the sellers have to fawn over you because they have to sell you, they have to earn commissions.</t>
  </si>
  <si>
    <t>"But then the next coupon that I passed didn't accept it because he had put plastic bags up and plastic bags don't count. So, of course, we had to cancel the whole purchase, go back and do it all over again and he got angry about it."</t>
  </si>
  <si>
    <t xml:space="preserve">My mother is having fun with me by telling me that I am like a duck. 
</t>
  </si>
  <si>
    <t xml:space="preserve">Odien less that you speak Spanish to them than that you speak English. They hate the English. 
</t>
  </si>
  <si>
    <t xml:space="preserve">"For example, they did make me talk a little about the civil war or a class in which I had to speak about the ""Dana"" of Valencia. And of course, if I was speaking about something that might be a bit complicated and there was a boy next to me who was making jokes all the time and messing with me, well, that would have been terrible for me." 
</t>
  </si>
  <si>
    <t xml:space="preserve">There were many people who told me they wanted to come to Spain on holiday. And I said to them at the airport, when asked, say that you are going to Portugal. They didn't catch my story. 
</t>
  </si>
  <si>
    <t>They gave me a zass with the boyfriend thing. A 13-year-old boy who left me shaking.</t>
  </si>
  <si>
    <t>But there came a time when I was entering class and suddenly I see 4 or 5 of my students with their faces completely scratched by pencil. My first thought was crazy.</t>
  </si>
  <si>
    <t>One of the things that are also very nice at this age is love affairs. God, how filthy! There were mixed bathrooms in high school. I never went into those bathrooms.</t>
  </si>
  <si>
    <t xml:space="preserve">"I spent a whole weekend preparing lessons and working and making PowerPoints and setting up escape rooms so that then five or seven people would fall asleep during class, three wouldn't listen to me, two would interrupt my lesson. 
</t>
  </si>
  <si>
    <t>So I got there and went out 7 days in a row, no exaggeration. And of course people were freaking out, like, this girl, what's wrong with her? And the really nice people. The people in my dorm, Spanish. The rest, not so much.</t>
  </si>
  <si>
    <t>"Kit Kat" is a nightclub where people basically go to have sex. People are naked, they go all the way, obviously, but then inside there is a wonderful decoration, isn't it?</t>
  </si>
  <si>
    <t>It's not anymore the shit, it's not anymore the foreigners, now its the atmosphere downtown during night time. From the NPCs who rap you with the mic like \"I am this girl\", there is also one who looks like Michael Jackson wearing something white and walking backwards. It seems he doesn't feel well, he walks very strange</t>
  </si>
  <si>
    <t>Here where I saw a super nice camera. What happens is that if you touch my balls, brother, there were people who told me, no, but give me the longest drink.</t>
  </si>
  <si>
    <t>And finally, the center is full of foreigners in general, which I also understand that that moves money and is what gives us food, but that we should also take possession of our own space and enjoy it</t>
  </si>
  <si>
    <t xml:space="preserve">"I understand what you say about the whole thing with the toilet being destroyed. That's mega destructive. But there's also underwear in here as well, isn't there? 
</t>
  </si>
  <si>
    <t>And then it has an outdoor area with paddle, then it has the typical normal gym, a section of the gym that is adapted to spinning, that is, all bicycles, like, do you know? Those crazy guys who go pum, pum, pum, at full speed, that you say, what a piece of work at 9 in the morning</t>
  </si>
  <si>
    <t>There is a thing that I call the volcano, which is when a toilet gets clogged, clogs a toilet with diarrhea, eye, it's very difficult. You have to be very fucked up inside.</t>
  </si>
  <si>
    <t>Then I cut myself off from things that simply didn't bring me any good, and the mentality, above all, that many people have of I'm going to reach the job of my dreams or a job that gives me a lot of money. I think that more important than even money or the job of your dreams is to find a job in which you see yourself comfortable. It can be something that is neither fun nor boring, do you know?\</t>
  </si>
  <si>
    <t>I was coming to because... The guy has gel in the pool, bro. The guy has gel in the pool, which I told my partner, I gave him 2 elbows and said, bro, he has gel.</t>
  </si>
  <si>
    <t>Sure, a little bit of posing every now and then. Saying something like \"I went on vacation somewhere\" - It's just one nice picture doesn't hurt anyone. There's no need not take pictures</t>
  </si>
  <si>
    <t>Many times animals are involved; dogs eat the fiber optic cable and you pay £60 for it. Once I had one who was very angry, so I called him to tell him we were coming and he started to get hot under the collar as if we had been waiting for ages or something.</t>
  </si>
  <si>
    <t>Also, the one who is in Gibraltar pays less. That for the English, for the one who is from here, works there, they fuck you alive. I do the 2 declarations. I working in the McDonald's of Gibraltar paid 760 euros of tax</t>
  </si>
  <si>
    <t>"The problem is at the beginning when I started that there are things that they ask you and you say ""What the hell is this guy asking me?"" Some nuggets, some potatoes, a regular Coke, a cheeseburger without cheese and without onion."</t>
  </si>
  <si>
    <t>Yes, yes, I had some. Well, well, I don’t know how to tell you this, because I didn’t even fucking know what they were saying</t>
  </si>
  <si>
    <t>A lady calls me, says she, they stole my credit card in a pub, don’t know what, blah, blah, blah. It’s that I went to pee and when I came back it wasn’t there anymore. And then I hear a voice behind her saying, but tell him you went to pee.</t>
  </si>
  <si>
    <t>Scam. And you have to be very careful because they are very sons of bitches, huh? At first you may think, well, this only fools fall for, don't they? It doesn't fall for difficult things.</t>
  </si>
  <si>
    <t>Until the tax office calls you. A few years ago, they called people pretending to be the Tax Agency Basic Income. They asked that to verify that they are them, that they send a Bizum of 100 euros to X number. Of course, then neither the tax office nor anything else</t>
  </si>
  <si>
    <t>He says, this phone is paid. I say, no, sir, it's not paid. It's paid. Insisting that it's not, sir, that it's not paid. I'm muted and I hear him say, the stupid one who doesn't know anything. I unmute and tell him, well, sir, what you're going to do is look for another stupid one who knows something, right?</t>
  </si>
  <si>
    <t>I tell him like this and say, haha, how funny, because actually you aren't doing anything bad to them, because you're changing their light. I mean, you're not putting them through some mortgage of their lives."</t>
  </si>
  <si>
    <t>Raquel stayed in our hearts on this channel. And every now and then people who have re-watched the video, or new people who have discovered the videos say, when will this little girl come back? She came back."</t>
  </si>
  <si>
    <t>We went to the home of a very nice British couple in the most rural area of rural Burgos. They had been living there for years.</t>
  </si>
  <si>
    <t>You see everything, go to the house of Fulanito, see the conditions he lives in, if he is alone and his children are somewhere else, he cannot take care of himself and the house looks like this or that... and you see it all.</t>
  </si>
  <si>
    <t xml:space="preserve">
O sea, if you go around asking questions like "Eugenia, yes, she has been coming alone for some time now", or "she looks tired these days" or "she has her own circle of friends who look out for her", then in the city everyone seems to be anonymous. In the city we are all NPCs. 
</t>
  </si>
  <si>
    <t xml:space="preserve">"I had already made my mind up at the age of twelve, being basically a crappy otaku, but a bad rat. But then, between the ages of twelve and twenty-two, you say, how the hell am I supposed to go to Japan? 
</t>
  </si>
  <si>
    <t xml:space="preserve">"Japan, I put it in my ass. That is, Japan is the best shit that I have ever had in my life. But both good and bad, eh?" 
</t>
  </si>
  <si>
    <t xml:space="preserve">""They are so completely obsessed with money and all that stuff that they ask us how much we earn. He puts it down on paper, like this: ""Your salary, I don't know how much you earn."" 
</t>
  </si>
  <si>
    <t>So then you have to play a mental trick on the one who likes to invent that it was really an accident so that she doesn't go and tell the mother that they hit each other because if not the other little girl is going to have a lot of consequences.</t>
  </si>
  <si>
    <t>It's very magical everything. Also very top secret. They take it very seriously when it comes to workers not posting things on social media.</t>
  </si>
  <si>
    <t>"The conditions are very good. This is exclusive to workers. Look at what kind of merchandising there is. It is this jacket that looks like this and you say that it is fine.</t>
  </si>
  <si>
    <t>They are so proud of French people. France is best, French people are best, French cuisine is best and I piss all over French cuisine</t>
  </si>
  <si>
    <t>Iván is my name, by the way, in case anyone doesn’t know. And as I have already explained perfectly, I worked talking badly and soon, giving people a hard time trying to get them to accept some colleague going to their home.</t>
  </si>
  <si>
    <t>I turn around and he comes with his hand like this and he brings a fucking green parrot, man. That it has fallen from a tree. I say, well, that's it. To the vet. I open the wing, I start to look at it. And now I say, man, what do I do with that fucking parrot, man.</t>
  </si>
  <si>
    <t xml:space="preserve">"But man, they had to call my mother. It's like, one day when she takes a vacation, man, I have to give her a hard time. They even took the damn red cross wallet, man." 
</t>
  </si>
  <si>
    <t xml:space="preserve">The Red Cross said that they were going to report the police in my name, which I don't know about. Then the police apologised. A very strange move, man. Fuck this gypsy life I have, come on. 
</t>
  </si>
  <si>
    <t>That day I set a record for half of Spain for the Red Cross, I think, dude. 218 coupons in a day. I mean, it looked like that, dude, full of cars that I say, brother, dude, here each one poops more money. And I, well, depending on the place, I have a speech.</t>
  </si>
  <si>
    <t xml:space="preserve">"I opened the message as if to say that I am involved with this business, but not so keen on it. 
</t>
  </si>
  <si>
    <t xml:space="preserve">"There is everything. There are owners who don't care, they want to make as much money as possible. But I also have owners who take great care with whom they let in, they talk to them before accepting or they have quite strict criteria. For example, one owner will only accept families with good ""reviews""." 
</t>
  </si>
  <si>
    <t>Another example is the typical person who tells you "No, no, I don't want tourist traps, I want an authentic experience of this place". And when you see them, you say "You don't know what you are asking for."</t>
  </si>
  <si>
    <t xml:space="preserve">It's a whorehouse. In short, you can't have sex with any passengers or have any kind of relationship. And I thought that was quite prohibited." 
</t>
  </si>
  <si>
    <t>People have so much hate against French people and I understand, but I have to say that in my case I developed hatred towards Italian people. It’s like a Spaniard, but at maximum level of cunny as when they make a scene drunk</t>
  </si>
  <si>
    <t>Once, I think it was around July last year, there was a French client. Typical French customer aged about 50-60 years old who had his car opened and needed to contact the French insurance company. Now this gentleman didn’t speak so much Spanish did he now?</t>
  </si>
  <si>
    <t>The guy from the workshop tells me, straight out. Tell that French bastard not to worry, his car will be ready Friday afternoon</t>
  </si>
  <si>
    <t>Whenever I've recorded any video in England and I've caught an Irishman or Irishwoman, the star comment that they've always let me off in all the videos I've recorded there has been to curse the English from top to bottom.</t>
  </si>
  <si>
    <t>Well, we were partying and when we came back, the usual, because all the bars and all the discos close at 2 in the morning. At 2 in the morning, to your fucking house. And there the Irish and the Greeks, that is, they are super drunk.</t>
  </si>
  <si>
    <t>"The historical accuracy is a bit..." I like fashion history very much. And I am quite keen on, ""Why doesn't that wear the correct thing?"" Have they done something good by not wearing horns? At least they have done that well. Obviously, they don't care about historical accuracy.</t>
  </si>
  <si>
    <t>Well, before passing the anecdote, I have to ask you something, because this is something that has a lot of fame from India, from its gastronomy, and especially, from the experience of many friends of mine who have gone there, is the first cagalera.</t>
  </si>
  <si>
    <t>These monkeys, who go in packs of 30 or 40, maybe, would jump into the zone of the embassy. You see them from far away and say, fuck, what nice guys, etc., so you see the monkeys with the mothers attached here, you see the big monkeys that sometimes looked like meatballs, do you know?</t>
  </si>
  <si>
    <t>"They treat you differently, good or bad. They consider that you are upper class, they think that you have money, so sometimes they see you like a wallet with legs.</t>
  </si>
  <si>
    <t>The rights of women sometimes leave something to be desired. It still happens today that the woman stays home, household chores, so basically old-fashioned stuff like that."}</t>
  </si>
  <si>
    <t>Aver, don’t laugh, because we Spaniards aren’t either very good at speaking English, OK?"</t>
  </si>
  <si>
    <t>There are places that everyone goes and I really want to know the ins and outs of the character types who must go to the MediaMarkt.</t>
  </si>
  <si>
    <t>I've worked at MediaMarkt for 2 years and a half. Luck or misfortune, I was just in the center of Malaga, in Vialia, where a lot of people pass by and where all kinds of riff-raff are.</t>
  </si>
  <si>
    <t xml:space="preserve">And on top of that, I had the gaming part, especially the keyboards, mice, where the typical kids would come there to touch the little keyboards.
</t>
  </si>
  <si>
    <t>Of course, imagine an old man, my colleague fighting with him, another man just behind insulting my colleague because he said that the phone was going bad and Santa Lucia told him that the repair had to be done by them.</t>
  </si>
  <si>
    <t>The child appears through the door, passing by and saying: Who's going to get the hot potato? Because you imagine it, holding that guy, it's a real pain</t>
  </si>
  <si>
    <t>When I already asked him what bank it was, he started: "And why do you want so many details?" Screaming there in the middle of the store, hitting some blows.</t>
  </si>
  <si>
    <t>What do you have to do there to get out of it? You have to come up with everything you can because the guy is going crazy and all you want is to get out as soon as possible.</t>
  </si>
  <si>
    <t>They told him in the store that they didn't return money for that type of problem, but of course, when a guy like that comes in, you don't want to have him in the store giving you a hard time all day, so what you want is to get rid of him.</t>
  </si>
  <si>
    <t>People who try to haggle, they think that if they take 2 laptops, the price will go down. Effectively, as if I were the owner of the store. Brother, if I take these 2 laptops, how much do you leave me?</t>
  </si>
  <si>
    <t>I saw the guard get up, automatically stop the escalator and I see an older man sitting on the floor next to the guard, dripping blood. I went into the room, started to get the sucker, started to clean his wounds to see how bad his face was. His face was a mess.</t>
  </si>
  <si>
    <t>The one whose hair falls out is me, because imagine you get the ID of any person, you process a financing and if by chance it is accepted, the one who gets into trouble is the other person.</t>
  </si>
  <si>
    <t>And then there was the typical child who came with the father and got into a rage because the father had bought him a Xiaomi and the child wanted an iPhone and the father as if he was looking at the child and saying: "Dude, what is the cheapest iPhone? And as he tried to make the child understand, but the child was by all means that it was an iPhone.</t>
  </si>
  <si>
    <t>The guy had stolen a Nintendo Switch, Play controllers, and had stolen almost six thousand euros in the store. The scoundrel saw that he wouldn't be satisfied with stealing from us there and wanted to make it a little more difficult.</t>
  </si>
  <si>
    <t>I wasn't wearing an Apple badge, nor was I with the Samsung guys, nor was I with the Xiaomi guys. I was on my own.</t>
  </si>
  <si>
    <t>There was a point that he said: If finally the blood is going to reach the river. I got angry, gave him a slap on the table and told him: Look, I don't want to put up with you or the stupid things you have.</t>
  </si>
  <si>
    <t xml:space="preserve">Today we are going to talk about that supermarket where you used to go shopping a year ago because it was cheaper than the copon and now it is more expensive than the Virgin.
</t>
  </si>
  <si>
    <t>The truth is that the atmosphere was super pleasant and I was super comfortable and happy working there.</t>
  </si>
  <si>
    <t>I haven't seen a uniform more comfortable in my life. Look how famous it is for being ugly. No, ugly as hell, the truth is that it is.</t>
  </si>
  <si>
    <t>You shouldn't be ashamed of asking, because they ask you every silly thing and you have to go with absolute shamelessness.</t>
  </si>
  <si>
    <t>The manager of that day's store goes upstairs to check that everything is correct and comes down and says to me: "Fuck, I have pissed shit, but it's like that in the lobby there has been someone who has shit and has gone giving jumps forward".</t>
  </si>
  <si>
    <t>So if someone robs, you know they've robbed and you see them the next week and you say, "Watch out for this guy, he might do it again."</t>
  </si>
  <si>
    <t>A man comes one day and says: "You just got robbed between the boxes, the guy dragged himself on the floor of the boxes and ran away stealing."</t>
  </si>
  <si>
    <t>One day they tried to distract me from behind. They did it with the real ass, because I didn't even turn around.</t>
  </si>
  <si>
    <t>I know there is someone who is going to steal milk, a package of pasta, rice, water, well that person, well You don't care.</t>
  </si>
  <si>
    <t>A man was picking up his things while talking on the phone with one hand and then putting them away calmly with the other. And there was a guy behind who probably doesn't have as much patience: "Ass, idiot".</t>
  </si>
  <si>
    <t>I don't understand the mentality that we have that Mercadona is cheap because they don't do back-to-back offers.</t>
  </si>
  <si>
    <t>This time, one of my favorite regions, the fish and chips region, of the people with teeth like that, of that people that everyone talks about in their language, but they don't speak in the language of no one. Let's get to know England.</t>
  </si>
  <si>
    <t>I didn't like the doctorate because everyone was precarious, lost and there was a girl who graduated at 35 years old, because finally the parents had become independent and I said no, this is not for me.</t>
  </si>
  <si>
    <t>Professor of Biology, Physics and Chemistry, equivalent to second year of secondary school to second year of high school. The best of each house. So scary.</t>
  </si>
  <si>
    <t>Well, God, I had two brothers who took classes from me and of course, they came without knowing English very well. As I was a very nice, very helpful teacher, the vice-principal told me: "Hey, put the exams with this, translate it and so on... I gave him the answer, what the fuck.</t>
  </si>
  <si>
    <t>The problems are marked by points. If you do one thing, it gets one point. If you do another thing, it gets another point. There they make it too easy for them.</t>
  </si>
  <si>
    <t>Don't worry, it's because they were all taller than me, that's normal. I was also very funny to them and I pretended to be angry.</t>
  </si>
  <si>
    <t>The sons of a bitch of my friend are laughing a lot. «Now what, huh? So much that you wanted to be there, that the people were very polite. Here you go».</t>
  </si>
  <si>
    <t>I haven't argued with those British ones before. Because they would sneak into the fucking Tesco.</t>
  </si>
  <si>
    <t>And I also had a French family. I'm going to break a lance in favor of the French. The French are very attentive. The French look out for each other like a hive mind.</t>
  </si>
  <si>
    <t>Sometimes my principal and my head of studies have given me a piece of my mind. Please, it's so obvious you're Spanish.</t>
  </si>
  <si>
    <t>It was his turn, he explained it to the father: He got a 4, but we're going to try to get him to pass for the next one and so on. And he crossed the girl's face in front of me. Seven evils entered my body.</t>
  </si>
  <si>
    <t>And he had the audacity to hit his daughter in front of a teacher. Drunk as a skunk.</t>
  </si>
  <si>
    <t>No, in the end my sub-director and my director defended me. Two real good guys.</t>
  </si>
  <si>
    <t>My subdirector was a retired ex-military gentleman with a doctorate in Shakespeare and more red than red.</t>
  </si>
  <si>
    <t>My favorite phrase would be: "What we have done, which you did not do, is deceive the people." It's really, really, dude.</t>
  </si>
  <si>
    <t>Bro, who taught you Spanish to speak so well?</t>
  </si>
  <si>
    <t>In fact, in 2022, during the Olympic Games in Japan, I saw Kureha, I told her a phrase by Mariano Rajoy and she laughed her ass off.</t>
  </si>
  <si>
    <t>As a Japanese person: Don't you think it's a bit weird that practically everyone is obsessed with Japan?</t>
  </si>
  <si>
    <t>Exactly, for them, the idea of Spain: beach is sun, sangria is party, paella and bullfights. So, you show them a picture of Asturias or Galicia, they freak out, they say: No, this is not Spain.</t>
  </si>
  <si>
    <t>To then come to Mallorca, buy their house and there is a neighborhood in Mallorca that is all written in German. I'm sorry to say it, because I say: Shit, no, they're stereotypes, let's break the stereotypes, but they can't.</t>
  </si>
  <si>
    <t>And coño, my colleagues who are in a Gymnasium, tell me: Ah, coño, mine are all with 8 German surnames. Fuck, don't joke.</t>
  </si>
  <si>
    <t>And it makes you think: If this separation is supposed to be because they perform better or worse, why the fuck do I have kids in class who are real study machines? When academically you are brilliant, because you are a fucking genius.</t>
  </si>
  <si>
    <t>It's that, you know, kids are a well of surprises.</t>
  </si>
  <si>
    <t>And I: "But how do you have the balls to call this to a teacher? That's not going to happen, calling me that, I'm not a dog."</t>
  </si>
  <si>
    <t>If they see that something bothers you, instead of stopping, as they are a bunch of chinchones, they are going to do it more.</t>
  </si>
  <si>
    <t>Well, nothing, if it's just ended recently, we've been arguing with him about that for a week before it ended. And he started doing it and then others also started doing it. And of course, the stupidity is contagious.</t>
  </si>
  <si>
    <t>Of course, I talked to those at the Gymnasium and they told me: "Dude, that hasn't happened to me at all. Maybe your kid gets hit with an open hand and things like that," they told me.</t>
  </si>
  <si>
    <t>When you mix the problematic with the problematic, all you're going to have are problems. It's a system of segregation that blows your mind.</t>
  </si>
  <si>
    <t>I'm laughing because it's like: "Well, everyone knows the deal, right? Eh, no need to mention it, right? Come on to Germany, right?" You say: "Fuck, we haven't learned anything, damn it.</t>
  </si>
  <si>
    <t>So if you take it by the band of: "Well, of course, it's a statute school, so you're not as smart?" You're already kind of categorizing the child a bit, right? So, you're here because you're not as smart, then. Meritocracy at 12 years old, touch your balls.</t>
  </si>
  <si>
    <t>I had it very idealized when I came, because they sell you a lot, you'll find a job because there was a lot of job offers, I don't know what.</t>
  </si>
  <si>
    <t>Let me take a break. It also happens to me because I say America. In reality, I mean Americans. And then people from Latin America say, excuse me, you're a fucking idiot because America is all, not just the damn Yankees.</t>
  </si>
  <si>
    <t>And, you know, that not everything that shines is gold.</t>
  </si>
  <si>
    <t>It was a shock, but it wasn't that much because I have lived abroad, I speak English well, then for me it didn't cost me so much to get used to, also because my high school is very chaotic, they tell you everything for tomorrow, that is, the organization shines by its absence, then that's what cost me the most</t>
  </si>
  <si>
    <t>And the first day of class, well, of course, they put so much pressure on you and you have to show that it's like that, you don't have to pass anything in the first moment.</t>
  </si>
  <si>
    <t>It's true that last year she was a student who always challenged me. I sent her a task and she always had to argue about anything, I don't know what. Plus, she was one of the students who missed a lot of classes. Well, I had already had a little spat with her and that she always argued with me.</t>
  </si>
  <si>
    <t>What I was saying to you before is that for me it has changed a bit the chip, the chip in terms of the grades, because you really see the background of all of them and what you see is that for them this is not important.</t>
  </si>
  <si>
    <t>And there have been many deaths like this from a fight in the street, because for a discussion, leaving a bar, bam, bam, in the end a dead person because they pulled out a weapon.</t>
  </si>
  <si>
    <t>When you do a campaign, of course, you always rely on content creators or famous people, either a footballer, musicians. And for a campaign we did with Exhibit, a very famous rapper, who is better known for having tuned cars, we did a very cool campaign with him, the guy is very nice, he was wonderful, but fuck, he asked for a bag of weed.</t>
  </si>
  <si>
    <t>A ver, it's that in the ads the drug thing is quite curious, right? Fuck, until you face people who really go all day high, you don't understand how it really works, because a lot of people think they are rock stars.</t>
  </si>
  <si>
    <t>I went in as a trainee right on the anniversary of an agency, they rented a bar, they dressed everything up between gringo, latino, of this roll. And you know what, I, of course, was my first day.</t>
  </si>
  <si>
    <t>I used to work in a building, in a multinational company. They send out a statement, a super posh agency and all the super moneymakers and here we are all amazing, well there was a turd, dude, a turd outside the toilet.</t>
  </si>
  <si>
    <t>And that made me really angry when I entered the industry, and it's an industry that I feel is very classist. Not only because of who you work with and all that, but also because of the access itself. Joder, if you live in Madrid or Barcelona, which is where everything is, when you have to come here, dude, you have to study the master's degree, which is something they just made up.</t>
  </si>
  <si>
    <t>It's not just that you're the most talented, that you have the best ideas or that you're the best at designing or the best at writing. It's that you have to have a financial lung of your parents or balls to work. On weekends, freelancing on your own and getting paid in the black and looking for a life.</t>
  </si>
  <si>
    <t>Hello, my name is Claudi and I actually work at Starbucks where you pay 37 euros because they take out your kidney and say your name. And on top of that, we don't even write it down anymore.</t>
  </si>
  <si>
    <t>I am going to open a melon. In your videos, the French are criticized a lot. Today I come to defend them, dude. They are the least annoying.</t>
  </si>
  <si>
    <t>It was in the morning, but I'm talking to you at 7:30. We see a girl and a young boy enter. They stood there in front of the bar and started to caress each other, giving each other good kisses and we were saying, well, that's good.</t>
  </si>
  <si>
    <t>Then, of course, a woman suddenly asks us at the bar and says, I want a complaint form, you have the soap dish broken. And of course, we start talking with her, I leave her the bar, wash her hands, no problem. She keeps saying no.</t>
  </si>
  <si>
    <t>Then I went, I looked at the flats, it was maybe like a basement to take the piss with damp 1 disgusting room. 1,000 euros each. I managed to cry a lot to the people at the residence. Maybe there's a place, but you have to share with 5 Israelis. I give myself a pat on the back.</t>
  </si>
  <si>
    <t>And he takes us like to a room, a group maybe of 10 men sitting around, he sits us down and says, ask whatever you want. And we spend like 2 hours talking about Islam, asking him things and what his perception of heaven is, of Islam, what he thinks about Christianity, hey, I heard this, what do you think of this guy? Sure, then we leave with this guy, because we've made him our friend after 2 hours talking, I have a photo with the Polaroid with all of us</t>
  </si>
  <si>
    <t>There was a girl, this girl was from the UK, and her family was super religious, but super religious to the extreme, Protestant. The typical skirt to the ankles, had never done anything with anyone and such.</t>
  </si>
  <si>
    <t>And Cairo, how was it? It's very cool with those pyramids you say, God, it's probably the most awesome thing in the world.</t>
  </si>
  <si>
    <t>We did a 14-day route. We were going to Urgedda and there was a very random guy who started to follow us. I don't remember his name.</t>
  </si>
  <si>
    <t>Yes, it's true that maybe with Israeli people, obviously many of my friends there, in a way, they are Jews and not Israelis and everything is super fine and they are good people, but it's true that perhaps the general feeling, especially at the beginning, is like that many times they were a little... not disrespectful, but they looked something like over the shoulder.</t>
  </si>
  <si>
    <t>I left Jerusalem around July 2023 and there were a lot of very heavy tensions. Maybe they fired five thousand missiles on top of Tel Aviv in a day, which they never fire on Tel Aviv. Of course, I remember many times that maybe I was at my jeweler, because I had a jeweler in Jerusalem and the guy was stuck up his ass.</t>
  </si>
  <si>
    <t>Keep in mind that military service is mandatory for both men and women. It's like, imagine you give a 18-year-old boy an AR-15 and tell him, "You're going to put on this suit and act like a big shot in front of all your buddies to defend the promised land because you're a messenger of God."</t>
  </si>
  <si>
    <t>In the checkpoints, of course, it's that all the people were my age and not like a Finnish military service. Yes, yes, that it's not the military. That is, they catch you and send you to Lebanon.</t>
  </si>
  <si>
    <t>It's curious because I was previously in another scare room, which I saw an offer on Instagram for a scare room that I had played, and I said, well, why not, from lost to the river.</t>
  </si>
  <si>
    <t>In addition, that's what's cool. Thanks to the people who get very involved.</t>
  </si>
  <si>
    <t>But what I find most funny, in quotes, are families. There you go.</t>
  </si>
  <si>
    <t>There is a corpse, such, I don't know what, I don't know how many, we have to remove the worms... There is a key moment, which is tense, and my colleague or so as we do of bad cop said "Come on, I'm going to send all of you to God".</t>
  </si>
  <si>
    <t>You are watching the escape room and you can see many types of people, but how does a dog develop? A group of dogs that are there.</t>
  </si>
  <si>
    <t>When I was 12 years old, my dad was looking for a job and the usual thing where you put in all the job offers, so you just have to wait and see what comes up. And they hired him and he said: well, now we have to give it a try. And what was the job? An engineer for bridges. Wow, what a cool job.</t>
  </si>
  <si>
    <t>A person who had never been to Albacete finds themselves on a 12-hour flight full of Vietnamese people. I, of course, had seen very little Vietnamese people in my life, probably. Listening to them speak, I was amazed.</t>
  </si>
  <si>
    <t>It's like the beautiful and fantastic image of saying, well, look how much this man wants to listen to me. And then surely the one who talks the most is the husband. A chatterbox.</t>
  </si>
  <si>
    <t>Once a woman saw me looking at the glass, she grabbed my arm and asked why the Romans were building downwards. People started laughing.</t>
  </si>
  <si>
    <t>There are a lot of people who think that here in Spain we are educated with the idea that Columbus was the savior and bla, bla, bla. When they come here, I think that with good faith they want to totally change that vision.</t>
  </si>
  <si>
    <t>Parents or mothers come to see their child here in Barcelona, they are doing a tour with them and maybe they haven't seen the child for a year. They are emotional because they see what their child is achieving and they see that they are in a nice place.</t>
  </si>
  <si>
    <t>There have been robberies on the tours. That's another melon we can open.</t>
  </si>
  <si>
    <t>It's a bit frustrating because, after all, you just want to do a cool 2-hour tour explaining the history of Jews and Christians, whatever, and they're going to look at you with the face of, well, but he's a young Catalan independence activist, so it's a bit complicated to get rid of this stigma.</t>
  </si>
  <si>
    <t>But is Antonio Gaudí still alive? A cock that they asked you if he is still alive.</t>
  </si>
  <si>
    <t>One of the things I like is the historical uncle. I always identify him with the cathedrals. A magnet for historical uncles who stand in front of a facade and say this is Romanesque, this is Gothic, this has everything.</t>
  </si>
  <si>
    <t>After, families more normatives, let's say, that come looking for the best they can, but end up in those schools, in that contrast of very good, very nice children. There is no middle ground there.</t>
  </si>
  <si>
    <t>In their house they have 0 education, they have no type of limits and that the teacher arrives at school and says, sit down, take the book, they see it as, I am here because the law forces me to.</t>
  </si>
  <si>
    <t>Have the big kids been messing with you? They mess with you knowing they're messing with you.</t>
  </si>
  <si>
    <t>And there's a fifth-grade class that comes in for PE or whatever, and a guy I don't talk to or anything says to me, you should keep your phone. And I'm shocked, not like, oh my god, they're going to steal it, but how do you have to assume the concept of stealing to the point where you give advice to a stranger, keep it because they're going to steal it because I don't know what.</t>
  </si>
  <si>
    <t>Do you need any fucking educational methods to rescue at least a few from that shit or do you have to resign yourself? You're already lost just for being born in a certain place.</t>
  </si>
  <si>
    <t>I had a very big problem with a parent, but it wasn't during a tutorial. Because parents come looking for trouble.</t>
  </si>
  <si>
    <t>I have set myself the goal of finishing these years and saying, there are fewer unemployed because employment has served to make matches. There is a company, there is one who needs a company, just with that I think I would already have enough to fill my working day.</t>
  </si>
  <si>
    <t>I would love to find myself as when you enter a company that you find Onboarding.  a memory with all the projects, what is to be done, what remains, what budget I have</t>
  </si>
  <si>
    <t>Tell me things that have been said to you, dude. Suddenly your neighbor from the fourth floor starts giving you a slap that makes you shit your pants.</t>
  </si>
  <si>
    <t>One of them, for example, they called him the Patillas, I don't know why they called him the Patillas, because he didn't have any sideburns. He was an older man with a lot of bad attitude. He would come with his cane and always pass through the self-service payment boxes.</t>
  </si>
  <si>
    <t>The same. You met the lady who said she had been buying there for 50 years, but then, every time she came, she asked where the eggs were... some fantasies, dude</t>
  </si>
  <si>
    <t>In the end, you're not supposed to insult because it's ugly, although I do admit that sometimes I've been sent to hell. And I've also sent people to hell.</t>
  </si>
  <si>
    <t>No, I also admit that I have gotten angry many times and haven't fought, because look how one day they almost had to separate me from one, because he told me he was going to cross my face. And I told him: do it to the guy, shouting and insulting his wife</t>
  </si>
  <si>
    <t>Once upon a time, there was a woman and she had a shopping cart full of things. I passed by and she started yelling at me in a bad way, that she needed another cart. Well, go and get it, right?</t>
  </si>
  <si>
    <t>It's a supermarket like Mercadona, like Carrefour, like Lidl or like Día. We're not talking about the top, where the sellers have to make you feel good because they have to sell you, they have to earn commissions.</t>
  </si>
  <si>
    <t>But then the next coupon I passed didn't accept it because they had raised the plastic bags and the plastic bags didn't count. So, of course, you had to cancel the whole purchase, start all over again and get angry.</t>
  </si>
  <si>
    <t>My mom is having a laugh with me, telling me I've come back as a duck.</t>
  </si>
  <si>
    <t>For example, they did make me talk a bit about the civil war or a class I had to talk about the Valencia DANA. And of course, I'm talking about something that can be a bit complicated for me and having a guy next to me who is all the time making jokes and making fun of you, for me that was horrible.</t>
  </si>
  <si>
    <t>There were a lot of people who told me they wanted to come on vacation to Spain. And I told you at the airport, when they ask you, say you're going to Portugal. And they didn't catch on.</t>
  </si>
  <si>
    <t>But there came a moment when I was entering the class and suddenly I see 4 or 5 of my students with their faces completely scribbled with a pen. My first thought was insane.</t>
  </si>
  <si>
    <t>And I would spend an entire weekend preparing classes and getting creative and working and making PowerPoints and preparing escape rooms so that then in class 5, 7 would be sleeping, 3 wouldn't be listening, 2 would be disrupting the class.</t>
  </si>
  <si>
    <t>So, I got there and went out 7 days in a row, no exaggeration. And of course, people were freaked out, like, this girl, what the fuck is wrong with her? And the really nice people. The ones in my dorm, Spanish. The rest, no.</t>
  </si>
  <si>
    <t>Kit Kat is a disco where basically you go to fuck. That is, people go naked, they are obviously fucked up, but then the decoration inside is amazing, right?</t>
  </si>
  <si>
    <t>It's not the crap, it's not the foreigners, it's the atmosphere in the center at night. From the NPCs who rap with the microphone in a, no, I, the red-haired girl, doesn't know what, There's the one of Michael Jackson, who wears like a white glove. It's a person who is seen that something is not right, he wore like a backward walk.</t>
  </si>
  <si>
    <t>Here where I see a very nice camera. What happens is that if you touch my balls, brother, there were people who told me, no, but put me the longest cup.</t>
  </si>
  <si>
    <t>And in the end, the center is full of foreigners in general, which I also understand that that moves money and is what gives us food, but we should also take possession of our own space and enjoy it</t>
  </si>
  <si>
    <t>I get what you're saying about the megadestruction of a toilet. So, you're saying, shit like pa-pa-pa-pa-pa-pa all over the toilet, you must have gotten your back dirty.</t>
  </si>
  <si>
    <t>There is an outdoor area that has paddle, then there is the typical normal gym, a section of the gym that is adapted to spinning, that is, all bicycles, in a way, do you know? Those crazy ones who go pum, pum, pum, at full speed, that you say, what a piece of shit at 9 in the morning.</t>
  </si>
  <si>
    <t>I'm not that shocked because I've also worked almost 2 years in a Burger King. The Burger King bathrooms are like a kind of military training for this. O sea, in plan I'm going to Afghanistan, yes, but I've already seen it all.</t>
  </si>
  <si>
    <t>There's a thing I call the volcano, which is when a toilet gets clogged, clogged with diarrhea, watch out, it's really hard. You have to be really fucked up inside.</t>
  </si>
  <si>
    <t>And I have a car with a bucket with dirty water, a bucket with clean water. He comes out of his classes, drinks, he has a little bit of water left and instead of throwing it away, going to the bathroom and throwing it away because it will weigh or whatever, he does so, clic, clic, clic, and empties it into the bucket of clean water.</t>
  </si>
  <si>
    <t>Then I cut myself off from things that simply didn't bring me any good, and the mentality, above all, that many people have of I'm going to reach the job of my dreams or a job that gives me a lot of money. I think that more important than even money or the job of your dreams is to find a job in which you see yourself comfortable. It can be something that is neither fun nor boring, do you know?</t>
  </si>
  <si>
    <t>This is why I came, you know. The guy has gel in the pool, dude. The guy has gel in the pool, I told my buddy, I gave him two elbows and said, dude, he has gel.</t>
  </si>
  <si>
    <t>Tell him in French that if they literally don't speak Spanish, holidaying in Spain and certainly not English, which is the international language, tell them to go to Bordeaux and have a glass of wine. And my colleague told him. I'm getting revenge on what Pepe Botella did, so to speak.</t>
  </si>
  <si>
    <t>Of course, a little bit of posing from time to time. A little bit of saying you went on vacation somewhere. It's just that a nice photo doesn't hurt anyone. There's no need not to take photos.</t>
  </si>
  <si>
    <t>She left me all full of sand and kept insulting me, dude. Tired of her screaming, I asked her to leave. And she had to come the security guy to tell her to leave or stop screaming. They go to a place where they don't have my brand and there, of course, since it's not theirs, they don't bother, they see that the ticket is from another place, pim pam, then they send you the product, and it's all messed up.</t>
  </si>
  <si>
    <t>A lot of times they're animals, the dogs eat the fiber cable and you get charged 60 euros for one of those. One time it also happened to me that I was super indignant, that is, I called him to warn him that I was coming and he started to heat my head like that we had been there for no knows how long, no knows what.</t>
  </si>
  <si>
    <t>He says, ah, and it's also that I can't set up the wifi on my phone. It gives me a lot of embarrassment when they give you the phone to them, because many times you have to enter the browser and you find strange things.</t>
  </si>
  <si>
    <t>Also, the one who is in Gibraltar pays less. That for the English, for the one who is from here, works there, they fuck you alive. I do the 2 declarations. I worked at the McDonald's in Gibraltar and paid 760 euros of tax.</t>
  </si>
  <si>
    <t>The problem is at the beginning when I started that there are things that you ask of you and you say what the fuck is this guy asking me? Some nuggets, some fries, a normal Coca-Cola, a cheeseburger without cheese and without onion.</t>
  </si>
  <si>
    <t>Yes, yes, I've had some. Well, well, I don't know what, because I had no fucking idea what they were saying to me.</t>
  </si>
  <si>
    <t>An older lady calls me, says, the card they stole from me in a bar, I don't know what, bla, bla, bla. I went to the bathroom and when I came back it wasn't there.</t>
  </si>
  <si>
    <t>Even the tax agency calls you. A few years ago, they called people pretending to be the Tax Agency Basic Income. They asked to send a Bizum of 100 euros to a certain number to verify that they were them. Of course, then neither the tax agency nor anything else.</t>
  </si>
  <si>
    <t>He says, this phone number is paid. I say, no, sir, it's not paid. It's paid. Insisting that it's not, sir, that it's not paid. I'm muted and I hear him say, the stupid one who doesn't know anything. I unmute and say, well, sir, what you're going to do is look for another stupid one who knows something, right?</t>
  </si>
  <si>
    <t>I tell it like that and I say, haha, what a joke, because in reality you're not doing him any harm, because you're changing the light. I mean, you're not putting him the mortgage of his life.</t>
  </si>
  <si>
    <t>Raquel is still in our hearts on this channel. And every now and then people who have re-watched the video, or new people who have discovered the videos, say, "When is this little girl going to come back?" She's back.</t>
  </si>
  <si>
    <t>Well, I haven't stopped traveling. Now you're traveling to Burgos. Apart from traveling to Burgos, it's a beautiful place, right? The area where I work is very beautiful</t>
  </si>
  <si>
    <t>We went to the house of a British couple, very cute, in the most rural area of the rural areas of Burgos. They had been living there for years.</t>
  </si>
  <si>
    <t>So, if you ask around, like, hey, Eugenia, yes, she's been coming alone for a while, or she's been looking more tired, or she has an identity, a circle that identifies and takes care of her in some way. And in the city, it seems like we're all more anonymous. In the city, we're NPCs.</t>
  </si>
  <si>
    <t>Investing time in creating that connection with your surroundings is also very important. We don't highlight it enough like wow, what a cool thing, it's brutal, it's a kick in the ass!</t>
  </si>
  <si>
    <t>Japan, I put it in my ass. That is, Japan is the best shit I have ever passed in my life. But both the good and the bad, right?</t>
  </si>
  <si>
    <t>Oh, by the way, they are like so completely full of money and all that that they think we ask how much we earn. They put it on a piece of paper, like, your pay, I don't know how much you earned.</t>
  </si>
  <si>
    <t>That you now see us like this in a plan with the looks and all that. I when I go to work every day I have to take off the nostrils and hide the septum. I have to put on corsets. That is, play pretend with your life, formal clothes, no idea what.</t>
  </si>
  <si>
    <t>So then you have to play the mental trick on the one who likes to invent that it was really an accident so that she doesn't go and tell the mother that they hit each other because otherwise the other little girl is going to have a lot of consequences.</t>
  </si>
  <si>
    <t>It's very magical all. Also very top secret. They take it very seriously with the workers not posting things on social media.</t>
  </si>
  <si>
    <t>The conditions are very good. This is exclusive for workers. Look at what kind of merchandising there is. It's this jacket that you see like this and you say that it's good.</t>
  </si>
  <si>
    <t>They are so proud of the French. France is the best, the French are the best, French gastronomy is the best and I piss on French gastronomy.</t>
  </si>
  <si>
    <t>Look, my name is Iván, for anyone who doesn't know me. And as I have already explained perfectly, I have worked talking badly and soon, bothering people to try to get some companion to go to the housing.</t>
  </si>
  <si>
    <t>I turn around and he comes like that with his hand like that and he has a fucking green parrot, man. That fell from a tree. I say, well, that's it. To the vet. I open the wing, I start to look at it. And now I say, man, what do I do with the fucking parrot, man.</t>
  </si>
  <si>
    <t>But dude, they had to call my mom. It's like, for one day my mom is on vacation, dude, I have to give her a hard time, dude. They even took away my Cruz Roja backpack, dude.</t>
  </si>
  <si>
    <t>The Red Cross said they were going to report me to the police in my name, which I don't know what. Then the police apologized. A weirder move, dude. Fuck me more with this gypsy life I have, come on.</t>
  </si>
  <si>
    <t>That day I made a record of half of Spain for the Red Cross, I think, brother. 218 coupons in a day. That's what it looked like, brother, full of cars that I say, brother, here everyone gives more money. And I, well, depending on the place, I have a speech.</t>
  </si>
  <si>
    <t>You opened the MD like saying, I dedicate myself to this, but that it's not really my devotion</t>
  </si>
  <si>
    <t>There is of everything. There are owners who don't care, they want to get the highest possible return. But I also have owners who take good care of who they let in, they talk to them before accepting or have fairly strict criteria. I have one, for example, who only accepts families with good reviews.</t>
  </si>
  <si>
    <t>And also the typical one who says no, no, I don't want tourist traps, I want an authentic experience from here. And you see them and you say you don't know what you're asking.</t>
  </si>
  <si>
    <t>It's a mess. In summary, you can't hook up with any passenger, you can't have any kind of relationship. And I thought that was pretty much prohibited.</t>
  </si>
  <si>
    <t>People have a lot of hate against the French and I understand it, but I have to say that in my case I developed a hate with the Italian people. It's like a Spaniard, but at the level of a maximum cuñado.</t>
  </si>
  <si>
    <t>Let's open that can of worms. In the previous video we talked about less affluent places, now we're talking about affluent places. We're talking about ultra-Catholic private schools in the center of Madrid, where I've crossed paths with the biggest riff-raff you can imagine.</t>
  </si>
  <si>
    <t>Once, I think it was in July, there was a French client. Typical French client of about 50 or 60 years old, right? Who had his car open and had to contact the French insurance. The gentleman didn't speak a word of Spanish, do you know?</t>
  </si>
  <si>
    <t>The mechanic tells me, straight up. Tell that French bastard not to worry, his car will be ready by Friday afternoon.</t>
  </si>
  <si>
    <t>Whenever I've filmed any videos in England and I've caught an Irish person, the star comment that they've always let slip in all the videos I've filmed there has been to curse the English from top to bottom.</t>
  </si>
  <si>
    <t>So we were partying and when we got back, the usual, because all the bars and all the discos close at 2 in the morning. At 2 in the morning, to your fucking house. And there the Irish are like the Greeks, that is, they are super drunk.</t>
  </si>
  <si>
    <t>The historical accuracy is a bit... I like it a lot, okay? I love the history of fashion. And I'm pretty much of, why don't they wear the correct thing? Have they done something good about not wearing horns? At least they did that right. The things they wear and things like that, of course, the historical accuracy they pretty much ignore.</t>
  </si>
  <si>
    <t>Well, before passing the anecdote, I have to ask you something, because this is something that has a lot of fame from India, from its gastronomy, and especially from the experience of many friends of mine who have been there, is the first shit.</t>
  </si>
  <si>
    <t>These monkeys, who go in packs of 30 or 40, would jump into the embassy area. You see them from a distance and think, wow, what nice monkeys, or you see the mothers with the monkeys attached here, you see the big monkeys who sometimes looked like meatballs, do you know? In terms of how fat they were.</t>
  </si>
  <si>
    <t>They treat you differently, to good and to bad. They consider that you are upper class, they consider that you have money, then they see you as a walking wallet sometimes.</t>
  </si>
  <si>
    <t>They do the whole show when you ask for a bottle of Don Perignon or whatever champagne it is. That's standard Madrid, I'll also tell you. This is the cape. Many small Indian Nicolases probably There is a lot of Indian Froilan Yes, I don't know, I guess we'll have to see foot by foot who has holes or not</t>
  </si>
  <si>
    <t>Women's rights sometimes leave a lot to be desired. It's still common for women to stay at home, do household chores, basically the old-fashioned stuff.</t>
  </si>
  <si>
    <t>Hey, don't laugh, because we Spaniards aren't exactly shooting stars, okay?</t>
  </si>
  <si>
    <t>And on top of that, I had the gaming section, especially the keyboards and mice, where the typical kids would come to play with them, the keyboards</t>
  </si>
  <si>
    <t>Of course, imagine an old man, my colleague fighting with him, another man just behind insulting my colleague because he said that the phone was bad and Santa Lucia told him that the repair had to be done by them.</t>
  </si>
  <si>
    <t>The kid appears at the door, walking by and saying: Whose turn is it to be the hot potato? Because just imagine, putting up with that guy, it's a real pain.</t>
  </si>
  <si>
    <t>When I finally asked him which bank it was, he started yelling: "Why do you want so much information?" right there in the middle of the store, banging his fist.</t>
  </si>
  <si>
    <t>In the store they told him that this type of problem was not refunded, but of course, when a guy like that comes in all crazy, you don't want to have him in the store giving you a hard time all day, then what you want is to get rid of him.</t>
  </si>
  <si>
    <t>People who try to haggle with you, they think that if they take 2 laptops, the price will go down. Indeed, as if I were the owner of the store. Brother, if I take these 2 laptops, how much do you leave me?</t>
  </si>
  <si>
    <t>I was stunned. I saw the security guard get up, the escalator automatically stopped, and I saw an older man sitting on the floor next to the guard, covered in blood. I went into the small room, started getting saline solution, and began cleaning his wounds to see what his face looked like. His face was a mess.</t>
  </si>
  <si>
    <t>I'm the one who's really worried, because imagine you get hold of someone's ID, process their loan application, and if it happens to be approved, the person who gets stuck with the problem is the other one.</t>
  </si>
  <si>
    <t>Damn, it really hurts me. That kind of thing has always really bothered me—the kid absolutely wants something, and the father has to buy it for him, otherwise the kid will throw a fit and cause a huge scene. If I were my father, I'd have slapped him hard already.</t>
  </si>
  <si>
    <t>The guy had stolen a Nintendo Switch, Play controllers, and had stolen about six thousand euros worth of stuff in the store. The very dimwitted one saw that he wouldn't be able to get away with it and wanted to make it a little more difficult.</t>
  </si>
  <si>
    <t>Today we are going to talk about that supermarket where you used to go shopping a year ago because it was cheaper than the copon and now it is more expensive than the Virgin.</t>
  </si>
  <si>
    <t>I've never seen a more comfortable uniform in my life. It certainly has a reputation for being ugly. No, ugly as hell, it really is.</t>
  </si>
  <si>
    <t>You shouldn't be ashamed of asking, because they ask you every silly thing that you have to go with absolute shamelessness.</t>
  </si>
  <si>
    <t>In other words, if someone steals, you already know they've stolen and you see them the following week and you say: "Watch out for this one, lest he pull a stunt like 1314 here."</t>
  </si>
  <si>
    <t>One day a man comes in and says: "You've just been robbed between the boxes, the guy crawled across the floor between the boxes and ran off stealing."</t>
  </si>
  <si>
    <t>One day they also tried to distract me from behind. They did it with the real ass, because it's that I didn't even turn around.</t>
  </si>
  <si>
    <t>I know there's someone who is going to steal milk, a package of pasta, rice, water, well that person, well... You don't care.</t>
  </si>
  <si>
    <t>A man was gathering things while talking on the phone with one hand, then calmly putting them away with the other. And there was a man behind him who I suppose wasn't so patient: "You idiot, you moron."</t>
  </si>
  <si>
    <t>In that moment, a lady who was almost alone and, well, it affects you a little bit because you feel sorry for her, but we are there in the function.</t>
  </si>
  <si>
    <t>This time, one of my favorite regions, the region of fish and chips, of the person with teeth like that, of that people who everyone talks about in their language, but they don't speak in the language of no one. Let's get to know England.</t>
  </si>
  <si>
    <t>I didn't like the PhD because everyone was precarious, lost and there was a girl who graduated at 35 years old, because finally the parents had become independent and I said no, this is not for me.</t>
  </si>
  <si>
    <t>Teacher of Biology, Physics and Chemistry, in the equivalent to second of compulsory secondary education to second of high school. The best of each house. So telita.</t>
  </si>
  <si>
    <t>Oh my God, I had a couple of brothers I tutored, and of course, they came in without knowing enough English to get by. Since I was a really nice, helpful teacher, the assistant headmaster told me, "Hey, put this on the exams, translate it for them and all that..." I just blurted out the answer, what the hell.</t>
  </si>
  <si>
    <t>The sons of a bitch of my friend are laughing a lot. «Now what, huh? So much that you wanted to be there, that the people were very polite. Take that».</t>
  </si>
  <si>
    <t>And I also had a French family. I'm going to break a lance for the French. The French are very attentive. The French look out for each other like a hive mind.</t>
  </si>
  <si>
    <t>My headmistress and head of studies have given me a piece of their mind a few times. Please, it's obvious you're Spanish.</t>
  </si>
  <si>
    <t>It was her turn, and she explained to the father: "She got a 4, but we'll try to get her to pass next time, and so on." And she slapped the girl across the face right in front of me. I felt like I was in seven different places.</t>
  </si>
  <si>
    <t>As a person who is Japanese: don't you think it's a bit strange that practically everyone is obsessed with Japan?</t>
  </si>
  <si>
    <t>In fact, in 2022, during the Olympic Games here in Japan, I saw Kureha, I told her one of Mariano Rajoy's phrases, and she laughed her ass off.</t>
  </si>
  <si>
    <t>Exactly, for them, the idea of Spain: beach is sun, sangria is party, paella and bullfights. O sea, you show them a photo of Asturias or Galicia, they bug out, they say: No, this is not Spain.</t>
  </si>
  <si>
    <t>So that afterwards they come to Mallorca, buy their house and there is a neighbourhood in Mallorca that is all written in German. I'm sorry to say it, because I say: Shit, no, they're stereotypes, let's break the stereotypes, but they can't.</t>
  </si>
  <si>
    <t>And coño, my colleagues who are in a Gymnasium, tell me: Ah, coño, well mine are all from 8 German surnames. Hostia, don't fuck.</t>
  </si>
  <si>
    <t>And it makes you think: If this separation is supposed to be done because they perform better or worse, why the fuck do I have kids in class who are real study beasts? When academically you are brilliant, because you are a fucking brain.</t>
  </si>
  <si>
    <t>Well, of course, children are a well of surprises.</t>
  </si>
  <si>
    <t>And I: "But how do you have the balls to call this to a teacher? Don't even think about it, don't call me that, I'm not a dog."</t>
  </si>
  <si>
    <t>If they see that something bothers you, then instead of stopping, as they are some chinchones, they are going to do it more.</t>
  </si>
  <si>
    <t>Well, nothing, if I finished recently, until a week before finishing we have been arguing with him about that. And he started to do it and then others also started to do it. And of course, the stupidity is contagious.</t>
  </si>
  <si>
    <t>Of course, I talked to those who are at the Gymnasium and they told me: "Holy cow, nothing like that has ever happened to me. Maybe have your child and get hit with an open hand and things like that," they told me.</t>
  </si>
  <si>
    <t>When you put the problematic with the problematic, you're just going to have problems. It's a system of segregation that blows your mind.</t>
  </si>
  <si>
    <t>I laugh because it's like: "Well, everyone knows the deal, right? Eh, no need to mention it, right? Come on, to Germany, right?" You say: "Fuck, we haven't learned anything, damn it.</t>
  </si>
  <si>
    <t>Either you take it from the "Well, of course, it's a statute school, so you're not so smart?" angle, you're already kind of categorizing the kid, aren't you? Like, you're here because you're not so smart, then. Meritocracy at 12 years old, unbelievable.</t>
  </si>
  <si>
    <t>To me what's funny is that then they treat us like we're the bottom of the world.</t>
  </si>
  <si>
    <t>And, well, that not everything that shines is gold.</t>
  </si>
  <si>
    <t>It's been a shock, but it wasn't that much because I've lived abroad, I speak English well, so for me it hasn't been that hard to get used to, also because my high school is very chaotic, they tell you everything from one day to the next, that is, the organization is absent, so that's what has cost me the most</t>
  </si>
  <si>
    <t>And the first day of class, well, as they put so much pressure on you and you have to show that it's like that, you don't have to pass even the first moment so super so so so so so</t>
  </si>
  <si>
    <t>It's true that last year she was a student who always challenged me. I sent her a task and she always had to argue about anything, I don't know what. She was also one of the students who missed a lot. Well, I had already had a little spat with her and that she always argued with me.</t>
  </si>
  <si>
    <t>What I was telling you before, that for me it has changed a bit the chip, the chip in terms of the grades, because you really see the background of all of them and what you see is that for them it is not important this.</t>
  </si>
  <si>
    <t>When you do a campaign, of course, you always rely on content creators or famous people, whether it's a footballer, musicians. And for a campaign we did with Exhibit, a very famous rapper, who is better known for having tuned cars, we did a very cool campaign with him, the guy was really nice, but fuck, he asked for a bag of weed.</t>
  </si>
  <si>
    <t>You know, in the ads the drug thing is quite curious, right? Fuck it, until you face people who really go all day high, you don't understand how it really works, because a lot of people think they are rock stars.</t>
  </si>
  <si>
    <t>I went in as a trainee right on the anniversary of an agency, they rented a bar, they dressed everything up between gringo, latino, of this roll. And you know, I, of course, it was my first day.</t>
  </si>
  <si>
    <t>I used to work in a building, in a multinational. They send out a statement, a super posh agency and all the super money makers and here we are all the hype, there was a turd, dude, a turd outside the toilet.</t>
  </si>
  <si>
    <t>And that gave me a lot of rage when I entered the industry, and it's an industry that I feel is very classist. Not only because of who you work with and all that, but also because of access. Fuck, if you live in Madrid or Barcelona, which is the city where everything is, when you have to come here, dude, you have to study the master's degree, which is a master's degree that was pulled out from under the rug.</t>
  </si>
  <si>
    <t>It's not just that you're the most talented, that you have the best ideas or that you're the best at designing or the best at writing. It's that you have to have a financial cushion from your parents or balls to work. On weekends, looking for freelance work on your own and earning it in the black and looking for a way to make a living.</t>
  </si>
  <si>
    <t>I am going to open a melon. In your videos, French people are criticized a lot. Today I come to defend them, dude. They are the least touchy-feely.</t>
  </si>
  <si>
    <t>It was in the morning, but I'm talking to you at 7:30. We see a girl and a young boy enter. They stood there in front of the bar and started touching each other, giving each other big kisses, and we were saying, well, that's good.</t>
  </si>
  <si>
    <t>Then, of course, a woman suddenly asks us at the bar and says, I want a complaint form, you have the soap dish broken. And of course, we start talking with her, I leave her the bar, wash your hands, no problem. She keeps insisting that no.</t>
  </si>
  <si>
    <t>Really in those 2 years that I was there I was a completely different person. I lived bitter day by day. Really it consumes you that people treat you so bad.</t>
  </si>
  <si>
    <t>Then I went, I looked at the flats, it was maybe like a basement to take the piss with damp 1 disgusting room. A thousand euros each. I managed to cry a lot to the people at the residence. Maybe there's a place, but you have to share with 5 Israelis. I give myself a pat on the back</t>
  </si>
  <si>
    <t>Yes, it's true that maybe with Israelis, obviously many of my friends there, in a plan, they're Jewish and not Israelis and everything is super fine and they're good people, but it's true that perhaps the general feeling, especially at the beginning, is like that many times they were a bit... not disrespectful, but they looked something like over the shoulder.</t>
  </si>
  <si>
    <t>I left Jerusalem around July 2023 and there were a lot of very heavy tensions. Maybe they fired five thousand missiles on Tel Aviv in a day, which they never fire on Tel Aviv. Of course, I remember many times that maybe I was at my jeweler, because I had a jeweler in Jerusalem and the guy was stuck up his ass.</t>
  </si>
  <si>
    <t>Sure, I remember many times that maybe I was at my safe, because I had a safe in Jerusalem that the guy was pinched up.</t>
  </si>
  <si>
    <t>Keep in mind that military service is mandatory for both men and women. It's like, of course, imagine that you give an 18-year-old boy an AR-15 and tell him, "You're going to put on this suit and act like a big shot in front of all your friends to defend the promised land because you're an envoy of God."</t>
  </si>
  <si>
    <t>In the checkpoints, well, it's that all the people were my age and it's not like the Finnish military service. Yes, yes, that it's not conscription. That is, they pick you up and send you to Lebanon.</t>
  </si>
  <si>
    <t>There's a dead body, this, I don't know what, I don't know how many, we have to get rid of the worms... There's a key moment, a tense one, and my colleague, like we're playing the bad cop, said, "Okay, I'm going to tell you all to go to hell."</t>
  </si>
  <si>
    <t>You are watching the scape room and you can see many different types of people, but how does a "cani" develop? A group of "canis" who are there.</t>
  </si>
  <si>
    <t>When I was 12 years old, my father was looking for a job and the usual thing where you throw all the offers, well, to see what comes out. And he got hired and said: okay, now we have to try. What was the job? Engineer of bridges. Hey, what a crazy job.</t>
  </si>
  <si>
    <t>A person who had never been to Albacete finds themselves in a 12-hour flight full of Vietnamese people. I, of course, had seen very little Vietnamese people in my life, probably. Listening to them talk, I was blown away</t>
  </si>
  <si>
    <t>And your teacher is still there? I think he retired already because he had been working so many years in a bunch of schools all over the place.</t>
  </si>
  <si>
    <t>It's like that beautiful, fantastic image of thinking, "Oh, look how great, how much this man is going to want to listen to me." And then I'm sure the husband is the one who talks the most. What a bore.</t>
  </si>
  <si>
    <t>There's a lot of people who think that here in Spain it's like we're brought up with the idea that Columbus was the savior and blah, blah, blah. When they come here, I think with good faith they want to totally change that vision.</t>
  </si>
  <si>
    <t>But is Antonio Gaudí still alive? A dick that they've asked you if he's still alive.</t>
  </si>
  <si>
    <t>After that, there are more normal families, I'd say, who come looking for the best they can, but end up in those schools, in that contrast of really good, really nice kids. There's no middle ground there.</t>
  </si>
  <si>
    <t>As a priority in that type of schools, you want the child to be from 9 to 2 and that nothing serious has happened, that the children leave happy from school.</t>
  </si>
  <si>
    <t>Yo the route I take home I often do accompanied by children because I pass through the neighborhood. And the child goes in, goodbye teacher, goes into his house which is a basement with the door open.</t>
  </si>
  <si>
    <t>And a fifth-grade class comes by, which would be physical education or something, and a guy I don't talk to or anything says to me, "You should keep your phone." And I'm shocked, not that someone might steal it, but how taken-for-granted you have to be about stealing to give advice to a stranger, keep it because they're going to steal it because I don't know what.</t>
  </si>
  <si>
    <t>It was a total overreaction, but the families themselves have to leave the neighborhoods because they have problems. Not the kids, but the parents with other families. And they change schools; the kid, well, whatever they've learned so far, is now reset.</t>
  </si>
  <si>
    <t>Does it need some kind of educational method to rescue at least a few of them from that mess, or do we just have to resign ourselves to it? That's it, just because of where you were born, you're doomed.</t>
  </si>
  <si>
    <t>I would love to find myself as when you enter a company that you find Onboarding. ... a memory with all the projects, what is to be done, what remains, what budget I hav</t>
  </si>
  <si>
    <t>Tell me things that people have said to you, dude. Suddenly your neighbour from the fourth floor comes over and gives you a slap that makes you shit yourself.</t>
  </si>
  <si>
    <t>Here you still have the feeling of neighborhood, community. I know the neighbor across the front, no idea what, no idea what, no idea how much. That shit doesn't exist in Madrid. And at the same time it exists less in other places.</t>
  </si>
  <si>
    <t>One of them, for example, they called him the Patillas, who I don't know why they called him the Patillas, because he didn't have any patillas. He was an older man with a lot of bad attitude. He would come with his cane and always pass by the self-service payment boxes.</t>
  </si>
  <si>
    <t>The same. You met the lady who said she had been buying there for 50 years, but every time she came, she would ask where the eggs were... some fantasies, dude</t>
  </si>
  <si>
    <t>In the end, you're not supposed to insult because it's ugly, although I do admit that sometimes they've sent me to hell. And I've also sent them to hell.</t>
  </si>
  <si>
    <t>No, I also admit, that I have heated up many times and I haven't got into a fight, because look, one day they almost had to separate me from one, because he told me that he was going to cross my face. And I told him: do it to the guy, screaming and insulting his wife</t>
  </si>
  <si>
    <t>It's a supermarket like Mercadona, like Carrefour, like Lidl or like Día. We're not talking about upstairs, where the salespeople have to fawn over you because they have to sell you, they have to earn commissions.</t>
  </si>
  <si>
    <t>But then the next coupon I passed didn't accept it because they had raised the plastic bags and the plastic bags didn't count. So, of course, we had to cancel the whole purchase, start all over again and he got angry.</t>
  </si>
  <si>
    <t>My mother is driving me crazy telling me that I've come back being a duck.</t>
  </si>
  <si>
    <t>For example, yes, they made me talk a bit about the civil war or a class I had to talk about the Valencia storm. And of course, I'm talking about something that can be a bit complicated and having a guy next to me who is all the time making jokes and messing with you, for me that was horrible.</t>
  </si>
  <si>
    <t>There were many people who told me they wanted to come on vacation to Spain. And I would tell you at the airport, when they ask you, say that you are going to Portugal. And they don't catch on.</t>
  </si>
  <si>
    <t>One of the very nice things about that age are romances. Oh, what a mess! There were mixed bathrooms in high school. I never went into those bathrooms.</t>
  </si>
  <si>
    <t>And I would spend an entire weekend preparing classes and getting creative and working and making PowerPoints and preparing escape rooms so that then in class 5, 7 would be talking, 3 wouldn't be listening, 2 would be disrupting the class.</t>
  </si>
  <si>
    <t>I mean, I arrived and went on a seven-day-long spree of partying, no exaggeration. And of course, people were freaking out, like, what the hell is wrong with this girl? And the people were super nice. The ones in my dorm were Spanish. The others weren't.</t>
  </si>
  <si>
    <t>It's no longer the crap, it's no longer the foreigners, it's the atmosphere in the center at night. From the NPCs who rap you with the microphone in a, no, I, the red-haired girl, don't know what, There's the one of Michael Jackson, who has like a glove. It's a person who is seen that something is not right, he was wearing like a white glove and did the walk backwards.</t>
  </si>
  <si>
    <t>Here where I see a super nice camera. What happens is that if you touch my balls, brother, there was people who told me, no, but put me the longer cup.</t>
  </si>
  <si>
    <t>And in the end, the centre is full of foreigners in general, who ultimately also understand that it moves money and it's what gives us food, but that we should also take possession of our own space and enjoy it.</t>
  </si>
  <si>
    <t>Dude, he pulled out his dick and peed on the bar. What's more, it was an L-shaped bar, and he peed right where I could see his dick. I mean, dude, I saw a dick peeing.</t>
  </si>
  <si>
    <t>I understand what you're saying about the mega-destruction of a toilet. So you say, diarrhea of this pa-pa-pa-pa-pa-pa all over the toilet that I say, you had to stain your back.</t>
  </si>
  <si>
    <t>There is an outdoor area that has paddle, then there is the typical normal gym, a zone of the gym that is adapted to spinning, i.e. all bicycles, in a way, do you know? The crazy ones who go pum, pum, pum, at full speed, that you say, what a piece of work at 9 in the morning.</t>
  </si>
  <si>
    <t>No I don't get so shocked because I have also worked almost 2 years in a Burger King. The Burger King bathrooms are like a sort of military training for this. I mean, I'm going to Afghanistan, yes, but I've already seen it all.</t>
  </si>
  <si>
    <t>And I have a car with a bucket with dirty water, a bucket with clean water. He comes out of his classes, drinks, he has a little bit of water left and instead of throwing it away, going to the bathroom and throwing it away because it will weigh or whatever, he does so, click, click, click, and empties it into the bucket of clean water.</t>
  </si>
  <si>
    <t>So I've stripped myself of things that simply don't bring me any good, and the mentality, especially, that a lot of people have of I'm going to reach my dream job or a job that gives me a lot of money. I think that more important than even money or your dream job is finding a job where you feel comfortable. It can be something that's neither fun nor boring, you know?</t>
  </si>
  <si>
    <t>To this I was coming because then... The guy has gel in the pool, bro. The guy has gel in the pool, which I told my teammate, I gave him 2 elbows and said, bro, he has gel.</t>
  </si>
  <si>
    <t>Translate this to French: if they literally don't know Spanish, vacationing in Spain, and much less English, which is the international language, tell them to go to Bordeaux and have a glass of wine. And my buddy told him that. I'm getting revenge for what Pepe Botella did, you know?</t>
  </si>
  <si>
    <t>Of course, a bit of posing from time to time. A bit of saying you went on vacation somewhere. It's just that a nice photo doesn't hurt anyone. There's no need not to take photos.</t>
  </si>
  <si>
    <t>She left everything full of sand and kept insulting me, man. Tired of shouting, I asked her to leave. And she had to come the security guard to tell her to leave or stop shouting. They go to a center where there is not my brand and there, of course, as it is not theirs, they do not bother, see that the ticket is from another center, pim pam, then they send you the product, well done a shit.</t>
  </si>
  <si>
    <t>Many times they are animals, the dogs eat the fiber cable and you eat 60 euros for those fiber routers. One time it also happened to me that I was very indignant, that is, I called him to warn him that I was going to come and he started to heat my head like that we had been there for no time, no what.</t>
  </si>
  <si>
    <t>Dice, ah, and it's that I also can't set up the wifi on the phone. It gives me a lot of embarrassment when they give you the phone to them, because many times you have to get into the browser and you find strange things.</t>
  </si>
  <si>
    <t>An elderly lady calls me, she says, the card they have stolen from me in a bar, I don't know what, bla, bla, bla. It's that I went to the bathroom and when I came back it wasn't there anymore.</t>
  </si>
  <si>
    <t>Even the tax office calls you. A few years ago, they called people pretending to be the Tax Agency Basic Income. They asked that to verify that they were them, that they send a Bizum of 100 euros to a certain number. Of course, then neither the tax office nor anything else</t>
  </si>
  <si>
    <t>I tell it like this and I say, haha, what a joke, because in reality you're not doing him any harm, because you're changing the light. I mean, you're not putting him the mortgage of his life.</t>
  </si>
  <si>
    <t>Raquel stayed in our hearts on this channel. And every now and then people who have re-watched the video, or new people who have discovered the videos, say, "When is this girl going to come back?" She's back.</t>
  </si>
  <si>
    <t>It's just that I haven't stopped traveling. Now you're traveling to Burgos. Apart from traveling to Burgos It's nice, isn't it? The area where I work is really nice</t>
  </si>
  <si>
    <t>You see everything, you go to the house of so-and-so, you see the conditions in which so-and-so lives, if he is alone and his children are somewhere else, he is not self-sufficient and the house is not how it should be and you see that.</t>
  </si>
  <si>
    <t>So, if you go around asking, like, "Hey, Eugenia, yeah, she's been coming alone for a while now," or "She seems more tired lately," or "She has an identity, a circle that identifies her and protects her somehow." And in the city, it seems like we're all more anonymous. In the city, we're NPCs.</t>
  </si>
  <si>
    <t>Investing time in creating that connection with your surroundings is also very important. We don't make it visible enough, like, "Wow, how cool, he's out there in the world, it's awesome, it's amazing!"</t>
  </si>
  <si>
    <t>I had my delusion since I was 12 years old, basically a dirty otaku. But a bad rat. But of course, from 12 to 22 you say, how the fuck am I going to Japan?</t>
  </si>
  <si>
    <t>Japan, I put it up my ass. I mean, Japan is the best shit I've ever gone through in my life. But both the good and the bad, right?</t>
  </si>
  <si>
    <t>They are like completely fucked up with money and all that they think we ask how much we earn. They put it on a paper, like, your pay, I don't know how much you earned.</t>
  </si>
  <si>
    <t>That you now see us like this in a plan with the looks and all that. I when I go to work every day I have to take off the nostrils and hide the septum. I have to put on corsets. That is, do the play pretend of your life. Clothes like half formal, I don't know what.</t>
  </si>
  <si>
    <t>The conditions are very good. This is exclusive for workers. Look at what kind of merchandise there is. It's this jacket that you see like this and you say that it's good.</t>
  </si>
  <si>
    <t>Look, my name is Iván, for anyone who doesn't know me. And as I have already explained perfectly, I have worked talking badly and soon, giving the crap to people to try to get someone to accept going to the apartment.</t>
  </si>
  <si>
    <t>I turn around and he comes along with his hand like this and he's carrying a freaking green parakeet, man. It fell out of a tree. I say, well, that's it. Time for the vet. I open its wing, I start looking at it. And now I'm thinking, man, what am I going to do with this freaking parakeet now?</t>
  </si>
  <si>
    <t>But dude, they had to call my mom. Because on top of that, for one day my mom is on vacation, dude, I have to give her a hard time, dude. They even took away my damn Red Cross backpack, dude.</t>
  </si>
  <si>
    <t>The Red Cross said they were going to report me to the police in my name, who knows what. Then the police apologized. A weirder move, dude. Fuck me more with this gypsy life I have, come on.</t>
  </si>
  <si>
    <t>Me opened the MD as if saying, I dedicate myself to this, but that it's not really my devotion</t>
  </si>
  <si>
    <t>There are all kinds. There are owners who don't care, they want to get the highest possible return. But I also have owners who take good care of who they let in, they talk to them before accepting or have very strict criteria. I have one, for example, who only accepts families with good reviews.</t>
  </si>
  <si>
    <t>People have a lot of hate against the French and I understand that, but I have to say that in my case I developed a hate with the Italian people. It's like a Spaniard, but at the level of a brother-in-law as at the maximum.</t>
  </si>
  <si>
    <t>Let's open that can of worms. In the previous video we talked about less affluent places, now we're talking about affluent places. We're talking about ultra-Catholic private schools in the centre of Madrid, where I've crossed paths with the biggest riff-raff you can imagine.</t>
  </si>
  <si>
    <t>Once, I think it was in July, there was a French client. Typical French client of about 50 or 60 years old, right? Who had his car open and had to contact the French insurance company. The gentleman didn't speak a word of Spanish, do you know?</t>
  </si>
  <si>
    <t>The mechanic tells me, straight up. Tell that French bastard not to worry, his car will be ready on Friday afternoon.</t>
  </si>
  <si>
    <t>So we were partying and when we came back, the usual, because all the bars and all the discos close at 2 in the morning. At 2 in the morning, to your fucking house. And there the Irish and the Greeks, that is, they are super drunk.</t>
  </si>
  <si>
    <t>The historical accuracy is a bit... I like it a lot, OK? I love the history of fashion. And I'm pretty much of, why don't they wear the correct thing? Have they done something good by not wearing horns? At least they did that right. The things they wear and things like that, of course, the historical accuracy they pass it a bit by the arch of triumph.</t>
  </si>
  <si>
    <t>Well, before passing the anecdote, I have to ask you something, because this is something that has a lot of fame from India, from its cuisine, and especially from the experience of many friends of mine who have gone there, is the first cagalera.</t>
  </si>
  <si>
    <t>These monkeys, who go in packs of 30 or 40, maybe, would jump into the embassy area. You see them from a distance and say, fuck, what nice guys, well, you see the monkeys with the mothers attached here, you see the big monkeys that sometimes look like meatballs, do you know? In the sense, of how fat they were.</t>
  </si>
  <si>
    <t>They put on a whole show when you order a bottle of Dom Pérignon or whatever champagne. They're standard Madrid, I'll tell you that too. This is the capital. Lots of little Indian Nicolases, I'm sure. There are a lot of Indian Froiláns. Yeah, I don't know, I guess it's going foot by foot to see who has holes or not.</t>
  </si>
  <si>
    <t>Look, don't laugh, because we Spaniards aren't exactly rocket science either, okay?</t>
  </si>
  <si>
    <t>There are places that everyone goes and I really want to know the ins and outs of the character types who must go to MediaMarkt</t>
  </si>
  <si>
    <t>I worked in MediaMarkt for 2 years and a half. Fortunately or unfortunately, where I was assigned was right in the center of Malaga, right in Vialia, where a lot of people pass by and where all kinds of riff-raff are.</t>
  </si>
  <si>
    <t>And then I had the gaming part, especially the keyboards, the mice, where the typical little kids would come there to touch the little keyboards.</t>
  </si>
  <si>
    <t>Of course, imagine an old man, my colleague fighting with him, another man just behind, insulting my colleague because he said that the phone was bad and Santa Lucia told him that the repair had to be done by them.</t>
  </si>
  <si>
    <t>The kid came running through the door, saying, "Whose turn is it to be?" Because, you know, dealing with that guy, it was a nightmare.</t>
  </si>
  <si>
    <t>When I finally asked him which bank it was, he started yelling, "Why do you need so much information?" right there in the middle of the store, banging on things.</t>
  </si>
  <si>
    <t>There in the store they told you that that kind of brown doesn't get your money back, but of course, when a guy like that comes in all crazy, you don't want to have him in the store giving you a hard time all day, then what you want is to get rid of him.</t>
  </si>
  <si>
    <t>People who try to haggle with you, they think that if they take 2 laptops, the price will go down. Indeed, as if I were the owner of the store. Brother, if I take these 2 laptops, what price do you leave me? Indeed, at the same price.</t>
  </si>
  <si>
    <t>I was stunned. I saw the security guard get up, the escalator stopped automatically, and I saw an older man sitting on the floor next to the guard, covered in blood. I went into the back room, started getting saline solution, and began cleaning his wounds to see what his face looked like. His face was a mess.</t>
  </si>
  <si>
    <t>I'm the one who's really worried sick, because imagine you get someone's ID, process their loan, and if by chance it gets approved, the person who gets stuck with the problem is the other one.</t>
  </si>
  <si>
    <t>And then there was the typical child who came with the father and got angry because the father had bought a Xiaomi and the child wanted an iPhone and the father like looked at you and said: "Dude, what is the cheapest iPhone? And as he tried to show the child, but the child was by God that the iPhone.</t>
  </si>
  <si>
    <t>Hostia, to me, for example, it hurts. That type of things always marked me a lot that wants the child by cojones that and the father has to buy it because if not the child gets angry and makes a big mess. If it were my father, I would have already crossed my mouth with a galletón.</t>
  </si>
  <si>
    <t>The guy had stolen a Nintendo Switch, Play controllers, and had stolen about six thousand euros worth of goods in the store. The scoundrel saw that he wouldn't get away with it and wanted to make things a little more difficult.</t>
  </si>
  <si>
    <t>There came a moment when he said to me: If at the end the blood is going to reach the river. I got angry, gave him a slap on the table and told him: Look, I don't want to stand you or the stupid things you have.</t>
  </si>
  <si>
    <t>I've never seen a more comfortable uniform in my life. It's so famous for being ugly. No, ugly as hell, that's for sure.</t>
  </si>
  <si>
    <t>So, if someone steals, you already know they've stolen, and you see them the following week and you say, "Watch out for this guy, he might pull a stunt like 1314 here."</t>
  </si>
  <si>
    <t>One day a man comes in and says, "You've just been robbed between the checkouts. The guy crawled along the floor and ran off stealing."</t>
  </si>
  <si>
    <t>I know there's someone who is going to steal milk, a pack of pasta, rice, water, well that person, well... You don't care.</t>
  </si>
  <si>
    <t>A man was collecting things while talking on the phone with one hand and then quietly putting them away with the other. And there was a guy behind who I assume doesn't have as much patience: "Asshole, idiot".</t>
  </si>
  <si>
    <t>In that moment, a lady who was almost alone, well, it affects you a little bit because you feel sorry for her, but we are there in the function.</t>
  </si>
  <si>
    <t>I didn't like the PhD because everyone was precarious, lost and there was a girl who graduated with 35 years, because finally the parents had become independent and I said no, this is not for me.</t>
  </si>
  <si>
    <t>I was a Biology, Physics, and Chemistry teacher, in the equivalent of the second year of ESO (Compulsory Secondary Education) to the second year of Bachillerato (Upper Secondary Education). The best of the best. So, it was a real mess.</t>
  </si>
  <si>
    <t>Oh my God, I had a couple of brothers I tutored, and of course, they came in without knowing enough English to get by. Since I was a very friendly, helpful teacher, the assistant principal told me, "Hey, put this on the exams, translate it for them, and so on." I just blurted out the answer, what the hell.</t>
  </si>
  <si>
    <t>The problems are graded by points. If you do one thing, it gets you one point. If you do another, it gets you another point. They spoon-feed it to them there.</t>
  </si>
  <si>
    <t>Don't worry, it's that they were all taller than me, if it's normal. That I was very funny to them too and I made myself angry.</t>
  </si>
  <si>
    <t>The sons of a bitch of my friend are laughing a lot. «Now what, huh? So much that you wanted to be there, that the people were very well-behaved. Take that».</t>
  </si>
  <si>
    <t>A few times, the headmistress and my head of studies have told me off. "Please, it's obvious you're Spanish."</t>
  </si>
  <si>
    <t>It was her turn, and she explained to the father: "She got a 4, but we'll try to get her a passing grade next time," and so on. And she slapped the girl across the face right in front of me. I felt like I was in seven different places.</t>
  </si>
  <si>
    <t>My favorite phrase would be: "What we have done, which you did not do, is to deceive people." It's that cool, really, dude.</t>
  </si>
  <si>
    <t>As a person who is Japanese: Don't you think it's a bit strange that practically everyone is obsessed with Japan?</t>
  </si>
  <si>
    <t>For them to then come to Mallorca, buy their house and there is a neighbourhood in Mallorca that is all written in German. I'm sorry to say it, because I say: Shit, no, they're stereotypes, let's break the stereotypes, but they can't.</t>
  </si>
  <si>
    <t>If they see that something bothers you, then instead of stopping, as they are some chinchones, they will do it more.</t>
  </si>
  <si>
    <t>When you put the problematic with the problematic, well, all you're going to have are problems. It's a system of segregation that blows your mind.</t>
  </si>
  <si>
    <t>I laugh because it's like, "Well, we all know the drill, right? Uh, no need to mention it, right? Come on, off to Germany, huh?" You think, "Damn, we haven't learned a thing, for fuck's sake."</t>
  </si>
  <si>
    <t>Whether you take it from the "Well, of course, it's a statute schule, so you're not so smart?" angle, you're already kind of categorizing the kid, aren't you? Like, you're here because you're not so smart, then. Meritocracy at 12 years old, go figure.</t>
  </si>
  <si>
    <t>To me what's funny is that they treat us like we're the bottom of the world.</t>
  </si>
  <si>
    <t>It's been a shock, but it wasn't that much because I've lived abroad, I speak English well, so for me it hasn't been that hard to get used to, it was also because my school is very chaotic, they tell you everything from one day to the next, that is, the organization is missing, that's what has cost me the most.</t>
  </si>
  <si>
    <t>And the first day of class, well, as they put so much pressure on you and you have to show that it's like that, you don't have to pass even the first moment so super so so so so so.</t>
  </si>
  <si>
    <t>It's true that last year she was a student who was always challenging me. I'd give her an assignment and she'd always have to argue with me about something, I don't know what. On top of that, she was one of those students who was frequently absent. Well, I'd already had a bit of a run-in with her, and she was always arguing with me.</t>
  </si>
  <si>
    <t>Alright, so in the ads, the drug thing is pretty interesting, huh? Damn it, until you face people who really go all day high, you don't understand how it really works, because a lot of people think they're rock stars.</t>
  </si>
  <si>
    <t>One of the things, dude, that I also realized very clearly, they say that you also discover it a little when you become an adult, but in this world it's like everything the world is drugged.</t>
  </si>
  <si>
    <t>Yo entered as a trainee right on the anniversary of an agency, they rented a bar, they dressed everything up between gringo, latino, of this roll. And you know what, I, of course, it was my first day.</t>
  </si>
  <si>
    <t>I used to work in a building, in a multinational. They send out a statement, a super posh agency and all the super moneymakers and here we are all the hype, there was a turd, dude, a turd outside the toilet.</t>
  </si>
  <si>
    <t>And that gave me a lot of rage when I entered the industry, and it's that it is an industry that I feel very classist. Not only by with whom you work and all that, but by the very access. Fuck, if you live in Madrid or Barcelona, which is the city where everything is, when you have to come here, dude, you have to study the master's degree, which is also a master's degree that has been taken out from under the rug.</t>
  </si>
  <si>
    <t>It's not just that you're the most talented, that you have the best ideas or that you're the best at designing or the best at writing. You have to have a financial cushion from your parents or balls to work. On weekends, looking for freelance work on your own and getting paid in the black and looking for a way to make a living.</t>
  </si>
  <si>
    <t>I'm going to open a can of worms. In your videos, you criticize the French a lot. Today I'm here to defend them, man. They're the least annoying.</t>
  </si>
  <si>
    <t>Really in those 2 years that I was there I was a completely different person. I lived bitter day by day. Really it consumes you that people treat you so badly.</t>
  </si>
  <si>
    <t>Then I went, I looked at the flats, it was maybe like a basement to take the piss with damp 1 disgusting room. A thousand euros each. I managed to cry a lot to the people at the residence. There may be a place, but you have to share with 5 Israelis. I give myself a pat on the back.</t>
  </si>
  <si>
    <t>And he takes us like to a room, a group maybe of 10 men sitting around, he makes us sit and he says, ask whatever you want. And we spend like 2 hours talking about Islam, asking him things and what is his perception of heaven, of Islam, what he thinks of Christianity, hey, I heard this, what do you think of this guy? Sure, then we leave with this guy, because we've made him our friend after 2 hours talking, I have a photo with the Polaroid with everything</t>
  </si>
  <si>
    <t>Yes, it's true that maybe with Israeli people, obviously many of my friends there, in a plan, they are Jews and not Israelis and everything is super fine and they are good people, but it's true that perhaps the general feeling, especially at the beginning, is like that many times they were a little... not disrespectful, but they looked something like over the shoulder.</t>
  </si>
  <si>
    <t>Sure, I remember many times that maybe I was where my safe, because I had a safe in Jerusalem that the guy was pinched.</t>
  </si>
  <si>
    <t>Take into account that military service is mandatory for both men and women. It's like, of course, imagine that you give an 18-year-old boy an AR-15 and you tell him, well, you put on this suit and you put on like a cocky one in front of all your friends to defend the promised land because you're a messenger of God.</t>
  </si>
  <si>
    <t>In the checkpoints, of course, it's that all the people were my age and not like a Finnish military service. Yes, yes, that it's not the military. That is, they take you and send you to Lebanon.</t>
  </si>
  <si>
    <t>It's curious because I was previously in another scare room, which I saw an offer on Instagram for a scare room that I had played, and I said, well, let's go for it, what's the worst that can happen?</t>
  </si>
  <si>
    <t>There is a corpse, such, I don't know what, I don't know how many, we have to remove the maggots... There is a key moment, which is tense, and my colleague or so we do as the bad cop and said "Come on, I'm going to send all of you to God."</t>
  </si>
  <si>
    <t>You see the scape room and you can see many types of people, but how does a dog develop? A group of dogs that are there.</t>
  </si>
  <si>
    <t>When I was 12 years old, my father was looking for a job and the usual thing where you throw all the offers, well, to see what comes up. And he got hired and said: okay, now we have to try. What was the job? Engineer of bridges. Hey, what a crazy job.</t>
  </si>
  <si>
    <t>A person who had never been to Albacete finds themselves on a 12-hour flight full of Vietnamese. I, of course, had seen very little Vietnamese people in my life, probably. Listening to them talk, I was flipping out of my mind</t>
  </si>
  <si>
    <t>It's like the beautiful and fantastic image of saying, hey, look how well, what a desire this man will have to listen to me. And then surely the one who talks the most is the husband. A chatterbox.</t>
  </si>
  <si>
    <t>Once a woman was seen who was looking at the glass, she grabbed me by the arm and said why do the Romans build downwards. The people laughed.</t>
  </si>
  <si>
    <t>There is a lot of people who think that here in Spain we are like that we are educated with that Columbus was the savior and bla, bla, bla. When they come here, I think that with good faith they want to totally change that vision.</t>
  </si>
  <si>
    <t>But is Antonio Gaudí still alive? A cock that they have asked you if he is still alive.</t>
  </si>
  <si>
    <t>One of the things I like is the historical uncle. I always identify it with cathedrals. A magnet for historical uncles who stand in front of a facade and say this is Romanesque, this is Gothic, this has everything.</t>
  </si>
  <si>
    <t>After, families more normatives, let's say, that come looking for the best they can, but end up in those schools, in that contrast of very good, very nice children. There is no middle ground.</t>
  </si>
  <si>
    <t>I often walk home with kids because I pass through the neighborhood. And the kid goes in, goodbye teacher, goes into his house, which is a ground floor apartment with the door open.</t>
  </si>
  <si>
    <t>And then there's a fifth-grade class, I don't know if it's physical education or something, and a guy I don't talk to or anything comes up to me and says, "You should keep your phone." And I'm shocked, not like, "Oh, it's going to be stolen," but how do you have to assume the concept of stealing to the point where you're giving advice to a stranger, keep it because they're going to steal it because I don't know what.</t>
  </si>
  <si>
    <t>It was a super exaggerated, but the families themselves have to leave the neighborhoods because they have problems. Not the children, but the parents with other families. And they change schools, the child already, then what he has learned minimally, now resets.</t>
  </si>
  <si>
    <t>Does he need some kind of educational method to rescue at least a few of them from that mess, or do we just have to resign ourselves to it? That's it, just because of where you were born, you're doomed.</t>
  </si>
  <si>
    <t>He cheated on me, he's such a jerk, he went off with three girls from the same class, he went off with the girl in fifth grade and the youngest boy—these things happen in school.</t>
  </si>
  <si>
    <t>I'd love to find myself in a new company like when you start work and find... the onboarding process, a report with all the projects, what needs to be done, what's left, what the budget is...</t>
  </si>
  <si>
    <t>Here you still have the feeling of neighborhood, community. I know the neighbor across the street, no idea what, no idea what, no idea how much. That shit doesn't exist in Madrid. And at the same time it exists less in other places.</t>
  </si>
  <si>
    <t>One of them, for example, they called him the Patillas, who I don't know why they called him the Patillas, because he didn't have any patillas. He was an older man with a lot of bad attitude. He would come with his cane and always pass through the self-service payment boxes.</t>
  </si>
  <si>
    <t>In the end, you can't insult because it's ugly, although I do recognize that sometimes they've sent me to hell. And I've also sent them to hell.</t>
  </si>
  <si>
    <t>But then the next coupon I passed didn't accept it because the bags of plastic had gone up and the plastic bags didn't count. So, of course, you had to cancel the whole purchase, start all over again and get angry.</t>
  </si>
  <si>
    <t>For example, they did make me talk a bit about the civil war or a class I had to talk about the Valencia storm. And of course, I'm talking about something that can be a bit complicated and having a guy next to me who is all the time making jokes and messing with you, for me that was horrible.</t>
  </si>
  <si>
    <t>There was a lot of people who told me they wanted to come on vacation to Spain. And I would tell you at the airport, when they ask you, say that you are going to Portugal. And they don't catch the lore.</t>
  </si>
  <si>
    <t>Someone threw a "zasca" at me about the topic of boyfriends. A 13-year-old boy who left me trembling.</t>
  </si>
  <si>
    <t>But then I was walking into class and suddenly I saw four or five of my students with their faces completely covered in pen scribbles. My first thought was, "This is crazy."</t>
  </si>
  <si>
    <t>I mean, I arrived and went on a seven-day party, no exaggeration. And of course, people were freaking out, like, what the hell is wrong with this chick? And everyone was super nice. The people in my dorm, the Spanish ones. The others, not so much.</t>
  </si>
  <si>
    <t>It's no longer the crap, it's no longer the foreigners, it's the atmosphere in the center at night. From the NPCs who rap you with the microphone in a, no, I, the red-haired girl, don't know what, there's the one of Michael Jackson, who has like a glove. It's a person who is seen that something is not right, he was wearing like a white glove and he did the walk backwards.</t>
  </si>
  <si>
    <t>Dude, he pulled out his dick and peed on the bar. Plus, it was an L-shaped bar and he peed right where I could see his dick. I mean, dude, I saw a dick peeing.</t>
  </si>
  <si>
    <t>I understand what you're saying, about the mega-destruction of a toilet. So you say, diarrhea of this pa-pa-pa-pa-pa-pa all over the toilet that I say, you had to stain your back.</t>
  </si>
  <si>
    <t>There is an outdoor area that has paddle, then there is the typical gym with a normal gym, a section of the gym that is adapted to spinning, i.e. all bicycles, in a way, do you know? The crazy ones who go pum, pum, pum, at full speed, that you say, what a piece of work at 9 in the morning.</t>
  </si>
  <si>
    <t>It didn't shock me that much because I also worked at Burger King for almost two years. The Burger King bathrooms are like a kind of training ground for this kind of thing. I mean, like, I'm going to Afghanistan, yeah, but I've seen it all.</t>
  </si>
  <si>
    <t>So I've stripped myself of things that simply don't bring me any good, and the mentality, above all, that many people have of I'm going to reach the job of my dreams or a job that gives me a lot of money. I think that more important than even money or the job of your dreams is to find a job in which you see yourself comfortable. It can be something that is neither fun nor boring, do you know?</t>
  </si>
  <si>
    <t>ranslate this to Frenchman: if they literally don't know Spanish, vacationing in Spain, and much less English, which is the international language, tell them to go to Bordeaux and have a glass of wine. And my colleague told him that. I'm getting revenge for what Pepe Botella did, you know?</t>
  </si>
  <si>
    <t>She left everything full of sand and kept insulting me, man. Tired of shouting, I asked her to leave. And she had to come the security guard to tell her to leave or stop shouting. They go to a center where there is no my brand and there, of course, as it is not theirs, they do not bother, see that the ticket is from another center, pim pam, then they send you the product, well done a shit.</t>
  </si>
  <si>
    <t>Sometimes they are animals, the dogs eat the fiber optic cable and you get charged 60 euros for one of those. One time it also happened to me that I was super indignant, I mean, I called him to tell him I was coming and he started to heat my head like that we had been there for no time, no what</t>
  </si>
  <si>
    <t>Even the tax office calls you. A few years ago, they were calling people pretending to be from the Universal Basic Income tax office. They asked them to send a 100 euro Bizum payment to a certain number to verify their identity. Of course, then they didn't get any income or anything.</t>
  </si>
  <si>
    <t>Raquel stayed in our hearts on this channel. And every now and then people who have re-watched the video, or new people who have discovered the videos, say, "When will this little girl return?" She has returned.</t>
  </si>
  <si>
    <t>It's just that I haven't stopped traveling. Now you're traveling to Burgos. Besides traveling to Burgos, it's incredibly beautiful, isn't it? The area where I work is really beautiful.</t>
  </si>
  <si>
    <t>So, if you go around asking, like, "Hey, Eugenia," yeah, she's been coming alone for a while now, or she seems more tired lately, or she has an identity, a circle that identifies her and takes care of her in some way. And in the city, it seems like we're all more anonymous. In the city, we're NPCs.</t>
  </si>
  <si>
    <t xml:space="preserve">
Investing time in creating that connection with your surroundings is also very important. We don't make it visible enough, like, "Wow, how cool, she's out there, it's amazing, it's incredible!"</t>
  </si>
  <si>
    <t>Japan, I put it up my ass. Okay, Japan is the best shit I've ever gone through in my life. But both the good and the bad, right?</t>
  </si>
  <si>
    <t>They are like so completely full of money and all that they think we ask how much we earn. They put it on a paper, like, your pay, I don't know how much you earned.</t>
  </si>
  <si>
    <t>So you see us all dressed up and everything. When I go to work every day, I have to take off my earrings and hide my septum piercing. I have to wear shapewear. I mean, I have to put on the biggest act of my life. Kind of formal clothes, you know?</t>
  </si>
  <si>
    <t>The conditions are very good. This is exclusive for workers. Look at what kind of merchandise there is. It's this jacket that you see and you say that it's good.</t>
  </si>
  <si>
    <t>I turn around and he comes over with his hand like this, holding a fucking green parakeet, man. It fell out of a tree. I'm like, well, that's it. Time for the vet. I open its wing, start looking at it. And now I'm like, man, what am I going to do with this fucking parakeet?</t>
  </si>
  <si>
    <t>That day I set a record for half of Spain for the Red Cross, I think it was, dude. 218 coupons in a day. I mean, it looked like that, dude, full of cars that I say, brother, dude, each one here poops more money. And I, well, depending on the place, I have a speech.</t>
  </si>
  <si>
    <t>Me opened the MD as if to say, I dedicate myself to this, but that it's not really my devotion</t>
  </si>
  <si>
    <t>There's of everything. There are owners who don't care, they're going to get the highest possible return. But I also have owners who take good care of who they let in, they talk to them before accepting or they have pretty strict criteria. I have one, for example, who only accepts families with good reviews.</t>
  </si>
  <si>
    <t>People have a lot of hate against the French and I understand that, but I have to say that in my case I developed a hate with the Italian people. It's like a Spaniard, but at the level of a brother-in-law as at maximum.</t>
  </si>
  <si>
    <t>Let's open that can of worms. In the previous video we talked about less well-off places, now we're talking about well-off places. We're talking about ultra-Catholic private schools in the centre of Madrid, where I've crossed paths with the biggest riff-raff you can imagine</t>
  </si>
  <si>
    <t>The mechanic tells me, straight up. Tell that French bastard not to worry, his car will be fixed on Friday afternoon.</t>
  </si>
  <si>
    <t>Well, we were partying and when we came back, what's typical, because there all the bars and all the discos close at 2 in the morning. At 2 in the morning, to your fucking house. And there the Irish and the Greeks, that is, they go super drunk.</t>
  </si>
  <si>
    <t>The historical accuracy is a bit... I like it a lot, okay? I love the history of fashion. And I'm pretty much of, why don't they wear the correct thing? Have they done something good by not wearing horns? At least they did that right. The things they wear and things like that, of course, the historical accuracy they pass it a bit by the arch of triumph.</t>
  </si>
  <si>
    <t>Well, before passing the anecdote, I have to ask you something, because that's something that has a lot of fame from India, from its gastronomy, and especially, from the experience of many friends of mine who have gone there, is the first cagalera.</t>
  </si>
  <si>
    <t>They put on a whole show when you order a bottle of Dom Pérignon or any champagne. They're typical Madrid, I'll tell you that much. This is the capital. Lots of little Indian Nicolases, I'm sure. There are a lot of Indian Froiláns. Yeah, I don't know, I guess it's like going foot by foot to see who has holes or not.</t>
  </si>
  <si>
    <t>subcategory_num</t>
  </si>
  <si>
    <r>
      <t xml:space="preserve">Hay sitios que va todo el mundo y yo de verdad que quiero saber los entresijos de los </t>
    </r>
    <r>
      <rPr>
        <b/>
        <sz val="11"/>
        <color theme="1"/>
        <rFont val="Calibri"/>
        <family val="2"/>
      </rPr>
      <t>personajacos</t>
    </r>
    <r>
      <rPr>
        <sz val="11"/>
        <color theme="1"/>
        <rFont val="Calibri"/>
        <family val="2"/>
      </rPr>
      <t xml:space="preserve"> que deben de ir al MediaMarkt.</t>
    </r>
  </si>
  <si>
    <t>1.2</t>
  </si>
  <si>
    <t>3.2</t>
  </si>
  <si>
    <r>
      <t xml:space="preserve">Me he dedicado a trabajar en MediaMarkt, pues 2 años y medio. Por suerte o por desgracia, donde me ha tocado es justamente el centro de Málaga, justamente en Vialia, donde pasa un montón de gente y donde está todo el tipo de </t>
    </r>
    <r>
      <rPr>
        <b/>
        <sz val="11"/>
        <color theme="1"/>
        <rFont val="Calibri"/>
        <family val="2"/>
      </rPr>
      <t>chusma</t>
    </r>
    <r>
      <rPr>
        <sz val="11"/>
        <color theme="1"/>
        <rFont val="Calibri"/>
        <family val="2"/>
      </rPr>
      <t>.</t>
    </r>
  </si>
  <si>
    <r>
      <t xml:space="preserve">Y encima yo tenía la parte gaming, sobre todo los teclaos, los ratones, donde venían los típicos </t>
    </r>
    <r>
      <rPr>
        <b/>
        <sz val="11"/>
        <color theme="1"/>
        <rFont val="Calibri"/>
        <family val="2"/>
      </rPr>
      <t>niños cebolletas</t>
    </r>
    <r>
      <rPr>
        <sz val="11"/>
        <color theme="1"/>
        <rFont val="Calibri"/>
        <family val="2"/>
      </rPr>
      <t xml:space="preserve"> allí a tocar los, los tecladito</t>
    </r>
  </si>
  <si>
    <r>
      <t xml:space="preserve">Claro, tú imagínate un viejo, mi compañero peleándose con él, otro hombre justamente detrás </t>
    </r>
    <r>
      <rPr>
        <b/>
        <sz val="11"/>
        <color theme="1"/>
        <rFont val="Calibri"/>
        <family val="2"/>
      </rPr>
      <t>puteando</t>
    </r>
    <r>
      <rPr>
        <sz val="11"/>
        <color theme="1"/>
        <rFont val="Calibri"/>
        <family val="2"/>
      </rPr>
      <t xml:space="preserve"> a mi compañero porque decía que el teléfono le iba mal y Santa Lucía le había dicho que la reparación tenía que ser por parte de ellos.</t>
    </r>
  </si>
  <si>
    <t>1.1</t>
  </si>
  <si>
    <r>
      <t>Aparece el churumbel por la puerta, pasando y diciendo: ¿A quién le toca la patata caliente? Porque tú imagínate, aguantar a ese tío,</t>
    </r>
    <r>
      <rPr>
        <b/>
        <sz val="11"/>
        <color theme="1"/>
        <rFont val="Calibri"/>
        <family val="2"/>
      </rPr>
      <t xml:space="preserve"> tela</t>
    </r>
  </si>
  <si>
    <t>4.1</t>
  </si>
  <si>
    <r>
      <t xml:space="preserve">Cuando ya le pregunté por qué banco era, ya empezó: ¿Y tú pa qué quieres tantos datos? Chillando allí en la mitad de la tienda, </t>
    </r>
    <r>
      <rPr>
        <b/>
        <sz val="11"/>
        <color theme="1"/>
        <rFont val="Calibri"/>
        <family val="2"/>
      </rPr>
      <t>pegando porrazos.</t>
    </r>
  </si>
  <si>
    <r>
      <t xml:space="preserve">Allí en la tienda te decían que ese tipo de </t>
    </r>
    <r>
      <rPr>
        <b/>
        <sz val="11"/>
        <color theme="1"/>
        <rFont val="Calibri"/>
        <family val="2"/>
      </rPr>
      <t>marrones</t>
    </r>
    <r>
      <rPr>
        <sz val="11"/>
        <color theme="1"/>
        <rFont val="Calibri"/>
        <family val="2"/>
      </rPr>
      <t xml:space="preserve"> no se le devolvía el dinero, pero claro, cuando viene un tío así desquiciao, tú no quieres tenerlo en la tienda dando por culo todo el santo día, entonces tú lo que tú quieres es quitarlo de en medio.</t>
    </r>
  </si>
  <si>
    <r>
      <t xml:space="preserve">Gente que te intenta regatear, se cree que si se lleva 2 portátiles, se lo voy a, se le va a bajar el precio. Efectivamente, ni que yo fuera el dueño de allí de la tienda. </t>
    </r>
    <r>
      <rPr>
        <b/>
        <sz val="11"/>
        <color theme="1"/>
        <rFont val="Calibri"/>
        <family val="2"/>
      </rPr>
      <t>Hermano</t>
    </r>
    <r>
      <rPr>
        <sz val="11"/>
        <color theme="1"/>
        <rFont val="Calibri"/>
        <family val="2"/>
      </rPr>
      <t>, si yo me llevo estos 2 portátiles, ¿en cuánto me lo dejas?</t>
    </r>
  </si>
  <si>
    <t>2.1</t>
  </si>
  <si>
    <t>1.6</t>
  </si>
  <si>
    <r>
      <t xml:space="preserve">Me quedó pillao, veo al vigilante que se levanta, para automáticamente la escalera mecánica y me veo a un hombre mayor sentado en el suelo al lado del vigilante, chorreando de sangre. Yo me metí en el cuartillo, empecé a coger suero, empecé a limpiarle las heridas para ver cómo tenía la cara. </t>
    </r>
    <r>
      <rPr>
        <b/>
        <sz val="11"/>
        <color theme="1"/>
        <rFont val="Calibri"/>
        <family val="2"/>
      </rPr>
      <t>La cara la tenía hecha un Cristo.</t>
    </r>
  </si>
  <si>
    <r>
      <t xml:space="preserve">Al que </t>
    </r>
    <r>
      <rPr>
        <b/>
        <sz val="11"/>
        <color theme="1"/>
        <rFont val="Calibri"/>
        <family val="2"/>
      </rPr>
      <t xml:space="preserve">se le cae el pelo es a mí, </t>
    </r>
    <r>
      <rPr>
        <sz val="11"/>
        <color theme="1"/>
        <rFont val="Calibri"/>
        <family val="2"/>
      </rPr>
      <t>porque tú imagínate que pillas el DNI de cualquier persona, le tramitas una financiación y a la persona que si por un casual le sale aceptada, al que le meten un marrón es a la otra persona.</t>
    </r>
  </si>
  <si>
    <r>
      <t xml:space="preserve">Y luego estaba el típico niño que venía con el padre y cogía unos rebotes porque el padre le había comprao un Xiaomi y el niño quería un iPhone y el padre como que te miraba y decía: «Tío, ¿cuánto vale el iPhone más barato? Y como intentaba hacer ver al niño, pero el niño era </t>
    </r>
    <r>
      <rPr>
        <b/>
        <sz val="11"/>
        <color theme="1"/>
        <rFont val="Calibri"/>
        <family val="2"/>
      </rPr>
      <t>por cojones</t>
    </r>
    <r>
      <rPr>
        <sz val="11"/>
        <color theme="1"/>
        <rFont val="Calibri"/>
        <family val="2"/>
      </rPr>
      <t xml:space="preserve"> que el iPhone.</t>
    </r>
  </si>
  <si>
    <t>1.4</t>
  </si>
  <si>
    <r>
      <t xml:space="preserve">El tío había robado Nintendo Switch, mandos de Play y había robado en lo que viene siendo una aproximación de casi unos seis mil euros en la tienda. El muy </t>
    </r>
    <r>
      <rPr>
        <b/>
        <sz val="11"/>
        <color theme="1"/>
        <rFont val="Calibri"/>
        <family val="2"/>
      </rPr>
      <t>cazurro</t>
    </r>
    <r>
      <rPr>
        <sz val="11"/>
        <color theme="1"/>
        <rFont val="Calibri"/>
        <family val="2"/>
      </rPr>
      <t xml:space="preserve"> se vio que ya o estaría harto de robarnos allí y, y tal y quiso ponerlo un poco más difícil.</t>
    </r>
  </si>
  <si>
    <r>
      <t xml:space="preserve">Yo no iba con chapa de Apple, ni iba con los compañeros de Samsung, ni iba con los compañeros de Xiaomi. </t>
    </r>
    <r>
      <rPr>
        <b/>
        <sz val="11"/>
        <color theme="1"/>
        <rFont val="Calibri"/>
        <family val="2"/>
      </rPr>
      <t>Yo iba a mi bola.</t>
    </r>
  </si>
  <si>
    <t>1.5</t>
  </si>
  <si>
    <r>
      <t xml:space="preserve">Hoy vamos a hablar de ese </t>
    </r>
    <r>
      <rPr>
        <b/>
        <sz val="11"/>
        <color theme="1"/>
        <rFont val="Calibri"/>
        <family val="2"/>
      </rPr>
      <t>supermercao</t>
    </r>
    <r>
      <rPr>
        <sz val="11"/>
        <color theme="1"/>
        <rFont val="Calibri"/>
        <family val="2"/>
      </rPr>
      <t xml:space="preserve"> donde tú ibas a comprar hace un añillo porque era más barato que el copón y ahora es más caro que la Virgen.</t>
    </r>
  </si>
  <si>
    <t>3.1</t>
  </si>
  <si>
    <r>
      <rPr>
        <b/>
        <sz val="11"/>
        <color theme="1"/>
        <rFont val="Calibri"/>
        <family val="2"/>
      </rPr>
      <t>La verdad es que</t>
    </r>
    <r>
      <rPr>
        <sz val="11"/>
        <color theme="1"/>
        <rFont val="Calibri"/>
        <family val="2"/>
      </rPr>
      <t xml:space="preserve"> el ambiente era superagradable y yo he estado supercómodo y superagusto trabajando ahí.</t>
    </r>
  </si>
  <si>
    <r>
      <t>Yo no he visto un uniforme más cómodo en mi vida. Mira que tiene la fama de ser feo. No, feo de cojones</t>
    </r>
    <r>
      <rPr>
        <b/>
        <sz val="11"/>
        <color theme="1"/>
        <rFont val="Calibri"/>
        <family val="2"/>
      </rPr>
      <t>, la verdad es que sí</t>
    </r>
    <r>
      <rPr>
        <sz val="11"/>
        <color theme="1"/>
        <rFont val="Calibri"/>
        <family val="2"/>
      </rPr>
      <t>.</t>
    </r>
  </si>
  <si>
    <r>
      <t xml:space="preserve">No hay que tener vergüenza a la hora de preguntar, porque te preguntan cada </t>
    </r>
    <r>
      <rPr>
        <b/>
        <sz val="11"/>
        <color theme="1"/>
        <rFont val="Calibri"/>
        <family val="2"/>
      </rPr>
      <t>chorrada</t>
    </r>
    <r>
      <rPr>
        <sz val="11"/>
        <color theme="1"/>
        <rFont val="Calibri"/>
        <family val="2"/>
      </rPr>
      <t xml:space="preserve"> que hay que ir con desvergüenza absoluta.</t>
    </r>
  </si>
  <si>
    <r>
      <t xml:space="preserve">El gerente de ese día de la tienda va a la parte de arriba a ver, a revisar que todo estuviera correcto y baja y me dice: "Hostia, he </t>
    </r>
    <r>
      <rPr>
        <b/>
        <sz val="11"/>
        <color theme="1"/>
        <rFont val="Calibri"/>
        <family val="2"/>
      </rPr>
      <t>pisao</t>
    </r>
    <r>
      <rPr>
        <sz val="11"/>
        <color theme="1"/>
        <rFont val="Calibri"/>
        <family val="2"/>
      </rPr>
      <t xml:space="preserve"> una mierda, pero es que da la sensación como que en el vestíbulo ha habido alguien que se ha cagado y ha ido dando saltos hacia adelante".</t>
    </r>
  </si>
  <si>
    <r>
      <t xml:space="preserve">O sea, si alguien roba, ya sabes que ha robao y lo ves a la semana siguiente y dices: "Cuidado con este, queee no vaya a </t>
    </r>
    <r>
      <rPr>
        <b/>
        <sz val="11"/>
        <color theme="1"/>
        <rFont val="Calibri"/>
        <family val="2"/>
      </rPr>
      <t>hacer aquí la 1314".</t>
    </r>
  </si>
  <si>
    <r>
      <t xml:space="preserve">Viene un día un señor y dice: "Os acaban de robar entre las cajas, que se ha arrastrado por el suelo de las cajas y se ha </t>
    </r>
    <r>
      <rPr>
        <b/>
        <sz val="11"/>
        <color theme="1"/>
        <rFont val="Calibri"/>
        <family val="2"/>
      </rPr>
      <t>pirao</t>
    </r>
    <r>
      <rPr>
        <sz val="11"/>
        <color theme="1"/>
        <rFont val="Calibri"/>
        <family val="2"/>
      </rPr>
      <t xml:space="preserve"> el tío robando".</t>
    </r>
  </si>
  <si>
    <r>
      <t xml:space="preserve">Un día también me intentan distraer por la espalda. Lo hicieron </t>
    </r>
    <r>
      <rPr>
        <b/>
        <sz val="11"/>
        <color theme="1"/>
        <rFont val="Calibri"/>
        <family val="2"/>
      </rPr>
      <t>como el auténtico culo</t>
    </r>
    <r>
      <rPr>
        <sz val="11"/>
        <color theme="1"/>
        <rFont val="Calibri"/>
        <family val="2"/>
      </rPr>
      <t>, porque es que ni tan siquiera me giré.</t>
    </r>
  </si>
  <si>
    <r>
      <t xml:space="preserve">Yo sé hay alguien que va a robar leche, un paquete de pasta, arroz, agua, pues esa gente, pues </t>
    </r>
    <r>
      <rPr>
        <b/>
        <sz val="11"/>
        <color theme="1"/>
        <rFont val="Calibri"/>
        <family val="2"/>
      </rPr>
      <t>Te la suda.</t>
    </r>
  </si>
  <si>
    <r>
      <t xml:space="preserve">Un señor estaba recogiendo las cosas mientras hablaba por teléfono con una mano y luego iba guardando tranquilamente con la otra. Y había un señor por detrás que supongo que no tendrá tanta paciencia: </t>
    </r>
    <r>
      <rPr>
        <b/>
        <sz val="11"/>
        <color theme="1"/>
        <rFont val="Calibri"/>
        <family val="2"/>
      </rPr>
      <t>«Gilipollas, imbécil».</t>
    </r>
  </si>
  <si>
    <r>
      <t xml:space="preserve">En ese momento, una señora que estaba casi sola y, </t>
    </r>
    <r>
      <rPr>
        <b/>
        <sz val="11"/>
        <color theme="1"/>
        <rFont val="Calibri"/>
        <family val="2"/>
      </rPr>
      <t>hostia</t>
    </r>
    <r>
      <rPr>
        <sz val="11"/>
        <color theme="1"/>
        <rFont val="Calibri"/>
        <family val="2"/>
      </rPr>
      <t>, te afecta un poquillo porque te da lástima, pero estamos ahí en la función.</t>
    </r>
  </si>
  <si>
    <r>
      <t xml:space="preserve">No entiendo la mentalidad que tenemos de que el Mercadona es barato porque no hacen ofertas </t>
    </r>
    <r>
      <rPr>
        <b/>
        <sz val="11"/>
        <color theme="1"/>
        <rFont val="Calibri"/>
        <family val="2"/>
      </rPr>
      <t>ni pa atrás.</t>
    </r>
  </si>
  <si>
    <r>
      <t xml:space="preserve">Esta vez, una de mis regiones favoritas, la región del fish and chips, de la </t>
    </r>
    <r>
      <rPr>
        <b/>
        <sz val="11"/>
        <color theme="1"/>
        <rFont val="Calibri"/>
        <family val="2"/>
      </rPr>
      <t>peña</t>
    </r>
    <r>
      <rPr>
        <sz val="11"/>
        <color theme="1"/>
        <rFont val="Calibri"/>
        <family val="2"/>
      </rPr>
      <t xml:space="preserve"> con los dientes de aquella manera, de esa gente que todo el mundo habla en su idioma, pero ellos no hablan en el idioma de nadie. Vamos a conocer cómo es Inglaterra.</t>
    </r>
  </si>
  <si>
    <r>
      <t xml:space="preserve">No me gustó el doctorado porque todo el mundo era precario, perdío y había una </t>
    </r>
    <r>
      <rPr>
        <b/>
        <sz val="11"/>
        <color theme="1"/>
        <rFont val="Calibri"/>
        <family val="2"/>
      </rPr>
      <t>chavala</t>
    </r>
    <r>
      <rPr>
        <sz val="11"/>
        <color theme="1"/>
        <rFont val="Calibri"/>
        <family val="2"/>
      </rPr>
      <t xml:space="preserve"> que se puso a graduar con 35 años, porque al fin se habían independizado los padres y dije no, esto no es para mí.</t>
    </r>
  </si>
  <si>
    <r>
      <t xml:space="preserve">Profesor de Biología, Física y Química, en el equivalente a segundo de la ESO a segundo de bachillerato. </t>
    </r>
    <r>
      <rPr>
        <b/>
        <sz val="11"/>
        <color theme="1"/>
        <rFont val="Calibri"/>
        <family val="2"/>
      </rPr>
      <t>Lo mejor de cada casa</t>
    </r>
    <r>
      <rPr>
        <sz val="11"/>
        <color theme="1"/>
        <rFont val="Calibri"/>
        <family val="2"/>
      </rPr>
      <t>. Así que telita.</t>
    </r>
  </si>
  <si>
    <r>
      <t xml:space="preserve">Los problemas están mismos por puntos. Si haces una cosa, tiene un puntito. Si haces una cosa, tiene otro puntito. Allí se lo dan </t>
    </r>
    <r>
      <rPr>
        <b/>
        <sz val="11"/>
        <color theme="1"/>
        <rFont val="Calibri"/>
        <family val="2"/>
      </rPr>
      <t>mascaísimo</t>
    </r>
    <r>
      <rPr>
        <sz val="11"/>
        <color theme="1"/>
        <rFont val="Calibri"/>
        <family val="2"/>
      </rPr>
      <t>.</t>
    </r>
  </si>
  <si>
    <r>
      <t xml:space="preserve">No te preocupes, es que eran todos más altos que yo, si es que es normal. Que yo era muy cachondo para ellos también y yo me hacía el </t>
    </r>
    <r>
      <rPr>
        <b/>
        <sz val="11"/>
        <color theme="1"/>
        <rFont val="Calibri"/>
        <family val="2"/>
      </rPr>
      <t>enfadao</t>
    </r>
    <r>
      <rPr>
        <sz val="11"/>
        <color theme="1"/>
        <rFont val="Calibri"/>
        <family val="2"/>
      </rPr>
      <t>.</t>
    </r>
  </si>
  <si>
    <r>
      <t xml:space="preserve">Los hijos de puta de mi amigo se ríen un montón. «Ahora qué, ¿eh? Tanto que te queríais allí, que la gente era muy </t>
    </r>
    <r>
      <rPr>
        <b/>
        <sz val="11"/>
        <color theme="1"/>
        <rFont val="Calibri"/>
        <family val="2"/>
      </rPr>
      <t>educá</t>
    </r>
    <r>
      <rPr>
        <sz val="11"/>
        <color theme="1"/>
        <rFont val="Calibri"/>
        <family val="2"/>
      </rPr>
      <t>. Toma».</t>
    </r>
  </si>
  <si>
    <r>
      <t xml:space="preserve">No he discutido yo con británicas de estas feas. Porque se me colaban en el </t>
    </r>
    <r>
      <rPr>
        <b/>
        <sz val="11"/>
        <color theme="1"/>
        <rFont val="Calibri"/>
        <family val="2"/>
      </rPr>
      <t>puto</t>
    </r>
    <r>
      <rPr>
        <sz val="11"/>
        <color theme="1"/>
        <rFont val="Calibri"/>
        <family val="2"/>
      </rPr>
      <t xml:space="preserve"> Tesco.</t>
    </r>
  </si>
  <si>
    <r>
      <t xml:space="preserve">Y tenía también una familia de franceses. Voy </t>
    </r>
    <r>
      <rPr>
        <b/>
        <sz val="11"/>
        <color theme="1"/>
        <rFont val="Calibri"/>
        <family val="2"/>
      </rPr>
      <t xml:space="preserve">a romper una lanza a favor de los franceses. </t>
    </r>
    <r>
      <rPr>
        <sz val="11"/>
        <color theme="1"/>
        <rFont val="Calibri"/>
        <family val="2"/>
      </rPr>
      <t>Los franceses eran muy atentos. Los franceses se cuidan mucho entre ellos, como una mente colmena.</t>
    </r>
  </si>
  <si>
    <r>
      <t>Alguna que otra vez me</t>
    </r>
    <r>
      <rPr>
        <b/>
        <sz val="11"/>
        <color theme="1"/>
        <rFont val="Calibri"/>
        <family val="2"/>
      </rPr>
      <t xml:space="preserve"> han echado bronca</t>
    </r>
    <r>
      <rPr>
        <sz val="11"/>
        <color theme="1"/>
        <rFont val="Calibri"/>
        <family val="2"/>
      </rPr>
      <t xml:space="preserve"> a mí su directora y mi jefe de estudios. Por favor, que se te nota que eres español.</t>
    </r>
  </si>
  <si>
    <r>
      <t xml:space="preserve">Hacíamos como una noche del AMPA cada final de trimestre. Iban un poco como en cinta transportadora. Nosotros nos quedábamos en nuestra silla e iban pasando los padres por turnos. Pues le tocó a una </t>
    </r>
    <r>
      <rPr>
        <b/>
        <sz val="11"/>
        <color theme="1"/>
        <rFont val="Calibri"/>
        <family val="2"/>
      </rPr>
      <t>muchachilla</t>
    </r>
    <r>
      <rPr>
        <sz val="11"/>
        <color theme="1"/>
        <rFont val="Calibri"/>
        <family val="2"/>
      </rPr>
      <t xml:space="preserve"> que era de letras.</t>
    </r>
  </si>
  <si>
    <r>
      <t xml:space="preserve">Llegó su turno, se lo explicó al padre: Ha sacado un 4, pero vamos a intentar que apruebe para la siguiente y tal. Y le </t>
    </r>
    <r>
      <rPr>
        <b/>
        <sz val="11"/>
        <color theme="1"/>
        <rFont val="Calibri"/>
        <family val="2"/>
      </rPr>
      <t>cruzó la cara</t>
    </r>
    <r>
      <rPr>
        <sz val="11"/>
        <color theme="1"/>
        <rFont val="Calibri"/>
        <family val="2"/>
      </rPr>
      <t xml:space="preserve"> delante mía a la niña. Se me metieron los 7 males en el cuerpo.</t>
    </r>
  </si>
  <si>
    <r>
      <t xml:space="preserve">Tuvo la poca vergüenza de pegarle a su hija delante de un profesor. </t>
    </r>
    <r>
      <rPr>
        <b/>
        <sz val="11"/>
        <color theme="1"/>
        <rFont val="Calibri"/>
        <family val="2"/>
      </rPr>
      <t>Borracho como una cuba.</t>
    </r>
  </si>
  <si>
    <r>
      <t xml:space="preserve">Mi subdirector era un señor ex militar retirado con un doctorado en Shakespeare y </t>
    </r>
    <r>
      <rPr>
        <b/>
        <sz val="11"/>
        <color theme="1"/>
        <rFont val="Calibri"/>
        <family val="2"/>
      </rPr>
      <t>más rojo que rojín.</t>
    </r>
  </si>
  <si>
    <r>
      <t>Mi frase favorita sería: "Lo que nosotros hemos hecho, cosa que no hizo usted, es engañar a la gente". Es que es la hostia,</t>
    </r>
    <r>
      <rPr>
        <b/>
        <sz val="11"/>
        <color theme="1"/>
        <rFont val="Calibri"/>
        <family val="2"/>
      </rPr>
      <t xml:space="preserve"> de verdad, tío.</t>
    </r>
  </si>
  <si>
    <r>
      <rPr>
        <b/>
        <sz val="11"/>
        <color theme="1"/>
        <rFont val="Calibri"/>
        <family val="2"/>
      </rPr>
      <t>Tío,</t>
    </r>
    <r>
      <rPr>
        <sz val="11"/>
        <color theme="1"/>
        <rFont val="Calibri"/>
        <family val="2"/>
      </rPr>
      <t xml:space="preserve"> ¿quién te enseñó español para hablar tan bien?</t>
    </r>
  </si>
  <si>
    <r>
      <t>¿La música española te gusta? Sí, Canto del Loco, Amaral, La Oreja de Van Gogh. Esto es muy fuerte,</t>
    </r>
    <r>
      <rPr>
        <b/>
        <sz val="11"/>
        <color theme="1"/>
        <rFont val="Calibri"/>
        <family val="2"/>
      </rPr>
      <t xml:space="preserve"> tío.</t>
    </r>
  </si>
  <si>
    <r>
      <t xml:space="preserve">La mayoría de los humoristas son de Osaka, o sea que se conocen por ser </t>
    </r>
    <r>
      <rPr>
        <b/>
        <sz val="11"/>
        <color theme="1"/>
        <rFont val="Calibri"/>
        <family val="2"/>
      </rPr>
      <t>cachondos</t>
    </r>
    <r>
      <rPr>
        <sz val="11"/>
        <color theme="1"/>
        <rFont val="Calibri"/>
        <family val="2"/>
      </rPr>
      <t>.</t>
    </r>
  </si>
  <si>
    <r>
      <t xml:space="preserve">Como una persona que eres japonés: ¿no te parece como un poco raro que prácticamente todo el mundo </t>
    </r>
    <r>
      <rPr>
        <b/>
        <sz val="11"/>
        <color theme="1"/>
        <rFont val="Calibri"/>
        <family val="2"/>
      </rPr>
      <t>esté que no caga con</t>
    </r>
    <r>
      <rPr>
        <sz val="11"/>
        <color theme="1"/>
        <rFont val="Calibri"/>
        <family val="2"/>
      </rPr>
      <t xml:space="preserve"> Japón?</t>
    </r>
  </si>
  <si>
    <r>
      <t xml:space="preserve">De hecho, en 2022, cuando Juegos Olímpicos aquí en Japón, vi a Kureha, le solté una frase de Mariano Rajoy. Y se </t>
    </r>
    <r>
      <rPr>
        <b/>
        <sz val="11"/>
        <color theme="1"/>
        <rFont val="Calibri"/>
        <family val="2"/>
      </rPr>
      <t>meó de risa.</t>
    </r>
  </si>
  <si>
    <t>1.8</t>
  </si>
  <si>
    <r>
      <t xml:space="preserve">Tal cual que para ellos, o sea, la idea de España: playa es sol, sangría es fiesta, paella y toros. O sea, tú les enseñas una foto de Asturias o de Galicia, se </t>
    </r>
    <r>
      <rPr>
        <b/>
        <sz val="11"/>
        <color theme="1"/>
        <rFont val="Calibri"/>
        <family val="2"/>
      </rPr>
      <t>buguean</t>
    </r>
    <r>
      <rPr>
        <sz val="11"/>
        <color theme="1"/>
        <rFont val="Calibri"/>
        <family val="2"/>
      </rPr>
      <t>, dicen: No, esto no es España.</t>
    </r>
  </si>
  <si>
    <r>
      <t xml:space="preserve">Para que después vengan a Mallorca, se compren su casa y hay un barrio en Mallorca que esté todo escrito en alemán. Me sabe mal decirlo, porque digo: </t>
    </r>
    <r>
      <rPr>
        <b/>
        <sz val="11"/>
        <color theme="1"/>
        <rFont val="Calibri"/>
        <family val="2"/>
      </rPr>
      <t>Coño</t>
    </r>
    <r>
      <rPr>
        <sz val="11"/>
        <color theme="1"/>
        <rFont val="Calibri"/>
        <family val="2"/>
      </rPr>
      <t>, no, son estereotipos, vamos a romper los estereotipos, pero es que no pueden.</t>
    </r>
  </si>
  <si>
    <r>
      <t>Y coño, mis colegas que están en un Gymnasium, me dicen: Ah, coño, pues los míos son todos de</t>
    </r>
    <r>
      <rPr>
        <b/>
        <sz val="11"/>
        <color theme="1"/>
        <rFont val="Calibri"/>
        <family val="2"/>
      </rPr>
      <t xml:space="preserve"> 8 apellidos alemanes.</t>
    </r>
    <r>
      <rPr>
        <sz val="11"/>
        <color theme="1"/>
        <rFont val="Calibri"/>
        <family val="2"/>
      </rPr>
      <t xml:space="preserve"> Hostia, no jodas.</t>
    </r>
  </si>
  <si>
    <r>
      <rPr>
        <b/>
        <sz val="11"/>
        <color theme="1"/>
        <rFont val="Calibri"/>
        <family val="2"/>
      </rPr>
      <t>Es que claro,</t>
    </r>
    <r>
      <rPr>
        <sz val="11"/>
        <color theme="1"/>
        <rFont val="Calibri"/>
        <family val="2"/>
      </rPr>
      <t xml:space="preserve"> los niños son un pozo de sorpresas.</t>
    </r>
  </si>
  <si>
    <r>
      <t xml:space="preserve">Un niño me vio y me dijo: ¿Está usted casada? ¿Tiene usted pareja? </t>
    </r>
    <r>
      <rPr>
        <b/>
        <sz val="11"/>
        <color theme="1"/>
        <rFont val="Calibri"/>
        <family val="2"/>
      </rPr>
      <t>Pues a ti te la suda.</t>
    </r>
    <r>
      <rPr>
        <sz val="11"/>
        <color theme="1"/>
        <rFont val="Calibri"/>
        <family val="2"/>
      </rPr>
      <t xml:space="preserve"> Estás en clase de español.</t>
    </r>
  </si>
  <si>
    <r>
      <t>Y yo: «Pero ¿cómo tienes los</t>
    </r>
    <r>
      <rPr>
        <b/>
        <sz val="11"/>
        <color theme="1"/>
        <rFont val="Calibri"/>
        <family val="2"/>
      </rPr>
      <t xml:space="preserve"> santos cojones </t>
    </r>
    <r>
      <rPr>
        <sz val="11"/>
        <color theme="1"/>
        <rFont val="Calibri"/>
        <family val="2"/>
      </rPr>
      <t>de llamarle esto a una profesora? Que no se te ocurra, llamarme eso, que no soy un perro».</t>
    </r>
  </si>
  <si>
    <r>
      <t xml:space="preserve">Si ven que algo te molesta, pues en vez de parar, como son unos </t>
    </r>
    <r>
      <rPr>
        <b/>
        <sz val="11"/>
        <color theme="1"/>
        <rFont val="Calibri"/>
        <family val="2"/>
      </rPr>
      <t>chinchones</t>
    </r>
    <r>
      <rPr>
        <sz val="11"/>
        <color theme="1"/>
        <rFont val="Calibri"/>
        <family val="2"/>
      </rPr>
      <t>, van a hacerlo más.</t>
    </r>
  </si>
  <si>
    <r>
      <t>Me río porque es como: «</t>
    </r>
    <r>
      <rPr>
        <b/>
        <sz val="11"/>
        <color theme="1"/>
        <rFont val="Calibri"/>
        <family val="2"/>
      </rPr>
      <t>Bueno</t>
    </r>
    <r>
      <rPr>
        <sz val="11"/>
        <color theme="1"/>
        <rFont val="Calibri"/>
        <family val="2"/>
      </rPr>
      <t>, todos sabemos la movida, ¿no? Eh, no hace falta mencionar, ¿no? Venga, a Alemania, ¿no?» Dices: «Coño, no hemos aprendido nada, cago en la puta.</t>
    </r>
  </si>
  <si>
    <r>
      <t xml:space="preserve">Tanto si te lo coges por la banda de: «Bueno, claro, es que es una statute schule ¿entonces tú no eres tan listo?» Ya estás como categorizando al niño un poco, ¿no? O sea, tú estás aquí porque tú no eres tan listo, entonces. </t>
    </r>
    <r>
      <rPr>
        <b/>
        <sz val="11"/>
        <color theme="1"/>
        <rFont val="Calibri"/>
        <family val="2"/>
      </rPr>
      <t xml:space="preserve">Meritocracia a los 12 años, </t>
    </r>
    <r>
      <rPr>
        <sz val="11"/>
        <color theme="1"/>
        <rFont val="Calibri"/>
        <family val="2"/>
      </rPr>
      <t>tócate los huevos.</t>
    </r>
  </si>
  <si>
    <r>
      <t xml:space="preserve">Yo lo tenía muy idealizado cuando vine, porque te venden la </t>
    </r>
    <r>
      <rPr>
        <b/>
        <sz val="11"/>
        <color theme="1"/>
        <rFont val="Calibri"/>
        <family val="2"/>
      </rPr>
      <t>hostia</t>
    </r>
    <r>
      <rPr>
        <sz val="11"/>
        <color theme="1"/>
        <rFont val="Calibri"/>
        <family val="2"/>
      </rPr>
      <t>, encontrarás trabajo porque había mucha oferta de trabajo, no sé qué.</t>
    </r>
  </si>
  <si>
    <r>
      <t>A mí lo que me hace gracia es que luego nos traten a nosotros como si fuésemos</t>
    </r>
    <r>
      <rPr>
        <b/>
        <sz val="11"/>
        <color theme="1"/>
        <rFont val="Calibri"/>
        <family val="2"/>
      </rPr>
      <t xml:space="preserve"> el culo del mundo.</t>
    </r>
  </si>
  <si>
    <r>
      <t>Y, pues, eso, que no es</t>
    </r>
    <r>
      <rPr>
        <b/>
        <sz val="11"/>
        <color theme="1"/>
        <rFont val="Calibri"/>
        <family val="2"/>
      </rPr>
      <t xml:space="preserve"> oro todo lo que reluce.</t>
    </r>
  </si>
  <si>
    <r>
      <t xml:space="preserve">Ha sido un shock, pero tampoco ha sido tanto porque he vivido afuera, el inglés lo hablo bien, entonces para mí no me ha costado tanto acomodarse, también lo fue porque mi instituto es muy caótico, te dicen todo de hoy para mañana, o sea, la organización </t>
    </r>
    <r>
      <rPr>
        <b/>
        <sz val="11"/>
        <color theme="1"/>
        <rFont val="Calibri"/>
        <family val="2"/>
      </rPr>
      <t>brilla por su ausencia,</t>
    </r>
    <r>
      <rPr>
        <sz val="11"/>
        <color theme="1"/>
        <rFont val="Calibri"/>
        <family val="2"/>
      </rPr>
      <t xml:space="preserve"> entonces eso es lo que más me costó.</t>
    </r>
  </si>
  <si>
    <t>1.7</t>
  </si>
  <si>
    <r>
      <t xml:space="preserve">Y el primer día de clase, pues claro, como te meten tanta caña y tienes que mostrar que es así, tú no tienes que pasar ni una del primer momento así súper </t>
    </r>
    <r>
      <rPr>
        <b/>
        <sz val="11"/>
        <color theme="1"/>
        <rFont val="Calibri"/>
        <family val="2"/>
      </rPr>
      <t>tan tan tan tan tan.</t>
    </r>
  </si>
  <si>
    <r>
      <t xml:space="preserve">Voy a hacer un inciso. A mí también me pasa porque yo digo América. En realidad me refiero a estadounidenses. Y luego viene gente de Latinoamérica diciendo, perdona, es usted un puto subnormal porque América es todo, no solo los putos </t>
    </r>
    <r>
      <rPr>
        <b/>
        <sz val="11"/>
        <color theme="1"/>
        <rFont val="Calibri"/>
        <family val="2"/>
      </rPr>
      <t>yankees</t>
    </r>
    <r>
      <rPr>
        <sz val="11"/>
        <color theme="1"/>
        <rFont val="Calibri"/>
        <family val="2"/>
      </rPr>
      <t>.</t>
    </r>
  </si>
  <si>
    <t>2.2</t>
  </si>
  <si>
    <r>
      <t xml:space="preserve">Es verdad que el año pasado era una alumna que siempre me estaba retando. Yo me mandaba una tarea y ella siempre </t>
    </r>
    <r>
      <rPr>
        <b/>
        <sz val="11"/>
        <color theme="1"/>
        <rFont val="Calibri"/>
        <family val="2"/>
      </rPr>
      <t>me tenía que discutir cualquier cosa</t>
    </r>
    <r>
      <rPr>
        <sz val="11"/>
        <color theme="1"/>
        <rFont val="Calibri"/>
        <family val="2"/>
      </rPr>
      <t>, no sé qué. Encima ella era una alumna de las que faltaba mucho. Pues yo con ella ya había tenido un poco de rifirrafe y de que siempre ella me discutía.</t>
    </r>
  </si>
  <si>
    <r>
      <t xml:space="preserve">Yo lo que te decía antes de que a mí me ha cambiado un poco el chip, el chip en cuanto a las notas, porque es que ves realmente el </t>
    </r>
    <r>
      <rPr>
        <b/>
        <sz val="11"/>
        <color theme="1"/>
        <rFont val="Calibri"/>
        <family val="2"/>
      </rPr>
      <t>background</t>
    </r>
    <r>
      <rPr>
        <sz val="11"/>
        <color theme="1"/>
        <rFont val="Calibri"/>
        <family val="2"/>
      </rPr>
      <t xml:space="preserve"> de a todos y lo que ves es que para ellos no es importante esto.</t>
    </r>
  </si>
  <si>
    <r>
      <t xml:space="preserve">Y ha habido muchas muertes así por una pelea en una calle, porque por una discusión, saliendo de un bar de copas, </t>
    </r>
    <r>
      <rPr>
        <b/>
        <sz val="11"/>
        <color theme="1"/>
        <rFont val="Calibri"/>
        <family val="2"/>
      </rPr>
      <t>pam, pam,</t>
    </r>
    <r>
      <rPr>
        <sz val="11"/>
        <color theme="1"/>
        <rFont val="Calibri"/>
        <family val="2"/>
      </rPr>
      <t xml:space="preserve"> al final un muerto porque han sacado la arma.</t>
    </r>
  </si>
  <si>
    <r>
      <t>Cuando haces una campaña, obviamente, siempre tiras de creadores de contenido o famosos, ya sea un futbolista, músicos. Y para una campaña que hicimos con Exhibit, un rapero muy famoso, que más se conoce por haber tuneado coches, hicimos una campaña muy guay con él, el tío majísimo, fue encantador, pero joder, nos pidió un</t>
    </r>
    <r>
      <rPr>
        <b/>
        <sz val="11"/>
        <color theme="1"/>
        <rFont val="Calibri"/>
        <family val="2"/>
      </rPr>
      <t xml:space="preserve"> bolsón de marihuana.</t>
    </r>
  </si>
  <si>
    <t>1.3</t>
  </si>
  <si>
    <r>
      <t xml:space="preserve">A ver, es que en la </t>
    </r>
    <r>
      <rPr>
        <b/>
        <sz val="11"/>
        <color theme="1"/>
        <rFont val="Calibri"/>
        <family val="2"/>
      </rPr>
      <t>publi</t>
    </r>
    <r>
      <rPr>
        <sz val="11"/>
        <color theme="1"/>
        <rFont val="Calibri"/>
        <family val="2"/>
      </rPr>
      <t xml:space="preserve"> el tema de la droga es bastante curioso, ¿eh? Joder, hasta que no te enfrentas a gente que de verdad va todos los días puesta, no entiendes cómo funciona realmente, porque mucha gente se cree rockstar.</t>
    </r>
  </si>
  <si>
    <r>
      <t>Yo entraba de becario justo en el aniversario de una agencia, alquilaron un bar, lo vistieron todo entre gringo, latino, de este rollito.</t>
    </r>
    <r>
      <rPr>
        <b/>
        <sz val="11"/>
        <color theme="1"/>
        <rFont val="Calibri"/>
        <family val="2"/>
      </rPr>
      <t xml:space="preserve"> Y tío, yo, claro, era mi primer día.</t>
    </r>
  </si>
  <si>
    <r>
      <t xml:space="preserve">Yo trabajaba en un edificio, en una multinacional. Lanzan un comunicado, una agencia de todos </t>
    </r>
    <r>
      <rPr>
        <b/>
        <sz val="11"/>
        <color theme="1"/>
        <rFont val="Calibri"/>
        <family val="2"/>
      </rPr>
      <t>superpijos</t>
    </r>
    <r>
      <rPr>
        <sz val="11"/>
        <color theme="1"/>
        <rFont val="Calibri"/>
        <family val="2"/>
      </rPr>
      <t xml:space="preserve"> y todos súper moneymakers y aquí somos todos la hostia, pues había un zurullo, tío, un zurullo fuera del váter.</t>
    </r>
  </si>
  <si>
    <r>
      <t xml:space="preserve">Y que a mí me dio mucha rabia cuando entré en la industria, y </t>
    </r>
    <r>
      <rPr>
        <b/>
        <sz val="11"/>
        <color theme="1"/>
        <rFont val="Calibri"/>
        <family val="2"/>
      </rPr>
      <t>es que es una industria que yo siento muy clasista</t>
    </r>
    <r>
      <rPr>
        <sz val="11"/>
        <color theme="1"/>
        <rFont val="Calibri"/>
        <family val="2"/>
      </rPr>
      <t>. Ya no solo por con quien trabajas y todo eso, sino por el propio acceso. Joder, si vives en Madrid o en Barcelona, que es la ciudad donde está todo, cuando te tienes que venir aquí, tío, tienes que estudiar el máster, que además es un máster que se ha sacado de debajo de la manga.</t>
    </r>
  </si>
  <si>
    <r>
      <t>Hola, yo me llamo Claudi y efectivamente trabajo en Starbucks donde pagas 37 euros porque</t>
    </r>
    <r>
      <rPr>
        <b/>
        <sz val="11"/>
        <color theme="1"/>
        <rFont val="Calibri"/>
        <family val="2"/>
      </rPr>
      <t xml:space="preserve"> te saquen un riñón</t>
    </r>
    <r>
      <rPr>
        <sz val="11"/>
        <color theme="1"/>
        <rFont val="Calibri"/>
        <family val="2"/>
      </rPr>
      <t xml:space="preserve"> y digan tu nombre. Y encima ya ni lo apuntamos.</t>
    </r>
  </si>
  <si>
    <r>
      <t xml:space="preserve">Yo voy a abrir un melón. En tus vídeos se critica mucho a los franceses. Yo hoy vengo a defenderles, tío. Son los menos </t>
    </r>
    <r>
      <rPr>
        <b/>
        <sz val="11"/>
        <color theme="1"/>
        <rFont val="Calibri"/>
        <family val="2"/>
      </rPr>
      <t>tocahuevos</t>
    </r>
    <r>
      <rPr>
        <sz val="11"/>
        <color theme="1"/>
        <rFont val="Calibri"/>
        <family val="2"/>
      </rPr>
      <t>.</t>
    </r>
  </si>
  <si>
    <r>
      <t xml:space="preserve">Era por la mañana, pero te estoy hablando 7 y media. Vemos entrar a una chica y a un chico jovencitos. Se pusieron ahí enfrente de la barra y empezaron a </t>
    </r>
    <r>
      <rPr>
        <b/>
        <sz val="11"/>
        <color theme="1"/>
        <rFont val="Calibri"/>
        <family val="2"/>
      </rPr>
      <t>magrearse</t>
    </r>
    <r>
      <rPr>
        <sz val="11"/>
        <color theme="1"/>
        <rFont val="Calibri"/>
        <family val="2"/>
      </rPr>
      <t>, a darse unos buenos besitos y nosotras diciendo, bueno, pues bien.</t>
    </r>
  </si>
  <si>
    <r>
      <t xml:space="preserve">Entonces, claro, una mujer nos pide de repente a la barra y nos dice, quiero una hoja de reclamaciones, tenéis la jabonera estropeada. Y claro, empezamos a hablar con ella, le dejo yo aquí la barra, lavarse las manos, no pasa nada. Ella </t>
    </r>
    <r>
      <rPr>
        <b/>
        <sz val="11"/>
        <color theme="1"/>
        <rFont val="Calibri"/>
        <family val="2"/>
      </rPr>
      <t xml:space="preserve">erre que erre </t>
    </r>
    <r>
      <rPr>
        <sz val="11"/>
        <color theme="1"/>
        <rFont val="Calibri"/>
        <family val="2"/>
      </rPr>
      <t>que no.</t>
    </r>
  </si>
  <si>
    <r>
      <t>Realmente en esos 2 años que he estado ahí era otra persona completamente distinta. Yo vivía amargada día a día. De verdad que te consume que la gente te trate t</t>
    </r>
    <r>
      <rPr>
        <b/>
        <sz val="11"/>
        <color theme="1"/>
        <rFont val="Calibri"/>
        <family val="2"/>
      </rPr>
      <t>an tan tan</t>
    </r>
    <r>
      <rPr>
        <sz val="11"/>
        <color theme="1"/>
        <rFont val="Calibri"/>
        <family val="2"/>
      </rPr>
      <t xml:space="preserve"> mal.</t>
    </r>
  </si>
  <si>
    <r>
      <t xml:space="preserve">Entonces fui, miraba los pisos, era a lo mejor como un bajo a tomar por el culo con humedades 1 habitación asquerosa. Mil euros cada uno. Conseguí llorarle un montón a los de la residencia. Puede que haya un sitio, pero tienes que compartir con 5 israelíes. </t>
    </r>
    <r>
      <rPr>
        <b/>
        <sz val="11"/>
        <color theme="1"/>
        <rFont val="Calibri"/>
        <family val="2"/>
      </rPr>
      <t>Me doy con un canto en los dientes.</t>
    </r>
  </si>
  <si>
    <r>
      <t xml:space="preserve">Y nos lleva como a una sala, grupo a lo mejor de 10 hombres sentados alrededor, nos sienta y nos dice, preguntad lo que queráis. Y nos pasamos como 2 horas hablando del Islam, preguntándole cosas y cuál es la percepción del cielo, del Islam, de qué opina del cristianismo, oye, he oído esto, ¿qué te parece esto del tal? Claro, entonces salimos ya con este tío, porque nos hemos hecho  </t>
    </r>
    <r>
      <rPr>
        <b/>
        <sz val="11"/>
        <color theme="1"/>
        <rFont val="Calibri"/>
        <family val="2"/>
      </rPr>
      <t>panas</t>
    </r>
    <r>
      <rPr>
        <sz val="11"/>
        <color theme="1"/>
        <rFont val="Calibri"/>
        <family val="2"/>
      </rPr>
      <t xml:space="preserve"> después de 2 horas hablando, tengo ahí una foto con la Polaroid con todo</t>
    </r>
  </si>
  <si>
    <r>
      <t xml:space="preserve">Había una chica, esta tía era del Reino Unido, y su familia era súper religiosa, pero súper </t>
    </r>
    <r>
      <rPr>
        <b/>
        <sz val="11"/>
        <color theme="1"/>
        <rFont val="Calibri"/>
        <family val="2"/>
      </rPr>
      <t>religiosa a lo bestia,</t>
    </r>
    <r>
      <rPr>
        <sz val="11"/>
        <color theme="1"/>
        <rFont val="Calibri"/>
        <family val="2"/>
      </rPr>
      <t xml:space="preserve"> protestante. Lo típico de falda hasta los tobillos, nunca había hecho nada con nadie y tal.</t>
    </r>
  </si>
  <si>
    <r>
      <t xml:space="preserve">¿Y el Cairo qué tal? Está muy guapo como unas pirámides que dices, Dios, es probablemente </t>
    </r>
    <r>
      <rPr>
        <b/>
        <sz val="11"/>
        <color theme="1"/>
        <rFont val="Calibri"/>
        <family val="2"/>
      </rPr>
      <t>la cosa más tocha de la humanidad.</t>
    </r>
  </si>
  <si>
    <r>
      <t xml:space="preserve">Hicimos una ruta de 14 días. Íbamos a Urgeada y hay un tío muy </t>
    </r>
    <r>
      <rPr>
        <b/>
        <sz val="11"/>
        <color theme="1"/>
        <rFont val="Calibri"/>
        <family val="2"/>
      </rPr>
      <t>random</t>
    </r>
    <r>
      <rPr>
        <sz val="11"/>
        <color theme="1"/>
        <rFont val="Calibri"/>
        <family val="2"/>
      </rPr>
      <t xml:space="preserve"> que nos empieza a seguir. No me acuerdo ni cómo se llama.</t>
    </r>
  </si>
  <si>
    <r>
      <t xml:space="preserve">Yo me fui de Jerusalén como en julio del 2023 y había muchas tensiones muy </t>
    </r>
    <r>
      <rPr>
        <b/>
        <sz val="11"/>
        <color theme="1"/>
        <rFont val="Calibri"/>
        <family val="2"/>
      </rPr>
      <t>heavies</t>
    </r>
    <r>
      <rPr>
        <sz val="11"/>
        <color theme="1"/>
        <rFont val="Calibri"/>
        <family val="2"/>
      </rPr>
      <t>. A lo mejor tiraban en un día cinco mil misiles encima de Tel Aviv, que nunca tiran a Tel Aviv.</t>
    </r>
  </si>
  <si>
    <r>
      <t>Ten en cuenta que el servicio militar es obligatorio hombres y mujeres. Es como que, claro, tú imagínate que tú le das a un chaval de 18 años un AR-15 y le dices, es que te vas a poner como este traje y te vas a poner como</t>
    </r>
    <r>
      <rPr>
        <b/>
        <sz val="11"/>
        <color theme="1"/>
        <rFont val="Calibri"/>
        <family val="2"/>
      </rPr>
      <t xml:space="preserve"> de gallito</t>
    </r>
    <r>
      <rPr>
        <sz val="11"/>
        <color theme="1"/>
        <rFont val="Calibri"/>
        <family val="2"/>
      </rPr>
      <t xml:space="preserve"> delante con todos tus colegas a defender la tierra prometida porque eres un enviador de Dios.</t>
    </r>
  </si>
  <si>
    <r>
      <t xml:space="preserve">En los checkpoints, claro, es que toda la gente era de mi edad y no es como un servicio militar en Finlandia. Sí, sí, que no es la </t>
    </r>
    <r>
      <rPr>
        <b/>
        <sz val="11"/>
        <color theme="1"/>
        <rFont val="Calibri"/>
        <family val="2"/>
      </rPr>
      <t>mili</t>
    </r>
    <r>
      <rPr>
        <sz val="11"/>
        <color theme="1"/>
        <rFont val="Calibri"/>
        <family val="2"/>
      </rPr>
      <t>. O sea, te cogen y te mandan a Líbano.</t>
    </r>
  </si>
  <si>
    <r>
      <t>Es curioso porque estuve anteriormente en otra sala de miedo, que yo vi una oferta en Instagram en un scape room que había hecho, que había jugado, y dije, pues venga, de perdidos al río,</t>
    </r>
    <r>
      <rPr>
        <b/>
        <sz val="11"/>
        <color theme="1"/>
        <rFont val="Calibri"/>
        <family val="2"/>
      </rPr>
      <t xml:space="preserve"> ¿por qué no?</t>
    </r>
  </si>
  <si>
    <r>
      <t>Además, lo que mola es eso. Gracias a la gente que se mete</t>
    </r>
    <r>
      <rPr>
        <b/>
        <sz val="11"/>
        <color theme="1"/>
        <rFont val="Calibri"/>
        <family val="2"/>
      </rPr>
      <t xml:space="preserve"> muy de lleno.</t>
    </r>
  </si>
  <si>
    <t>3.3</t>
  </si>
  <si>
    <r>
      <t>Pero a mí lo que más gracia me hace</t>
    </r>
    <r>
      <rPr>
        <b/>
        <sz val="11"/>
        <color theme="1"/>
        <rFont val="Calibri"/>
        <family val="2"/>
      </rPr>
      <t>, entre comillas</t>
    </r>
    <r>
      <rPr>
        <sz val="11"/>
        <color theme="1"/>
        <rFont val="Calibri"/>
        <family val="2"/>
      </rPr>
      <t>, las familias. Ahí es la hostia.</t>
    </r>
  </si>
  <si>
    <r>
      <t xml:space="preserve">Hay un cadáver, tal, no sé qué, no sé cuántos, hay que quitar los gusanitos Hay un momento clave, que es de tensión, y cogió mi compañera o así como hacemos de </t>
    </r>
    <r>
      <rPr>
        <b/>
        <sz val="11"/>
        <color theme="1"/>
        <rFont val="Calibri"/>
        <family val="2"/>
      </rPr>
      <t>poli</t>
    </r>
    <r>
      <rPr>
        <sz val="11"/>
        <color theme="1"/>
        <rFont val="Calibri"/>
        <family val="2"/>
      </rPr>
      <t xml:space="preserve"> malo y dijo «Venga, que os voy a mandar a todas con Dios».</t>
    </r>
  </si>
  <si>
    <r>
      <t xml:space="preserve">Estás viendo el scape room y puedes ver muchos tipos de personas, pero ¿cómo se desarrolla un </t>
    </r>
    <r>
      <rPr>
        <b/>
        <sz val="11"/>
        <color theme="1"/>
        <rFont val="Calibri"/>
        <family val="2"/>
      </rPr>
      <t>cani</t>
    </r>
    <r>
      <rPr>
        <sz val="11"/>
        <color theme="1"/>
        <rFont val="Calibri"/>
        <family val="2"/>
      </rPr>
      <t>? Un grupo de canis que están ahí.</t>
    </r>
  </si>
  <si>
    <r>
      <t>Cuando tenía 12 años, mi padre estaba buscando trabajo y lo típico de que echas todas las ofertas, pues a ver qué sale. Y le cogieron y dijo: bueno, pues ahora hay que probar. ¿Y de qué era el trabajo? De ingeniero de puentes. Oye,</t>
    </r>
    <r>
      <rPr>
        <b/>
        <sz val="11"/>
        <color theme="1"/>
        <rFont val="Calibri"/>
        <family val="2"/>
      </rPr>
      <t xml:space="preserve"> vaya puta pasada de curro.</t>
    </r>
  </si>
  <si>
    <r>
      <t xml:space="preserve">¿Y tu profesor sigue por allí? Creo que se jubiló ya porque la había estado trabajando muchísimos años </t>
    </r>
    <r>
      <rPr>
        <b/>
        <sz val="11"/>
        <color theme="1"/>
        <rFont val="Calibri"/>
        <family val="2"/>
      </rPr>
      <t>en plan</t>
    </r>
    <r>
      <rPr>
        <sz val="11"/>
        <color theme="1"/>
        <rFont val="Calibri"/>
        <family val="2"/>
      </rPr>
      <t xml:space="preserve"> en un montón de colegios de todos lados.</t>
    </r>
  </si>
  <si>
    <r>
      <t xml:space="preserve">Es como la imagen preciosa y fantástica de decir, anda, </t>
    </r>
    <r>
      <rPr>
        <b/>
        <sz val="11"/>
        <color theme="1"/>
        <rFont val="Calibri"/>
        <family val="2"/>
      </rPr>
      <t xml:space="preserve">mira qué bien, qué ganas va a tener este hombre de escucharme. </t>
    </r>
    <r>
      <rPr>
        <sz val="11"/>
        <color theme="1"/>
        <rFont val="Calibri"/>
        <family val="2"/>
      </rPr>
      <t>Y luego seguro que el que más habla es el marido. Unas chapas.</t>
    </r>
  </si>
  <si>
    <r>
      <t>Una vez se vio una mujer que se queda mirando el vidrio, me coge del brazo y me dijo que por qué los romanos construyen hacia abajo. La gente</t>
    </r>
    <r>
      <rPr>
        <b/>
        <sz val="11"/>
        <color theme="1"/>
        <rFont val="Calibri"/>
        <family val="2"/>
      </rPr>
      <t xml:space="preserve"> se descojonó.</t>
    </r>
  </si>
  <si>
    <r>
      <t>Bueno, pues estaban las gárgolas de las iglesias, t</t>
    </r>
    <r>
      <rPr>
        <b/>
        <sz val="11"/>
        <color theme="1"/>
        <rFont val="Calibri"/>
        <family val="2"/>
      </rPr>
      <t>al, tal, tal, tal.</t>
    </r>
    <r>
      <rPr>
        <sz val="11"/>
        <color theme="1"/>
        <rFont val="Calibri"/>
        <family val="2"/>
      </rPr>
      <t xml:space="preserve"> Una iglesia en Barcelona que se llama Santilli Pereri, que es una iglesia preciosa, fue bombardeada en la Guerra Civil.</t>
    </r>
  </si>
  <si>
    <r>
      <t xml:space="preserve">Hay muchísima gente que se piensa que aquí en España es como que nos educan con que Colón era el salvador y </t>
    </r>
    <r>
      <rPr>
        <b/>
        <sz val="11"/>
        <rFont val="Calibri"/>
        <family val="2"/>
      </rPr>
      <t>bla, bla, bla.</t>
    </r>
    <r>
      <rPr>
        <sz val="11"/>
        <rFont val="Calibri"/>
        <family val="2"/>
      </rPr>
      <t xml:space="preserve"> </t>
    </r>
    <r>
      <rPr>
        <sz val="11"/>
        <color theme="1"/>
        <rFont val="Calibri"/>
        <family val="2"/>
      </rPr>
      <t>Cuando vienen aquí, yo creo que de buena fe como que nos quieren cambiar totalmente esa visión.</t>
    </r>
  </si>
  <si>
    <r>
      <t>Padres o madres que vienen a ver a su hijo aquí a Barcelona, están haciendo con ellos un tour y quizás no vieron al hijo desde hace un año. Están emocionados porque ven lo que el hijo está consiguiendo y ven que están en un sitio</t>
    </r>
    <r>
      <rPr>
        <b/>
        <sz val="11"/>
        <color theme="1"/>
        <rFont val="Calibri"/>
        <family val="2"/>
      </rPr>
      <t xml:space="preserve"> chulo.</t>
    </r>
  </si>
  <si>
    <r>
      <t xml:space="preserve">Ha habido robos en los tours. Eso es </t>
    </r>
    <r>
      <rPr>
        <b/>
        <sz val="11"/>
        <color theme="1"/>
        <rFont val="Calibri"/>
        <family val="2"/>
      </rPr>
      <t>otro melón que podemos abrir.</t>
    </r>
  </si>
  <si>
    <r>
      <t xml:space="preserve">Da un poco de rabia porque al fin y al cabo tú lo que quieres hacer es un tour </t>
    </r>
    <r>
      <rPr>
        <b/>
        <sz val="11"/>
        <color theme="1"/>
        <rFont val="Calibri"/>
        <family val="2"/>
      </rPr>
      <t>chulo</t>
    </r>
    <r>
      <rPr>
        <sz val="11"/>
        <color theme="1"/>
        <rFont val="Calibri"/>
        <family val="2"/>
      </rPr>
      <t xml:space="preserve"> en 2 horas explicando la historia de los judíos y cristianos, yo que sé, cualquier cosa, y te van a mirar con la cara de, ya, pero es un joven independentista catalán, entonces es un poquito complicado quitarse este estigma.</t>
    </r>
  </si>
  <si>
    <r>
      <rPr>
        <b/>
        <sz val="11"/>
        <color theme="1"/>
        <rFont val="Calibri"/>
        <family val="2"/>
      </rPr>
      <t xml:space="preserve">¿Pero Antonio Gaudí sigue vivo? </t>
    </r>
    <r>
      <rPr>
        <sz val="11"/>
        <color theme="1"/>
        <rFont val="Calibri"/>
        <family val="2"/>
      </rPr>
      <t>Una polla que te han preguntado si sigue vivo.</t>
    </r>
  </si>
  <si>
    <r>
      <t xml:space="preserve">Una de las cosas que me gusta es el cuñado histórico. Yo lo identifico siempre con las catedrales. Un imán para los </t>
    </r>
    <r>
      <rPr>
        <b/>
        <sz val="11"/>
        <color theme="1"/>
        <rFont val="Calibri"/>
        <family val="2"/>
      </rPr>
      <t xml:space="preserve">cuñados históricos </t>
    </r>
    <r>
      <rPr>
        <sz val="11"/>
        <color theme="1"/>
        <rFont val="Calibri"/>
        <family val="2"/>
      </rPr>
      <t>que se pongan delante de una fachada y digan esto es románico, esto es gótico, esto tiene de todo.</t>
    </r>
  </si>
  <si>
    <r>
      <t>Después, familias más normativas, digamos, que vienen buscando lo mejor que pueden, pero acaban en esos colegios, en ese contraste de niños</t>
    </r>
    <r>
      <rPr>
        <b/>
        <sz val="11"/>
        <color theme="1"/>
        <rFont val="Calibri"/>
        <family val="2"/>
      </rPr>
      <t xml:space="preserve"> súper buenos, súper bonitos.</t>
    </r>
    <r>
      <rPr>
        <sz val="11"/>
        <color theme="1"/>
        <rFont val="Calibri"/>
        <family val="2"/>
      </rPr>
      <t xml:space="preserve"> Allí no hay término medio.</t>
    </r>
  </si>
  <si>
    <r>
      <t xml:space="preserve">En su casa tienen </t>
    </r>
    <r>
      <rPr>
        <b/>
        <sz val="11"/>
        <color theme="1"/>
        <rFont val="Calibri"/>
        <family val="2"/>
      </rPr>
      <t>0 educación,</t>
    </r>
    <r>
      <rPr>
        <sz val="11"/>
        <color theme="1"/>
        <rFont val="Calibri"/>
        <family val="2"/>
      </rPr>
      <t xml:space="preserve"> no tienen ningún tipo de límites y que lleguen al colegio 1 profesor le diga, siéntate, saca el libro, lo ven como, yo estoy aquí porque me obliga a la ley.</t>
    </r>
  </si>
  <si>
    <r>
      <t xml:space="preserve">Como prioridad en ese tipo de colegios, quieres que el niño esté de 9 a 2 y que no haya pasado nada grave, que los niños salgan contentos del </t>
    </r>
    <r>
      <rPr>
        <b/>
        <sz val="11"/>
        <color theme="1"/>
        <rFont val="Calibri"/>
        <family val="2"/>
      </rPr>
      <t>cole</t>
    </r>
    <r>
      <rPr>
        <sz val="11"/>
        <color theme="1"/>
        <rFont val="Calibri"/>
        <family val="2"/>
      </rPr>
      <t>.</t>
    </r>
  </si>
  <si>
    <r>
      <t xml:space="preserve">Yo el recorrido que hago a casa lo hago muchas veces acompañado de niños porque paso por el barrio. Y el niño entra, adiós </t>
    </r>
    <r>
      <rPr>
        <b/>
        <sz val="11"/>
        <color theme="1"/>
        <rFont val="Calibri"/>
        <family val="2"/>
      </rPr>
      <t>profe</t>
    </r>
    <r>
      <rPr>
        <sz val="11"/>
        <color theme="1"/>
        <rFont val="Calibri"/>
        <family val="2"/>
      </rPr>
      <t>, se mete a su casa que es un bajo con la que está la puerta abierta.</t>
    </r>
  </si>
  <si>
    <r>
      <t xml:space="preserve">Lo que pasa es que no les gusta el colegio. </t>
    </r>
    <r>
      <rPr>
        <b/>
        <sz val="11"/>
        <color theme="1"/>
        <rFont val="Calibri"/>
        <family val="2"/>
      </rPr>
      <t>Yo me imagino un niño de esos diciendo quiero estudiar la carrera y los padres diciendo pero tú eres gilipollas, tú en cuanto tengas edad te vas a poner a trabajar conmigo.</t>
    </r>
  </si>
  <si>
    <r>
      <t xml:space="preserve">¿Necesita algún </t>
    </r>
    <r>
      <rPr>
        <b/>
        <sz val="11"/>
        <color theme="1"/>
        <rFont val="Calibri"/>
        <family val="2"/>
      </rPr>
      <t>puto</t>
    </r>
    <r>
      <rPr>
        <sz val="11"/>
        <color theme="1"/>
        <rFont val="Calibri"/>
        <family val="2"/>
      </rPr>
      <t xml:space="preserve"> método educativo para conseguir rescatar por lo menos unos pocos de esa mierda o hay que resignarse? Ya está, por haber nacido en un sitio estás perdido.</t>
    </r>
  </si>
  <si>
    <r>
      <rPr>
        <b/>
        <sz val="11"/>
        <color theme="1"/>
        <rFont val="Calibri"/>
        <family val="2"/>
      </rPr>
      <t>Que me ha puesto los cuernos</t>
    </r>
    <r>
      <rPr>
        <sz val="11"/>
        <color theme="1"/>
        <rFont val="Calibri"/>
        <family val="2"/>
      </rPr>
      <t>, es que es un cabrón, es que se ha ido con 3 de la misma clase, es que se ha ido con la de quinto y el más chico, estas cosas las hay en el colegio</t>
    </r>
  </si>
  <si>
    <r>
      <t>He tenido un problema</t>
    </r>
    <r>
      <rPr>
        <b/>
        <sz val="11"/>
        <color theme="1"/>
        <rFont val="Calibri"/>
        <family val="2"/>
      </rPr>
      <t xml:space="preserve"> muy gordo</t>
    </r>
    <r>
      <rPr>
        <sz val="11"/>
        <color theme="1"/>
        <rFont val="Calibri"/>
        <family val="2"/>
      </rPr>
      <t xml:space="preserve"> con un padre, pero no fue en una tutoría. Porque los padres vienen buscando problemas.</t>
    </r>
  </si>
  <si>
    <r>
      <t xml:space="preserve">Me encantaría encontrarme como cuando entras en una empresa que te encuentras El </t>
    </r>
    <r>
      <rPr>
        <b/>
        <sz val="11"/>
        <color theme="1"/>
        <rFont val="Calibri"/>
        <family val="2"/>
      </rPr>
      <t>onboarding</t>
    </r>
    <r>
      <rPr>
        <sz val="11"/>
        <color theme="1"/>
        <rFont val="Calibri"/>
        <family val="2"/>
      </rPr>
      <t>.  una memoria con todos los proyectos, qué está por hacer, qué queda, qué presupuesto tengo</t>
    </r>
  </si>
  <si>
    <r>
      <t xml:space="preserve">Cuéntame movidas que te hayan dicho, tío. Te coja ahora de repente tu vecina del cuarto y te empieza a </t>
    </r>
    <r>
      <rPr>
        <b/>
        <sz val="11"/>
        <color theme="1"/>
        <rFont val="Calibri"/>
        <family val="2"/>
      </rPr>
      <t>dar un chapón que te cagas.</t>
    </r>
  </si>
  <si>
    <r>
      <t>Aquí sigues teniendo la sensación de barrio, comunidad. Conozco al vecino de enfrente</t>
    </r>
    <r>
      <rPr>
        <b/>
        <sz val="11"/>
        <color theme="1"/>
        <rFont val="Calibri"/>
        <family val="2"/>
      </rPr>
      <t xml:space="preserve"> al otro, no sé qué, no sé qué, no sé cuánto</t>
    </r>
    <r>
      <rPr>
        <sz val="11"/>
        <color theme="1"/>
        <rFont val="Calibri"/>
        <family val="2"/>
      </rPr>
      <t>. Esa mierda no existe en Madrid. Y a la vez existe menos en otros sitios.</t>
    </r>
  </si>
  <si>
    <r>
      <t xml:space="preserve">Uno de ellos, por, ejemplo, le llamaban el Patillas, que no sé por qué le llamaban el Patillas, porque no tenía patillas. Era un hombre mayor con mucha </t>
    </r>
    <r>
      <rPr>
        <b/>
        <sz val="11"/>
        <color theme="1"/>
        <rFont val="Calibri"/>
        <family val="2"/>
      </rPr>
      <t>mala leche</t>
    </r>
    <r>
      <rPr>
        <sz val="11"/>
        <color theme="1"/>
        <rFont val="Calibri"/>
        <family val="2"/>
      </rPr>
      <t>. Venía con su bastón y siempre pasaba por las cajas de autopago.</t>
    </r>
  </si>
  <si>
    <r>
      <t xml:space="preserve">Lo mismo. te encontrabas a la señora que decías que llevo 50 años comprando aquí, pero luego, cada vez que venía, te preguntaba dónde estaban los huevos unas </t>
    </r>
    <r>
      <rPr>
        <b/>
        <sz val="11"/>
        <color theme="1"/>
        <rFont val="Calibri"/>
        <family val="2"/>
      </rPr>
      <t>fantasmadas</t>
    </r>
    <r>
      <rPr>
        <sz val="11"/>
        <color theme="1"/>
        <rFont val="Calibri"/>
        <family val="2"/>
      </rPr>
      <t>, tío</t>
    </r>
  </si>
  <si>
    <r>
      <t xml:space="preserve">Al final se supone que no puedes insultar porque queda feo, aunque sí que reconozco que a veces </t>
    </r>
    <r>
      <rPr>
        <b/>
        <sz val="11"/>
        <color theme="1"/>
        <rFont val="Calibri"/>
        <family val="2"/>
      </rPr>
      <t>me han mandado a la mierda.</t>
    </r>
    <r>
      <rPr>
        <sz val="11"/>
        <color theme="1"/>
        <rFont val="Calibri"/>
        <family val="2"/>
      </rPr>
      <t xml:space="preserve"> Y yo he mandado a la mierda también.</t>
    </r>
  </si>
  <si>
    <r>
      <t xml:space="preserve">No, yo también admito, que yo </t>
    </r>
    <r>
      <rPr>
        <b/>
        <sz val="11"/>
        <color theme="1"/>
        <rFont val="Calibri"/>
        <family val="2"/>
      </rPr>
      <t>me he calentado</t>
    </r>
    <r>
      <rPr>
        <sz val="11"/>
        <color theme="1"/>
        <rFont val="Calibri"/>
        <family val="2"/>
      </rPr>
      <t xml:space="preserve"> muchas veces y no me he liado a palos, porque mira que un día casi me tienen que separar de uno, porque me dijo que me iba a cruzar la cara. Y yo le dije: hazlo al tío gritando e insultando a su mujer</t>
    </r>
  </si>
  <si>
    <r>
      <t xml:space="preserve">Fue una vez una mujer y llevaba un carro de la compra petado hasta arriba. Lo pasé tal y ya me empezó a decir de malas formas, que necesitaba otro carro. Pues, ves a buscarlo, </t>
    </r>
    <r>
      <rPr>
        <b/>
        <sz val="11"/>
        <color theme="1"/>
        <rFont val="Calibri"/>
        <family val="2"/>
      </rPr>
      <t>¿no?</t>
    </r>
  </si>
  <si>
    <r>
      <t>Es un supermercado como el Mercadona, como el Carrefour, como el Lidl o como el Día. No estamos hablando de arriba, que los vendedores te</t>
    </r>
    <r>
      <rPr>
        <b/>
        <sz val="11"/>
        <color theme="1"/>
        <rFont val="Calibri"/>
        <family val="2"/>
      </rPr>
      <t xml:space="preserve"> tienen que hacer la pelota</t>
    </r>
    <r>
      <rPr>
        <sz val="11"/>
        <color theme="1"/>
        <rFont val="Calibri"/>
        <family val="2"/>
      </rPr>
      <t xml:space="preserve"> porque te tienen que vender, tienen que ganar comisiones.</t>
    </r>
  </si>
  <si>
    <r>
      <t>Pero luego el siguiente cupón que pasé no la aceptó porque había subido las bolsas de plástico y las bolsas de plástico no contaban. Entonces, claro, hubo que anular toda la compra, volver a empezar de nuevo y se</t>
    </r>
    <r>
      <rPr>
        <b/>
        <sz val="11"/>
        <color theme="1"/>
        <rFont val="Calibri"/>
        <family val="2"/>
      </rPr>
      <t xml:space="preserve"> pilló un mosqueo.</t>
    </r>
  </si>
  <si>
    <r>
      <t xml:space="preserve">Mi madre lleva un </t>
    </r>
    <r>
      <rPr>
        <b/>
        <sz val="11"/>
        <color theme="1"/>
        <rFont val="Calibri"/>
        <family val="2"/>
      </rPr>
      <t>cachondeo</t>
    </r>
    <r>
      <rPr>
        <sz val="11"/>
        <color theme="1"/>
        <rFont val="Calibri"/>
        <family val="2"/>
      </rPr>
      <t xml:space="preserve"> conmigo tremendo diciéndome que he vuelto siendo un pato.</t>
    </r>
  </si>
  <si>
    <r>
      <t xml:space="preserve">Por ejemplo, sí que me hicieron hablar un poco de la guerra civil o una clase que tuve que hablar de la dana de Valencia. Y claro, yo estar hablando de algo que para mí puede ser un poco complicado y tener a un chaval al lado que está todo el rato </t>
    </r>
    <r>
      <rPr>
        <b/>
        <sz val="11"/>
        <color theme="1"/>
        <rFont val="Calibri"/>
        <family val="2"/>
      </rPr>
      <t xml:space="preserve">haciendo coñas </t>
    </r>
    <r>
      <rPr>
        <sz val="11"/>
        <color theme="1"/>
        <rFont val="Calibri"/>
        <family val="2"/>
      </rPr>
      <t>y metiéndose contigo, pues para mí eso era horrible.</t>
    </r>
  </si>
  <si>
    <r>
      <t xml:space="preserve">Me soltaron un </t>
    </r>
    <r>
      <rPr>
        <b/>
        <sz val="11"/>
        <color theme="1"/>
        <rFont val="Calibri"/>
        <family val="2"/>
      </rPr>
      <t>zasca</t>
    </r>
    <r>
      <rPr>
        <sz val="11"/>
        <color theme="1"/>
        <rFont val="Calibri"/>
        <family val="2"/>
      </rPr>
      <t xml:space="preserve"> con el tema de novios. Un niño de 13 años que me dejó temblando.</t>
    </r>
  </si>
  <si>
    <r>
      <t xml:space="preserve">Pero llegó un momento en el que yo estaba entrando en clase y de repente me veo a 4 o 5 de mis estudiantes con la cara completamente rayada a </t>
    </r>
    <r>
      <rPr>
        <b/>
        <sz val="11"/>
        <color theme="1"/>
        <rFont val="Calibri"/>
        <family val="2"/>
      </rPr>
      <t>boli</t>
    </r>
    <r>
      <rPr>
        <sz val="11"/>
        <color theme="1"/>
        <rFont val="Calibri"/>
        <family val="2"/>
      </rPr>
      <t>. Mi primer pensamiento fue una locura.</t>
    </r>
  </si>
  <si>
    <r>
      <t xml:space="preserve">Una de las cosas también muy bonitas de esa edad son los amoríos. </t>
    </r>
    <r>
      <rPr>
        <b/>
        <sz val="11"/>
        <color theme="1"/>
        <rFont val="Calibri"/>
        <family val="2"/>
      </rPr>
      <t>¡Uf,</t>
    </r>
    <r>
      <rPr>
        <sz val="11"/>
        <color theme="1"/>
        <rFont val="Calibri"/>
        <family val="2"/>
      </rPr>
      <t xml:space="preserve"> qué puterío! Habían unos baños mixtos en el instituto. Yo en esos baños no entré nunca.</t>
    </r>
  </si>
  <si>
    <r>
      <t xml:space="preserve">Y yo me tiraba un fin de semana entero preparando clases y </t>
    </r>
    <r>
      <rPr>
        <b/>
        <sz val="11"/>
        <color theme="1"/>
        <rFont val="Calibri"/>
        <family val="2"/>
      </rPr>
      <t>currándomelas</t>
    </r>
    <r>
      <rPr>
        <sz val="11"/>
        <color theme="1"/>
        <rFont val="Calibri"/>
        <family val="2"/>
      </rPr>
      <t xml:space="preserve"> y trabajando y haciendo PowerPoint y preparando escape rooms para que luego en clase se me durmiesen 5, 7 estuviesen hablando, 3 no me estuviesen escuchando 2 me estuviesen abortando la clase.</t>
    </r>
  </si>
  <si>
    <r>
      <t>O sea, yo llegué y sube 7 días seguidos saliendo de fiesta, sin exagerar. Y claro, la gente flipaba, en plan, esta</t>
    </r>
    <r>
      <rPr>
        <b/>
        <sz val="11"/>
        <color theme="1"/>
        <rFont val="Calibri"/>
        <family val="2"/>
      </rPr>
      <t xml:space="preserve"> tía,</t>
    </r>
    <r>
      <rPr>
        <sz val="11"/>
        <color theme="1"/>
        <rFont val="Calibri"/>
        <family val="2"/>
      </rPr>
      <t xml:space="preserve"> ¿qué coño le pasa? Y la gente súper maja. Los de mi resi, españoles. Los demás, no.</t>
    </r>
  </si>
  <si>
    <r>
      <t xml:space="preserve">Ya no es la caca, ya no son los guiris, ya es el ambiente del centro por la noche. Desde los </t>
    </r>
    <r>
      <rPr>
        <b/>
        <sz val="11"/>
        <color theme="1"/>
        <rFont val="Calibri"/>
        <family val="2"/>
      </rPr>
      <t>NPCs</t>
    </r>
    <r>
      <rPr>
        <sz val="11"/>
        <color theme="1"/>
        <rFont val="Calibri"/>
        <family val="2"/>
      </rPr>
      <t xml:space="preserve"> que te rapean con el micro en plan, no, yo, la chica pelirroja, no sé qué, Está el de Michael Jackson, que lleva como un guante. Es una persona que se le ve que algo no está bien, llevaba como un guante blanco y hacía lo de caminar para atrás.</t>
    </r>
  </si>
  <si>
    <r>
      <t xml:space="preserve">Aquí donde me viese una cámara súper simpática. Lo que pasa es que si me tocas los cojones, </t>
    </r>
    <r>
      <rPr>
        <b/>
        <sz val="11"/>
        <color theme="1"/>
        <rFont val="Calibri"/>
        <family val="2"/>
      </rPr>
      <t>hermano</t>
    </r>
    <r>
      <rPr>
        <sz val="11"/>
        <color theme="1"/>
        <rFont val="Calibri"/>
        <family val="2"/>
      </rPr>
      <t>, había gente que me decía, no, pero ponme la copa más larga.</t>
    </r>
  </si>
  <si>
    <r>
      <rPr>
        <b/>
        <sz val="11"/>
        <color theme="1"/>
        <rFont val="Calibri"/>
        <family val="2"/>
      </rPr>
      <t>Brother</t>
    </r>
    <r>
      <rPr>
        <sz val="11"/>
        <color theme="1"/>
        <rFont val="Calibri"/>
        <family val="2"/>
      </rPr>
      <t>, de sacarse la polla y mear en la barra. Además, era una barra en forma de L y me meó justo por donde yo le podía ver la polla. O sea, brother, vi una polla meando.</t>
    </r>
  </si>
  <si>
    <r>
      <t xml:space="preserve">Yo entiendo lo que dices, lo del tema de la megadestrucción de un váter. O sea, que dices, diarrea de esta de </t>
    </r>
    <r>
      <rPr>
        <b/>
        <sz val="11"/>
        <color theme="1"/>
        <rFont val="Calibri"/>
        <family val="2"/>
      </rPr>
      <t>pa-pa-pa-pa-pa-pa</t>
    </r>
    <r>
      <rPr>
        <sz val="11"/>
        <color theme="1"/>
        <rFont val="Calibri"/>
        <family val="2"/>
      </rPr>
      <t xml:space="preserve"> por todo el váter que digo, te has tenido que manchar la espalda.</t>
    </r>
  </si>
  <si>
    <r>
      <t xml:space="preserve">Hay una zona exterior que tiene pádel, después tiene el típico gimnasio normal, una zona del gimnasio que está adaptada a spinning, o sea, todo bicicletas, en plan, ¿sabes? Los putos locos estos que van </t>
    </r>
    <r>
      <rPr>
        <b/>
        <sz val="11"/>
        <color theme="1"/>
        <rFont val="Calibri"/>
        <family val="2"/>
      </rPr>
      <t>pum, pum, pum</t>
    </r>
    <r>
      <rPr>
        <sz val="11"/>
        <color theme="1"/>
        <rFont val="Calibri"/>
        <family val="2"/>
      </rPr>
      <t>, a tope, que dices tú, vaya putas ganas a las 9 de la mañana.</t>
    </r>
  </si>
  <si>
    <r>
      <t>No me pillo tanto en shock porque yo he trabajado también casi 2 años en un Burger King. Los baños del Burger King es como una especie de mili para esto. O sea, en plan</t>
    </r>
    <r>
      <rPr>
        <b/>
        <sz val="11"/>
        <color theme="1"/>
        <rFont val="Calibri"/>
        <family val="2"/>
      </rPr>
      <t xml:space="preserve"> Voy a Afganistán, </t>
    </r>
    <r>
      <rPr>
        <sz val="11"/>
        <color theme="1"/>
        <rFont val="Calibri"/>
        <family val="2"/>
      </rPr>
      <t>sí, pero yo ya lo he visto todo.</t>
    </r>
  </si>
  <si>
    <r>
      <t xml:space="preserve">Hay una movida que yo le llamo el volcán, que es cuando un váter se atasca, atasca un váter con diarrea, ojo, es jodidísimo. Tienes que estar muy </t>
    </r>
    <r>
      <rPr>
        <b/>
        <sz val="11"/>
        <color theme="1"/>
        <rFont val="Calibri"/>
        <family val="2"/>
      </rPr>
      <t>fucked</t>
    </r>
    <r>
      <rPr>
        <sz val="11"/>
        <color theme="1"/>
        <rFont val="Calibri"/>
        <family val="2"/>
      </rPr>
      <t xml:space="preserve"> por dentro.</t>
    </r>
  </si>
  <si>
    <r>
      <t xml:space="preserve">Y yo tengo un carro con un cubo con agua sucia, un cubo con agua limpia. Sale de sus clases, se bebe, le queda un poquito de agua y en vez de tirarla, ir al lavabo y tirarla porque le pesará o yo que sé, hace así, </t>
    </r>
    <r>
      <rPr>
        <b/>
        <sz val="11"/>
        <color theme="1"/>
        <rFont val="Calibri"/>
        <family val="2"/>
      </rPr>
      <t xml:space="preserve">clic, clic, clic, </t>
    </r>
    <r>
      <rPr>
        <sz val="11"/>
        <color theme="1"/>
        <rFont val="Calibri"/>
        <family val="2"/>
      </rPr>
      <t>y me la vacía en el cubo de agua limpia.</t>
    </r>
  </si>
  <si>
    <r>
      <t xml:space="preserve">Tradúcele al francés este que si literalmente no saben español, veraneando en España y mucho menos inglés, que es el idioma internacional, dile que se vayan a Bordeaux a tomarse un vino. Y mi compañero se lo dijo. Me estoy vengando de lo que hizo </t>
    </r>
    <r>
      <rPr>
        <b/>
        <sz val="11"/>
        <color theme="1"/>
        <rFont val="Calibri"/>
        <family val="2"/>
      </rPr>
      <t>Pepe Botella,</t>
    </r>
    <r>
      <rPr>
        <sz val="11"/>
        <color theme="1"/>
        <rFont val="Calibri"/>
        <family val="2"/>
      </rPr>
      <t xml:space="preserve"> o sea.</t>
    </r>
  </si>
  <si>
    <r>
      <t xml:space="preserve">Obviamente, un poquito de postureo de vez en cuando. Un poco de decirte que has ido de vacaciones en tal sitio. Es que una foto bonita no hace daño a nadie. </t>
    </r>
    <r>
      <rPr>
        <b/>
        <sz val="11"/>
        <color theme="1"/>
        <rFont val="Calibri"/>
        <family val="2"/>
      </rPr>
      <t>No hace falta no hacer fotos.</t>
    </r>
  </si>
  <si>
    <r>
      <t xml:space="preserve">Me dejó todo lleno de arena y me seguía insultando, tío. Cansada de que gritara, la pedí que se fuera. Y tuvo que venir el de seguridad a decirla que se fuera o que dejara de gritar. Se van a un centro donde no haya mi marca y allí, claro, como no es suyo, no se molestan, ven que el ticket es de otro centro, </t>
    </r>
    <r>
      <rPr>
        <b/>
        <sz val="11"/>
        <color theme="1"/>
        <rFont val="Calibri"/>
        <family val="2"/>
      </rPr>
      <t>pim pam, l</t>
    </r>
    <r>
      <rPr>
        <sz val="11"/>
        <color theme="1"/>
        <rFont val="Calibri"/>
        <family val="2"/>
      </rPr>
      <t>uego te lo mandan por traspaso y te llega el producto, pues hecho una mierda.</t>
    </r>
  </si>
  <si>
    <r>
      <t>También el que está en Gibraltar paga menos. Eso para el inglés, para el que es de aquí, trabaja allí,</t>
    </r>
    <r>
      <rPr>
        <b/>
        <sz val="11"/>
        <color theme="1"/>
        <rFont val="Calibri"/>
        <family val="2"/>
      </rPr>
      <t xml:space="preserve"> te follan vivo.</t>
    </r>
    <r>
      <rPr>
        <sz val="11"/>
        <color theme="1"/>
        <rFont val="Calibri"/>
        <family val="2"/>
      </rPr>
      <t xml:space="preserve"> Yo hago las 2 declaraciones. Yo trabajando en el McDonald's de Gibraltar pagué 760 euros de hacienda.</t>
    </r>
  </si>
  <si>
    <r>
      <t xml:space="preserve">El problema es al principio cuando empecé que hay cosas que a ti te piden y tú dices ¿qué coño me está pidiendo este? Unos nuggets, unas patatas, una Coca-Cola normal, un </t>
    </r>
    <r>
      <rPr>
        <b/>
        <sz val="11"/>
        <color theme="1"/>
        <rFont val="Calibri"/>
        <family val="2"/>
      </rPr>
      <t>cheeseburger</t>
    </r>
    <r>
      <rPr>
        <sz val="11"/>
        <color theme="1"/>
        <rFont val="Calibri"/>
        <family val="2"/>
      </rPr>
      <t xml:space="preserve"> sin </t>
    </r>
    <r>
      <rPr>
        <b/>
        <sz val="11"/>
        <color theme="1"/>
        <rFont val="Calibri"/>
        <family val="2"/>
      </rPr>
      <t>cheese</t>
    </r>
    <r>
      <rPr>
        <sz val="11"/>
        <color theme="1"/>
        <rFont val="Calibri"/>
        <family val="2"/>
      </rPr>
      <t xml:space="preserve"> y sin </t>
    </r>
    <r>
      <rPr>
        <b/>
        <sz val="11"/>
        <color theme="1"/>
        <rFont val="Calibri"/>
        <family val="2"/>
      </rPr>
      <t>onion</t>
    </r>
    <r>
      <rPr>
        <sz val="11"/>
        <color theme="1"/>
        <rFont val="Calibri"/>
        <family val="2"/>
      </rPr>
      <t>.</t>
    </r>
  </si>
  <si>
    <r>
      <t xml:space="preserve">Sí, sí, he tenido algunas. Bueno, bueno, no sé decirte qué, porque no tenía ni </t>
    </r>
    <r>
      <rPr>
        <b/>
        <sz val="11"/>
        <color theme="1"/>
        <rFont val="Calibri"/>
        <family val="2"/>
      </rPr>
      <t>puta</t>
    </r>
    <r>
      <rPr>
        <sz val="11"/>
        <color theme="1"/>
        <rFont val="Calibri"/>
        <family val="2"/>
      </rPr>
      <t xml:space="preserve"> idea de lo que me estaba diciendo.</t>
    </r>
  </si>
  <si>
    <r>
      <t>Una señora mayor que me llama, me dice, la tarjeta que me han robado en un bar, no sé qué,</t>
    </r>
    <r>
      <rPr>
        <b/>
        <sz val="11"/>
        <color theme="1"/>
        <rFont val="Calibri"/>
        <family val="2"/>
      </rPr>
      <t xml:space="preserve"> bla, bla, bla.</t>
    </r>
    <r>
      <rPr>
        <sz val="11"/>
        <color theme="1"/>
        <rFont val="Calibri"/>
        <family val="2"/>
      </rPr>
      <t xml:space="preserve"> Es que fui a orinar y cuando volví ya no estaba.</t>
    </r>
  </si>
  <si>
    <r>
      <t xml:space="preserve">Estafas. Y hay que tener mucho cuidado porque son muy hijos de puta, ¿eh? Al principio puedes decir, </t>
    </r>
    <r>
      <rPr>
        <b/>
        <sz val="11"/>
        <color theme="1"/>
        <rFont val="Calibri"/>
        <family val="2"/>
      </rPr>
      <t>bueno</t>
    </r>
    <r>
      <rPr>
        <sz val="11"/>
        <color theme="1"/>
        <rFont val="Calibri"/>
        <family val="2"/>
      </rPr>
      <t>, es que esto cae los tontos, ¿no? De lo difícil no cae.</t>
    </r>
  </si>
  <si>
    <r>
      <t xml:space="preserve">Me dice, este teléfono es de pago. Le digo, no, caballero, no es de pago. Es de pago. Empeñado yo que no, caballero, que no es de pago. Me </t>
    </r>
    <r>
      <rPr>
        <b/>
        <sz val="11"/>
        <color theme="1"/>
        <rFont val="Calibri"/>
        <family val="2"/>
      </rPr>
      <t>muteo</t>
    </r>
    <r>
      <rPr>
        <sz val="11"/>
        <color theme="1"/>
        <rFont val="Calibri"/>
        <family val="2"/>
      </rPr>
      <t xml:space="preserve"> y escucho que dice, la subnormal esta que no se entera de nada. Me desmuteo y le digo, pues caballero, lo que va a hacer es buscar a otra subnormal que se entere de algo, ¿eh?</t>
    </r>
  </si>
  <si>
    <r>
      <t xml:space="preserve">Yo lo cuento así y digo, </t>
    </r>
    <r>
      <rPr>
        <b/>
        <sz val="11"/>
        <color theme="1"/>
        <rFont val="Calibri"/>
        <family val="2"/>
      </rPr>
      <t>jajaja</t>
    </r>
    <r>
      <rPr>
        <sz val="11"/>
        <color theme="1"/>
        <rFont val="Calibri"/>
        <family val="2"/>
      </rPr>
      <t>, qué gracioso, porque en realidad no le estás haciendo nada malo, porque le estás cambiando la luz. Quiero decir que tampoco es que le estés poniendo la hipoteca de su vida.</t>
    </r>
  </si>
  <si>
    <r>
      <t xml:space="preserve">Raquel se quedó para nuestros corazones en este canal. Y </t>
    </r>
    <r>
      <rPr>
        <b/>
        <sz val="11"/>
        <color theme="1"/>
        <rFont val="Calibri"/>
        <family val="2"/>
      </rPr>
      <t>cada 2 por 3</t>
    </r>
    <r>
      <rPr>
        <sz val="11"/>
        <color theme="1"/>
        <rFont val="Calibri"/>
        <family val="2"/>
      </rPr>
      <t xml:space="preserve"> gente que ha vuelto a ver el vídeo, o gente nueva que ha descubierto los vídeos, dice, ¿cuándo va a volver esta chiquilla? Ha vuelto.</t>
    </r>
  </si>
  <si>
    <r>
      <t xml:space="preserve">Es que no he dejado de viajar. Ahora viajas a Burgos. Aparte de viajar a Burgos Es bonito que flipas, </t>
    </r>
    <r>
      <rPr>
        <b/>
        <sz val="11"/>
        <color theme="1"/>
        <rFont val="Calibri"/>
        <family val="2"/>
      </rPr>
      <t>¿eh?</t>
    </r>
    <r>
      <rPr>
        <sz val="11"/>
        <color theme="1"/>
        <rFont val="Calibri"/>
        <family val="2"/>
      </rPr>
      <t xml:space="preserve"> La zona donde curro yo es bien de bonita</t>
    </r>
  </si>
  <si>
    <r>
      <t xml:space="preserve">Fuimos a casa de un señor, de una pareja británica, muy monos, en la zona más rural de los rurales de los rurales de Burgos. Llevaban como </t>
    </r>
    <r>
      <rPr>
        <b/>
        <sz val="11"/>
        <color theme="1"/>
        <rFont val="Calibri"/>
        <family val="2"/>
      </rPr>
      <t>pollas de años</t>
    </r>
    <r>
      <rPr>
        <sz val="11"/>
        <color theme="1"/>
        <rFont val="Calibri"/>
        <family val="2"/>
      </rPr>
      <t xml:space="preserve"> ahí.</t>
    </r>
  </si>
  <si>
    <r>
      <t xml:space="preserve">Ves de todo, vas a la casa de </t>
    </r>
    <r>
      <rPr>
        <b/>
        <sz val="11"/>
        <color theme="1"/>
        <rFont val="Calibri"/>
        <family val="2"/>
      </rPr>
      <t>fulanito</t>
    </r>
    <r>
      <rPr>
        <sz val="11"/>
        <color theme="1"/>
        <rFont val="Calibri"/>
        <family val="2"/>
      </rPr>
      <t>, ves las condiciones en las que vive fulanito, si está solo y tiene los hijos en no sé dónde, no se vale por sí mismo y la casa está no sé cómo y lo ves.</t>
    </r>
  </si>
  <si>
    <r>
      <t>Invertir tiempo en crear esa conexión con tu entorno también es muy importante. No lo visibilizamos lo suficiente en plan de ¡</t>
    </r>
    <r>
      <rPr>
        <b/>
        <sz val="11"/>
        <color theme="1"/>
        <rFont val="Calibri"/>
        <family val="2"/>
      </rPr>
      <t>guau,</t>
    </r>
    <r>
      <rPr>
        <sz val="11"/>
        <color theme="1"/>
        <rFont val="Calibri"/>
        <family val="2"/>
      </rPr>
      <t xml:space="preserve"> qué guay, se va por el mundo, es brutal, es una hostia!</t>
    </r>
  </si>
  <si>
    <r>
      <t>Yo tenía ya mi delusion desde los 12 años, siendo básicamente una otaku</t>
    </r>
    <r>
      <rPr>
        <b/>
        <sz val="11"/>
        <color theme="1"/>
        <rFont val="Calibri"/>
        <family val="2"/>
      </rPr>
      <t xml:space="preserve"> cerda de mierda, </t>
    </r>
    <r>
      <rPr>
        <sz val="11"/>
        <color theme="1"/>
        <rFont val="Calibri"/>
        <family val="2"/>
      </rPr>
      <t>pero una rata mala. Pero claro, de los 12 años a los 22 dices, ¿cómo coño me voy yo a Japón?</t>
    </r>
  </si>
  <si>
    <r>
      <t xml:space="preserve">Japón, </t>
    </r>
    <r>
      <rPr>
        <b/>
        <sz val="11"/>
        <color theme="1"/>
        <rFont val="Calibri"/>
        <family val="2"/>
      </rPr>
      <t xml:space="preserve">yo me lo meto por el culo. </t>
    </r>
    <r>
      <rPr>
        <sz val="11"/>
        <color theme="1"/>
        <rFont val="Calibri"/>
        <family val="2"/>
      </rPr>
      <t>O sea, Japón es la mejor mierda que yo he pasado en mi vida. Pero tanto lo bueno como lo malo, ¿eh?</t>
    </r>
  </si>
  <si>
    <r>
      <t xml:space="preserve">Están como tan completamente comidos con lo que es el dinero y todo eso que se piensan que nos preguntan cuánto cobramos. Me lo pone como en un papel, </t>
    </r>
    <r>
      <rPr>
        <b/>
        <sz val="11"/>
        <color theme="1"/>
        <rFont val="Calibri"/>
        <family val="2"/>
      </rPr>
      <t>rollo</t>
    </r>
    <r>
      <rPr>
        <sz val="11"/>
        <color theme="1"/>
        <rFont val="Calibri"/>
        <family val="2"/>
      </rPr>
      <t>, me pone tu cobra, no sé cuánto has cobrado.</t>
    </r>
  </si>
  <si>
    <r>
      <t>Pues entonces tú tienes que hacerle la</t>
    </r>
    <r>
      <rPr>
        <b/>
        <sz val="11"/>
        <color theme="1"/>
        <rFont val="Calibri"/>
        <family val="2"/>
      </rPr>
      <t xml:space="preserve"> triquiñuela mental </t>
    </r>
    <r>
      <rPr>
        <sz val="11"/>
        <color theme="1"/>
        <rFont val="Calibri"/>
        <family val="2"/>
      </rPr>
      <t>a la que le gusta inventar de que en verdad ha sido un accidente para que no llegue y le diga a la madre que se han pegado porque si no la otra chiquilla va a tener un montón de consecuencias.</t>
    </r>
  </si>
  <si>
    <r>
      <t>Es muy mágico todo. También muy</t>
    </r>
    <r>
      <rPr>
        <b/>
        <sz val="11"/>
        <color theme="1"/>
        <rFont val="Calibri"/>
        <family val="2"/>
      </rPr>
      <t xml:space="preserve"> top secret</t>
    </r>
    <r>
      <rPr>
        <sz val="11"/>
        <color theme="1"/>
        <rFont val="Calibri"/>
        <family val="2"/>
      </rPr>
      <t>. Lo lleva muy a rajatabla el tema de los trabajadores no subir cosas en redes sociales.</t>
    </r>
  </si>
  <si>
    <r>
      <t>Son tan orgullosos del francés. Francia lo mejor, los franceses lo mejor, la gastronomía francesa lo mejor y</t>
    </r>
    <r>
      <rPr>
        <b/>
        <sz val="11"/>
        <color theme="1"/>
        <rFont val="Calibri"/>
        <family val="2"/>
      </rPr>
      <t xml:space="preserve"> yo me cago</t>
    </r>
    <r>
      <rPr>
        <sz val="11"/>
        <color theme="1"/>
        <rFont val="Calibri"/>
        <family val="2"/>
      </rPr>
      <t xml:space="preserve"> en la gastronomía francesa.</t>
    </r>
  </si>
  <si>
    <r>
      <t xml:space="preserve">Mira, yo me llamo Iván, para todo aquel que no me conozca. Y como ya he explicado perfectamente, yo he trabajado </t>
    </r>
    <r>
      <rPr>
        <b/>
        <sz val="11"/>
        <color theme="1"/>
        <rFont val="Calibri"/>
        <family val="2"/>
      </rPr>
      <t>hablando mal y pronto,</t>
    </r>
    <r>
      <rPr>
        <sz val="11"/>
        <color theme="1"/>
        <rFont val="Calibri"/>
        <family val="2"/>
      </rPr>
      <t xml:space="preserve"> dando el coñazo a la gente para intentar que acepten a algún compañero ir a la vivienda.</t>
    </r>
  </si>
  <si>
    <r>
      <t xml:space="preserve">Pero </t>
    </r>
    <r>
      <rPr>
        <b/>
        <sz val="11"/>
        <color theme="1"/>
        <rFont val="Calibri"/>
        <family val="2"/>
      </rPr>
      <t>tío</t>
    </r>
    <r>
      <rPr>
        <sz val="11"/>
        <color theme="1"/>
        <rFont val="Calibri"/>
        <family val="2"/>
      </rPr>
      <t xml:space="preserve">, Tuvieron que llamar a mi madre. Es que encima, por un día que se pilla de vacaciones mi madre, tío, le tengo que dar por culo, </t>
    </r>
    <r>
      <rPr>
        <b/>
        <sz val="11"/>
        <color theme="1"/>
        <rFont val="Calibri"/>
        <family val="2"/>
      </rPr>
      <t>tío</t>
    </r>
    <r>
      <rPr>
        <sz val="11"/>
        <color theme="1"/>
        <rFont val="Calibri"/>
        <family val="2"/>
      </rPr>
      <t>. Me quitaron hasta la puta riñonera de la Cruz Roja, tío.</t>
    </r>
  </si>
  <si>
    <r>
      <t>La Cruz Roja dijo que iba a denunciar a la policía en mi nombre, que no sé qué. Luego la policía pidió perdón. Una movida más rara, tío. J</t>
    </r>
    <r>
      <rPr>
        <b/>
        <sz val="11"/>
        <color theme="1"/>
        <rFont val="Calibri"/>
        <family val="2"/>
      </rPr>
      <t>ódeme más esta vida gitana que tengo</t>
    </r>
    <r>
      <rPr>
        <sz val="11"/>
        <color theme="1"/>
        <rFont val="Calibri"/>
        <family val="2"/>
      </rPr>
      <t>, vamos.</t>
    </r>
  </si>
  <si>
    <r>
      <t xml:space="preserve">Ese día me hice récord de media España de Cruz Roja, creo que fue, tío. 218 cupones en un día. O sea parecía eso, tío, lleno de coches de que digo, hermano, tío, aquí cada cual caga más dinero. Y yo, pues depende del sitio, tengo un </t>
    </r>
    <r>
      <rPr>
        <b/>
        <sz val="11"/>
        <color theme="1"/>
        <rFont val="Calibri"/>
        <family val="2"/>
      </rPr>
      <t>speech</t>
    </r>
    <r>
      <rPr>
        <sz val="11"/>
        <color theme="1"/>
        <rFont val="Calibri"/>
        <family val="2"/>
      </rPr>
      <t>.</t>
    </r>
  </si>
  <si>
    <r>
      <t>Me abriste el MD como diciendo, me dedico a esto, pero que tampoco es</t>
    </r>
    <r>
      <rPr>
        <b/>
        <sz val="11"/>
        <color theme="1"/>
        <rFont val="Calibri"/>
        <family val="2"/>
      </rPr>
      <t xml:space="preserve"> santo de mi devoción</t>
    </r>
  </si>
  <si>
    <r>
      <t xml:space="preserve">Hay de todo. Hay propietarios que les da igual, van a sacar la mayor rentabilidad posible. Pero también tengo propietarios que se cuidan mucho de a quién meten, hablan con ellos antes de aceptar o tienen unos criterios bastante estrictos. Tengo uno, por ejemplo, que solo acepta familias con buenas </t>
    </r>
    <r>
      <rPr>
        <b/>
        <sz val="11"/>
        <color theme="1"/>
        <rFont val="Calibri"/>
        <family val="2"/>
      </rPr>
      <t>reviews</t>
    </r>
    <r>
      <rPr>
        <sz val="11"/>
        <color theme="1"/>
        <rFont val="Calibri"/>
        <family val="2"/>
      </rPr>
      <t>.</t>
    </r>
  </si>
  <si>
    <r>
      <t xml:space="preserve">O también está el típico que te dice no, no, yo no quiero </t>
    </r>
    <r>
      <rPr>
        <b/>
        <sz val="11"/>
        <color theme="1"/>
        <rFont val="Calibri"/>
        <family val="2"/>
      </rPr>
      <t>tourist traps,</t>
    </r>
    <r>
      <rPr>
        <sz val="11"/>
        <color theme="1"/>
        <rFont val="Calibri"/>
        <family val="2"/>
      </rPr>
      <t xml:space="preserve"> quiero una experiencia auténtica de aquí. Y tú les ves y dices no sabes lo que estás pidiendo.</t>
    </r>
  </si>
  <si>
    <r>
      <t xml:space="preserve">Es un </t>
    </r>
    <r>
      <rPr>
        <b/>
        <sz val="11"/>
        <color theme="1"/>
        <rFont val="Calibri"/>
        <family val="2"/>
      </rPr>
      <t>puterío</t>
    </r>
    <r>
      <rPr>
        <sz val="11"/>
        <color theme="1"/>
        <rFont val="Calibri"/>
        <family val="2"/>
      </rPr>
      <t>. En resumen, tú no puedes liarte con ningún pasajero, no puedes tener ningún tipo de relación. Y yo pensaba que eso estaba bastante prohibido.</t>
    </r>
  </si>
  <si>
    <r>
      <t xml:space="preserve">La gente tiene mucho odio contra los franceses y lo entiendo, pero tengo que decir que yo en mi caso desarrollé un odio con la gente italiana. Es como un español, pero en </t>
    </r>
    <r>
      <rPr>
        <b/>
        <sz val="11"/>
        <color theme="1"/>
        <rFont val="Calibri"/>
        <family val="2"/>
      </rPr>
      <t>nivel de cuñado</t>
    </r>
    <r>
      <rPr>
        <sz val="11"/>
        <color theme="1"/>
        <rFont val="Calibri"/>
        <family val="2"/>
      </rPr>
      <t xml:space="preserve"> como al máximo.</t>
    </r>
  </si>
  <si>
    <r>
      <t xml:space="preserve">Vamos a abrir ese melón. En el anterior vídeo hablamos de sitios menos pudientes, ahora estamos hablando de sitios pudientes. Hablamos de colegios privados ultracatólicos en el centro de Madrid, en los cuales yo me he cruzado con la mayor </t>
    </r>
    <r>
      <rPr>
        <b/>
        <sz val="11"/>
        <color theme="1"/>
        <rFont val="Calibri"/>
        <family val="2"/>
      </rPr>
      <t>chusma</t>
    </r>
    <r>
      <rPr>
        <sz val="11"/>
        <color theme="1"/>
        <rFont val="Calibri"/>
        <family val="2"/>
      </rPr>
      <t xml:space="preserve"> que te puedes imaginar.</t>
    </r>
  </si>
  <si>
    <r>
      <t>Una vez, creo que fue el mes de julio más o menos, había un cliente francés. Típico cliente francés de unos 50, 60 años, ¿vale? Que se le abrió el coche y tuvo que contactar con el seguro de Francia. A esto el señor no hablaba ni pipa de español,</t>
    </r>
    <r>
      <rPr>
        <b/>
        <sz val="11"/>
        <color theme="1"/>
        <rFont val="Calibri"/>
        <family val="2"/>
      </rPr>
      <t xml:space="preserve"> ¿sabes?</t>
    </r>
  </si>
  <si>
    <r>
      <t xml:space="preserve">El del taller me suelta, tal cual. Dile a ese </t>
    </r>
    <r>
      <rPr>
        <b/>
        <sz val="11"/>
        <color theme="1"/>
        <rFont val="Calibri"/>
        <family val="2"/>
      </rPr>
      <t>gabacho</t>
    </r>
    <r>
      <rPr>
        <sz val="11"/>
        <color theme="1"/>
        <rFont val="Calibri"/>
        <family val="2"/>
      </rPr>
      <t xml:space="preserve"> de mierda que no se preocupe, que su coche va a ser listo el viernes a la tarde.</t>
    </r>
  </si>
  <si>
    <r>
      <t xml:space="preserve">Siempre que he grabado algún vídeo en Inglaterra y he pillado a un irlandés o una irlandesa, el comentario estrella que siempre me han soltado en todos los vídeos que he grabado allí </t>
    </r>
    <r>
      <rPr>
        <b/>
        <sz val="11"/>
        <color theme="1"/>
        <rFont val="Calibri"/>
        <family val="2"/>
      </rPr>
      <t xml:space="preserve">ha sido cagarse los muertos </t>
    </r>
    <r>
      <rPr>
        <sz val="11"/>
        <color theme="1"/>
        <rFont val="Calibri"/>
        <family val="2"/>
      </rPr>
      <t>de Inglaterra de arriba abajo.</t>
    </r>
  </si>
  <si>
    <r>
      <t>El rigor histórico es un poco... A mí me gusta mucho, ¿vale? Me gusta muchísimo la historia de la moda. Y soy bastante de, ¿por qué eso no lleva lo correcto? ¿Han hecho algo bueno de no llevar cuernos? Por lo menos han hecho eso bien. Las cosas que llevan y cosas así, obviamente, el rigor histórico s</t>
    </r>
    <r>
      <rPr>
        <b/>
        <sz val="11"/>
        <color theme="1"/>
        <rFont val="Calibri"/>
        <family val="2"/>
      </rPr>
      <t>e lo pasan un poco por el arco del triunfo.</t>
    </r>
  </si>
  <si>
    <r>
      <t xml:space="preserve">Bueno, antes de pasar la anécdota, yo te tengo que preguntar, porque eso es algo que tiene muchísima fama de la India, de su gastronomía, y sobre todo, de la experiencia de muchos amigos míos que han ido allí, es la primera </t>
    </r>
    <r>
      <rPr>
        <b/>
        <sz val="11"/>
        <color theme="1"/>
        <rFont val="Calibri"/>
        <family val="2"/>
      </rPr>
      <t>cagalera</t>
    </r>
    <r>
      <rPr>
        <sz val="11"/>
        <color theme="1"/>
        <rFont val="Calibri"/>
        <family val="2"/>
      </rPr>
      <t>.</t>
    </r>
  </si>
  <si>
    <r>
      <t xml:space="preserve">Estos monos, que van en manadas, 30 o 40 monos, a lo mejor, saltaban a la zona de la embajada. Tú los ves de lejos y dices, joder, qué majos, tal, o sea, veías a los monos a las madres con los monos enganchados aquí, veías a los </t>
    </r>
    <r>
      <rPr>
        <b/>
        <sz val="11"/>
        <color theme="1"/>
        <rFont val="Calibri"/>
        <family val="2"/>
      </rPr>
      <t>monos grandes que parecían a veces albóndigas,</t>
    </r>
    <r>
      <rPr>
        <sz val="11"/>
        <color theme="1"/>
        <rFont val="Calibri"/>
        <family val="2"/>
      </rPr>
      <t xml:space="preserve"> ¿sabes? En plan, de lo gordos que estaban.</t>
    </r>
  </si>
  <si>
    <r>
      <t xml:space="preserve">Te tratan diferente, a bien y a mal. Te consideran que eres clase alta, te consideran que tienes dinero, entonces te ven </t>
    </r>
    <r>
      <rPr>
        <b/>
        <sz val="11"/>
        <color theme="1"/>
        <rFont val="Calibri"/>
        <family val="2"/>
      </rPr>
      <t>como una cartera con patas</t>
    </r>
    <r>
      <rPr>
        <sz val="11"/>
        <color theme="1"/>
        <rFont val="Calibri"/>
        <family val="2"/>
      </rPr>
      <t xml:space="preserve"> en ocasiones.</t>
    </r>
  </si>
  <si>
    <r>
      <t xml:space="preserve">Los derechos de la mujer a veces </t>
    </r>
    <r>
      <rPr>
        <b/>
        <sz val="11"/>
        <color theme="1"/>
        <rFont val="Calibri"/>
        <family val="2"/>
      </rPr>
      <t>dejan bastante que desear.</t>
    </r>
    <r>
      <rPr>
        <sz val="11"/>
        <color theme="1"/>
        <rFont val="Calibri"/>
        <family val="2"/>
      </rPr>
      <t xml:space="preserve"> Sigue estando al orden del día que la mujer se quede en casa, tareas del hogar, o sea, lo típico rancio que es eso.</t>
    </r>
  </si>
  <si>
    <r>
      <t xml:space="preserve">Hay mucha A ver, no te rías, porque nosotros tampoco los </t>
    </r>
    <r>
      <rPr>
        <b/>
        <sz val="11"/>
        <color theme="1"/>
        <rFont val="Calibri"/>
        <family val="2"/>
      </rPr>
      <t xml:space="preserve">españoles somos pa' tirar cohetes, </t>
    </r>
    <r>
      <rPr>
        <sz val="11"/>
        <color theme="1"/>
        <rFont val="Calibri"/>
        <family val="2"/>
      </rPr>
      <t>¿vale?</t>
    </r>
  </si>
  <si>
    <t xml:space="preserve">
Biology, Physics, and Chemistry teacher, from the equivalent of second year of ESO to second year of high school. The best of each school. So, basically, a bit of everything.
</t>
  </si>
  <si>
    <t>Just picture it: an old man, my colleague, arguing with him, and another man right behind him, verbally attacking my colleague because he said the phone wasn't working properly, and Santa Lucía had told him that the repair had to be done by them.</t>
  </si>
  <si>
    <t>Cambridge</t>
  </si>
  <si>
    <t>Cambridge / WordReference</t>
  </si>
  <si>
    <t>" When he asked me which bank it was, he said: "Why do you want so much information? He started shouting there in the middle of the shop, hitting people with his fists.</t>
  </si>
  <si>
    <t>The kid appears through the door saying: Who gets the hot potato now? Because imagine having to put up with this guy..."</t>
  </si>
  <si>
    <t>WordReference</t>
  </si>
  <si>
    <t>"So, how do you handle situations like that? You have to come up with whatever you can think of because the guy is completely out of his mind, acting like a lunatic, and all you want to do is get out of there as quickly as possible."</t>
  </si>
  <si>
    <r>
      <t xml:space="preserve">¿Ahí como tienes que salir del paso? Te tienes que inventar todo lo que tú puedas porque el tío </t>
    </r>
    <r>
      <rPr>
        <b/>
        <sz val="11"/>
        <color theme="1"/>
        <rFont val="Calibri"/>
        <family val="2"/>
      </rPr>
      <t xml:space="preserve">está como una puta cabra </t>
    </r>
    <r>
      <rPr>
        <sz val="11"/>
        <color theme="1"/>
        <rFont val="Calibri"/>
        <family val="2"/>
      </rPr>
      <t>pegando porrazo</t>
    </r>
    <r>
      <rPr>
        <b/>
        <sz val="11"/>
        <color theme="1"/>
        <rFont val="Calibri"/>
        <family val="2"/>
      </rPr>
      <t>s</t>
    </r>
    <r>
      <rPr>
        <sz val="11"/>
        <color theme="1"/>
        <rFont val="Calibri"/>
        <family val="2"/>
      </rPr>
      <t xml:space="preserve"> y tú lo que quieres es lárgate lo más pronto posible.</t>
    </r>
  </si>
  <si>
    <t>Wordreference</t>
  </si>
  <si>
    <t>creative shift or modification - situattional?</t>
  </si>
  <si>
    <r>
      <t xml:space="preserve">Hostia, a mí, por ejemplo, me duele. A mí ese tipo de cosas siempre me ha marcado mucho de que quiere el niño por cojones eso y el padre se lo tiene que comprar porque si no el niño coge el rebote </t>
    </r>
    <r>
      <rPr>
        <b/>
        <sz val="11"/>
        <color theme="1"/>
        <rFont val="Calibri"/>
        <family val="2"/>
      </rPr>
      <t>y la lía parda.</t>
    </r>
    <r>
      <rPr>
        <sz val="11"/>
        <color theme="1"/>
        <rFont val="Calibri"/>
        <family val="2"/>
      </rPr>
      <t xml:space="preserve"> Si fuera mi padre, ya me hubiera cruzado la boca con un galletón.</t>
    </r>
  </si>
  <si>
    <t>Collins / WordReference</t>
  </si>
  <si>
    <t>Collins</t>
  </si>
  <si>
    <r>
      <t xml:space="preserve">Llegó un momento dado que me dijo: Si al final la sangre va a llegar al río. Ya me </t>
    </r>
    <r>
      <rPr>
        <b/>
        <sz val="11"/>
        <color theme="1"/>
        <rFont val="Calibri"/>
        <family val="2"/>
      </rPr>
      <t>calenté</t>
    </r>
    <r>
      <rPr>
        <sz val="11"/>
        <color theme="1"/>
        <rFont val="Calibri"/>
        <family val="2"/>
      </rPr>
      <t>, le pegué un porrazo a la mesa y le digo: Mira, no tengo ganas de aguantarte ni a ti ni a las tonterías que tú tienes.</t>
    </r>
  </si>
  <si>
    <t>ReversoContext</t>
  </si>
  <si>
    <t>So, if someone steals, you know they've stolen, and then you see them the week after and you say: \"Watch out for this guy, heee don't let him do it here again</t>
  </si>
  <si>
    <t>Cambridge / ReversoContext</t>
  </si>
  <si>
    <t>WordReference / Cambridg</t>
  </si>
  <si>
    <t>WordReference / Cambridge</t>
  </si>
  <si>
    <r>
      <rPr>
        <b/>
        <sz val="11"/>
        <color theme="1"/>
        <rFont val="Calibri"/>
        <family val="2"/>
      </rPr>
      <t>Es que,</t>
    </r>
    <r>
      <rPr>
        <sz val="11"/>
        <color theme="1"/>
        <rFont val="Calibri"/>
        <family val="2"/>
      </rPr>
      <t xml:space="preserve"> Dios mío, tenía un par de hermanos que les daba clase y claro, vinieron sin saber inglés como pa manejarse. Como yo era un profesor muy simpático, muy servicial, el subdirector me dijo: «Oye, ponte los exámenes con esto, tradúcele y tal» Yo le largaba la respuesta, qué coño.</t>
    </r>
  </si>
  <si>
    <t>Mantains informal register?</t>
  </si>
  <si>
    <t>Intensity of informality</t>
  </si>
  <si>
    <t>NO</t>
  </si>
  <si>
    <t>YES</t>
  </si>
  <si>
    <t>LESS</t>
  </si>
  <si>
    <t xml:space="preserve">get in trouble / you are going to get it </t>
  </si>
  <si>
    <t>riffraff / riff-raff</t>
  </si>
  <si>
    <t>brat (mimadillo / mocoso)</t>
  </si>
  <si>
    <t>to swear/ to curse at / muck around</t>
  </si>
  <si>
    <t>Referencia</t>
  </si>
  <si>
    <t>Cambrdige / WordDictionary</t>
  </si>
  <si>
    <t>That’s a lot / that’s really something (no informal) / A tough one</t>
  </si>
  <si>
    <t>Hit someone / give sb a blow</t>
  </si>
  <si>
    <t>To be nuts / To be completely mad / To be as mas as a loon / to be off your head</t>
  </si>
  <si>
    <t xml:space="preserve">Mess </t>
  </si>
  <si>
    <t>Brother</t>
  </si>
  <si>
    <t>To be a total mess / In a terrible mess</t>
  </si>
  <si>
    <t>WordReference / Collins</t>
  </si>
  <si>
    <t xml:space="preserve">You are really going to get it / You're in for it </t>
  </si>
  <si>
    <t>Dimwit / Dim- witted / Dumbass</t>
  </si>
  <si>
    <t>to do one's own thing (informal)</t>
  </si>
  <si>
    <t xml:space="preserve">Get mad / Get cross / Heat up </t>
  </si>
  <si>
    <t>Supermarket</t>
  </si>
  <si>
    <t xml:space="preserve">The reality is / the truth is that / The fact is that </t>
  </si>
  <si>
    <t>The thruth is yes / The thruth is subj + verbo</t>
  </si>
  <si>
    <t>nonsense / knick-knack</t>
  </si>
  <si>
    <t xml:space="preserve">step on </t>
  </si>
  <si>
    <t>Play a dirty trick on sb / put a fast one on</t>
  </si>
  <si>
    <t>ReersoContexto / Collins</t>
  </si>
  <si>
    <t>to bail / to split / beat it / to bounce</t>
  </si>
  <si>
    <t xml:space="preserve">A man comes one day saying that they have just robbed between boxes; he dragged himself underneath them while stealing something from inside. </t>
  </si>
  <si>
    <t xml:space="preserve">Like absolute shit / Like pure shit </t>
  </si>
  <si>
    <t>You don't give a shit / You don't give a fuck / You don't give a damn</t>
  </si>
  <si>
    <t>Reasearch Gate</t>
  </si>
  <si>
    <t>Asshole / jerk / moron</t>
  </si>
  <si>
    <t>Damn! / Bloody Hell / Christ! /Fuck</t>
  </si>
  <si>
    <t>Folks</t>
  </si>
  <si>
    <t>Girl / Kid</t>
  </si>
  <si>
    <t>The best of all worlds</t>
  </si>
  <si>
    <t>Tureng</t>
  </si>
  <si>
    <t>It's just that / The thing is</t>
  </si>
  <si>
    <t>To explain something in very simple terms</t>
  </si>
  <si>
    <t>The problems are given point-by-point. If you do one thing, it gets one dot; if you do something else, it gets another dot. There they give everything so easily."</t>
  </si>
  <si>
    <t>Angry / Furious / Upset / Annoyed / Bothered</t>
  </si>
  <si>
    <t>well-mannered / polite / well-behaved / nicely behaved</t>
  </si>
  <si>
    <t>Fucking</t>
  </si>
  <si>
    <t xml:space="preserve">To stick up for sb / sth - To take up the cudgels </t>
  </si>
  <si>
    <t xml:space="preserve">Tell sb off / give sb a good dressing down / give sb a piece of your mind </t>
  </si>
  <si>
    <t>girl / young lady</t>
  </si>
  <si>
    <t>We used to do like a night of the PTA at the end of each term. They went a bit like on a conveyor belt. We stayed in our chair and the parents passed by turns. Well, it was a girl who was a pure of letters.</t>
  </si>
  <si>
    <t>slap sb's face / slap sb on the face</t>
  </si>
  <si>
    <t>to be out of one's head / drunk as skunk / drunk as a lord</t>
  </si>
  <si>
    <t>Collins / WordReference / Cambridge</t>
  </si>
  <si>
    <r>
      <t xml:space="preserve">No, al final me defendieron mi subdirector y mi director. Dos tíos </t>
    </r>
    <r>
      <rPr>
        <b/>
        <sz val="11"/>
        <color theme="1"/>
        <rFont val="Calibri"/>
        <family val="2"/>
      </rPr>
      <t>de puta madre.</t>
    </r>
  </si>
  <si>
    <t>Fucking great / Fucking awesome</t>
  </si>
  <si>
    <t xml:space="preserve">No, in the end my deputy director and my director defended me. Two awesome guys. </t>
  </si>
  <si>
    <t>Seriously, man / For real, man</t>
  </si>
  <si>
    <t>Joker / Cheeky</t>
  </si>
  <si>
    <t xml:space="preserve">
Most comedians come from Osaka so they know each other as being funny.
Most comedians come from Osaka so they know each other as being funny.</t>
  </si>
  <si>
    <t>To be hyped / Over the moon</t>
  </si>
  <si>
    <t>Laughing my ass off / Piss oneself laughing / Laug my ass off</t>
  </si>
  <si>
    <t>To glitch out  / Crash</t>
  </si>
  <si>
    <r>
      <t>Y te da que pensar: Si se supone que esta separación la hacen porque rinden más o rinden menos, ¿por qué cojones tengo yo niños en clase que son unas</t>
    </r>
    <r>
      <rPr>
        <b/>
        <sz val="11"/>
        <color theme="1"/>
        <rFont val="Calibri"/>
        <family val="2"/>
      </rPr>
      <t xml:space="preserve"> bestias </t>
    </r>
    <r>
      <rPr>
        <sz val="11"/>
        <color theme="1"/>
        <rFont val="Calibri"/>
        <family val="2"/>
      </rPr>
      <t>estudiando? Cuando académicamente eres brillante, porque eres un puto coco.</t>
    </r>
  </si>
  <si>
    <t>beast</t>
  </si>
  <si>
    <t>Urban Dictionary</t>
  </si>
  <si>
    <t>Fucking hell! / Holy crap! / For Fucking's sake / Shit! / Damn it</t>
  </si>
  <si>
    <t>WordReference / UrbanDictionary</t>
  </si>
  <si>
    <t>The balls / The nerve</t>
  </si>
  <si>
    <t>Merriam Webster / Oxford Learners Dictionary</t>
  </si>
  <si>
    <t>A tease / A pest</t>
  </si>
  <si>
    <t>Cambridge / Oxford Learners Dictionary</t>
  </si>
  <si>
    <t>If they see that something bothers you, then instead of stopping, since they are some kind of assholes, they will do more.</t>
  </si>
  <si>
    <r>
      <rPr>
        <b/>
        <sz val="11"/>
        <color theme="1"/>
        <rFont val="Calibri"/>
        <family val="2"/>
      </rPr>
      <t>Bueno</t>
    </r>
    <r>
      <rPr>
        <sz val="11"/>
        <color theme="1"/>
        <rFont val="Calibri"/>
        <family val="2"/>
      </rPr>
      <t>, nada, si acabé hace poco, hasta una semana antes de acabar hemos estado discutiendo con él por eso. Y él empezó a hacerlo y después empezaron otros también a hacerlo. Y claro,</t>
    </r>
    <r>
      <rPr>
        <b/>
        <sz val="11"/>
        <color theme="1"/>
        <rFont val="Calibri"/>
        <family val="2"/>
      </rPr>
      <t xml:space="preserve"> </t>
    </r>
    <r>
      <rPr>
        <sz val="11"/>
        <color theme="1"/>
        <rFont val="Calibri"/>
        <family val="2"/>
      </rPr>
      <t>es como la gilipollez se contagia.</t>
    </r>
  </si>
  <si>
    <t>Anyway / So / Well</t>
  </si>
  <si>
    <t>Merriam Webster / Cambridge / Oxford Learners Dictionary</t>
  </si>
  <si>
    <t>A slap in the face</t>
  </si>
  <si>
    <t>Cambridge Dictionary</t>
  </si>
  <si>
    <t>As hell / Insane / Crazy</t>
  </si>
  <si>
    <t>Urban Dictionary / Word Reference</t>
  </si>
  <si>
    <t>I laugh because it's like: Well everyone knows about this thing, don’t they?” Like we say, let’s go to Germany, huh? And then you think, \"Damn it.\</t>
  </si>
  <si>
    <t xml:space="preserve">Damn! Damn it ! Bloody hell! </t>
  </si>
  <si>
    <t>In the arsehole of the world / It is in the back of beyond</t>
  </si>
  <si>
    <t>POST APOCALIPTICAL, FIGUTATIVE: SOMENE IS THE LAST CHOICE</t>
  </si>
  <si>
    <t>the lowest quality, the least desirable</t>
  </si>
  <si>
    <t>All that glitters is not gold</t>
  </si>
  <si>
    <t xml:space="preserve">Lack of </t>
  </si>
  <si>
    <t>Bang, Bang / Bam, bam</t>
  </si>
  <si>
    <t>Publi / Ads</t>
  </si>
  <si>
    <r>
      <t>Ya no es solo que seas el más talentoso, que tengas las mejores ideas o que seas el mejor diseñando o el mejor escribiendo. Es que tienes que tener un pulmón financiero de tus padres o huevos a trabajar. Los fines de semana en otra cosa, a buscarte freelance por tu cuenta y</t>
    </r>
    <r>
      <rPr>
        <b/>
        <sz val="11"/>
        <color theme="1"/>
        <rFont val="Calibri"/>
        <family val="2"/>
      </rPr>
      <t xml:space="preserve"> cobrarlos en negro y </t>
    </r>
    <r>
      <rPr>
        <sz val="11"/>
        <color theme="1"/>
        <rFont val="Calibri"/>
        <family val="2"/>
      </rPr>
      <t>a buscarte la vida</t>
    </r>
  </si>
  <si>
    <t>pay under the table</t>
  </si>
  <si>
    <t>cost an arm and a leg / cost sb a fortune</t>
  </si>
  <si>
    <t>Pain in the ass / butt</t>
  </si>
  <si>
    <t>To grope / Make out</t>
  </si>
  <si>
    <t>WordRefence / Collins</t>
  </si>
  <si>
    <t>stubbornly / pigheadedly</t>
  </si>
  <si>
    <t>count your lucky stars / count your blessings / consider yourself lucky</t>
  </si>
  <si>
    <t>So then I went there, looked at the flats - maybe like a basement somewhere with mould, one disgusting room, each one costs a thousand Euros. Managed to make them cry a lot at the hostel. Maybe there will be a place, but you have to share with five Israelis. I give myself credit.</t>
  </si>
  <si>
    <t>Pal / Mate / Buddy</t>
  </si>
  <si>
    <t>WordREference</t>
  </si>
  <si>
    <t>Like crazy / Like mad / Like there was no tomorrow</t>
  </si>
  <si>
    <t xml:space="preserve">My deputy director was a retired military guy with a PhD in Shakespeare and redder than a tomato. </t>
  </si>
  <si>
    <t xml:space="preserve">My subdirector was a retired ex-military gentleman with a doctorate in Shakespeare and more red than red. </t>
  </si>
  <si>
    <t>random</t>
  </si>
  <si>
    <t>heavy</t>
  </si>
  <si>
    <r>
      <t>Claro, yo me acuerdo muchas veces que a lo mejor estaba donde mi joyero, porque yo tenía allí un joyero en Jerusalén que el tío estaba</t>
    </r>
    <r>
      <rPr>
        <b/>
        <sz val="11"/>
        <color theme="1"/>
        <rFont val="Calibri"/>
        <family val="2"/>
      </rPr>
      <t xml:space="preserve"> pinzado</t>
    </r>
    <r>
      <rPr>
        <sz val="11"/>
        <color theme="1"/>
        <rFont val="Calibri"/>
        <family val="2"/>
      </rPr>
      <t xml:space="preserve"> de cojones.</t>
    </r>
  </si>
  <si>
    <t>think yourself a big shot / be too big for your briches</t>
  </si>
  <si>
    <t>military service</t>
  </si>
  <si>
    <t>Why not?</t>
  </si>
  <si>
    <t>Throw Punches .&gt; is physically assaulting another human being</t>
  </si>
  <si>
    <t>Physical assault on humans</t>
  </si>
  <si>
    <t>"His face was a bloody wreck."</t>
  </si>
  <si>
    <t>Explains the injury while keeping the metaphor.</t>
  </si>
  <si>
    <t>Meaning is explained, image is lost.</t>
  </si>
  <si>
    <t>Matches the intensity and informal register.</t>
  </si>
  <si>
    <t>Make a complete mess</t>
  </si>
  <si>
    <t>Swaps a Spanish personality trait for a British cultural archetype.</t>
  </si>
  <si>
    <t>Swaps a specific Spanish insult for a culturally rich English one.</t>
  </si>
  <si>
    <t>Swaps the thief’s "stubbornness" for a general "sneaky" insult.</t>
  </si>
  <si>
    <t>Replaces a Spanish personality trait with an American cultural label for a petty criminal.</t>
  </si>
  <si>
    <t>Swaps "thick-headed" for a belittling label for a petty thief.</t>
  </si>
  <si>
    <t>Captures the meaning but loses the "grit."</t>
  </si>
  <si>
    <t>Replaces the Spanish "ball" idiom with a "path" idiom.</t>
  </si>
  <si>
    <t>But what really amuses me, between quotes, are the families. That's the stuff.</t>
  </si>
  <si>
    <t>Uses a verbal filler to create the same "shrug" or "ironic" effect.</t>
  </si>
  <si>
    <t>cop</t>
  </si>
  <si>
    <t>Chav</t>
  </si>
  <si>
    <r>
      <t>translator is interpreting the intensity of the Spanish phrase (</t>
    </r>
    <r>
      <rPr>
        <i/>
        <sz val="11"/>
        <color theme="1"/>
        <rFont val="Calibri"/>
        <family val="2"/>
        <charset val="1"/>
      </rPr>
      <t>puta pasada</t>
    </r>
    <r>
      <rPr>
        <sz val="11"/>
        <color theme="1"/>
        <rFont val="Calibri"/>
        <family val="2"/>
        <charset val="1"/>
      </rPr>
      <t xml:space="preserve">) as a measure of </t>
    </r>
    <r>
      <rPr>
        <b/>
        <sz val="11"/>
        <color theme="1"/>
        <rFont val="Calibri"/>
        <family val="2"/>
        <charset val="1"/>
      </rPr>
      <t>workload</t>
    </r>
    <r>
      <rPr>
        <sz val="11"/>
        <color theme="1"/>
        <rFont val="Calibri"/>
        <family val="2"/>
        <charset val="1"/>
      </rPr>
      <t xml:space="preserve"> rather than </t>
    </r>
    <r>
      <rPr>
        <b/>
        <sz val="11"/>
        <color theme="1"/>
        <rFont val="Calibri"/>
        <family val="2"/>
        <charset val="1"/>
      </rPr>
      <t>quality</t>
    </r>
  </si>
  <si>
    <r>
      <t>Una persona que no había salido a Albacete se ve en un avión 12 horas lleno de vietnamitas. Que yo, claro, pues vietnamitas, pues había visto muy poca gente vietnamita en mi vida, probablemente. Escuchándolos hablar</t>
    </r>
    <r>
      <rPr>
        <b/>
        <sz val="11"/>
        <color theme="1"/>
        <rFont val="Calibri"/>
        <family val="2"/>
      </rPr>
      <t xml:space="preserve"> flipando en colores</t>
    </r>
  </si>
  <si>
    <t>Turns "tripping out" into "staring in awe</t>
  </si>
  <si>
    <r>
      <t>Creative:</t>
    </r>
    <r>
      <rPr>
        <sz val="11"/>
        <color theme="1"/>
        <rFont val="Calibri"/>
        <family val="2"/>
        <charset val="1"/>
      </rPr>
      <t xml:space="preserve"> Explains the slang while keeping the original's visual flair.</t>
    </r>
  </si>
  <si>
    <t>Swaps a colorful Spanish idiom for a standard English one.</t>
  </si>
  <si>
    <t xml:space="preserve">As / Like </t>
  </si>
  <si>
    <t>Changes the image to a different informal filler that fits the situation.</t>
  </si>
  <si>
    <r>
      <t xml:space="preserve">The Spanish </t>
    </r>
    <r>
      <rPr>
        <b/>
        <sz val="11"/>
        <color theme="1"/>
        <rFont val="Calibri"/>
        <family val="2"/>
        <charset val="1"/>
      </rPr>
      <t>"sí"</t>
    </r>
    <r>
      <rPr>
        <sz val="11"/>
        <color theme="1"/>
        <rFont val="Calibri"/>
        <family val="2"/>
        <charset val="1"/>
      </rPr>
      <t xml:space="preserve"> is an "empty" affirmative. In English, just saying "Honestly, yeah" can feel slightly incomplete in this specific sentence, so you added </t>
    </r>
    <r>
      <rPr>
        <b/>
        <sz val="11"/>
        <color theme="1"/>
        <rFont val="Calibri"/>
        <family val="2"/>
        <charset val="1"/>
      </rPr>
      <t>"it is"</t>
    </r>
    <r>
      <rPr>
        <sz val="11"/>
        <color theme="1"/>
        <rFont val="Calibri"/>
        <family val="2"/>
        <charset val="1"/>
      </rPr>
      <t>.</t>
    </r>
  </si>
  <si>
    <t>Swaps "Truth" for "Trust" to fit the informal vibe.</t>
  </si>
  <si>
    <r>
      <t xml:space="preserve">By using </t>
    </r>
    <r>
      <rPr>
        <b/>
        <sz val="11"/>
        <color theme="1"/>
        <rFont val="Calibri"/>
        <family val="2"/>
        <charset val="1"/>
      </rPr>
      <t>"to be honest"</t>
    </r>
    <r>
      <rPr>
        <sz val="11"/>
        <color theme="1"/>
        <rFont val="Calibri"/>
        <family val="2"/>
        <charset val="1"/>
      </rPr>
      <t xml:space="preserve"> as a sentence tag in English, you have replaced that "Yes" with a qualifier of sincerity.</t>
    </r>
  </si>
  <si>
    <r>
      <t xml:space="preserve">kept the </t>
    </r>
    <r>
      <rPr>
        <b/>
        <sz val="11"/>
        <color theme="1"/>
        <rFont val="Calibri"/>
        <family val="2"/>
        <charset val="1"/>
      </rPr>
      <t>informal tone</t>
    </r>
    <r>
      <rPr>
        <sz val="11"/>
        <color theme="1"/>
        <rFont val="Calibri"/>
        <family val="2"/>
        <charset val="1"/>
      </rPr>
      <t xml:space="preserve"> but performed a </t>
    </r>
    <r>
      <rPr>
        <b/>
        <sz val="11"/>
        <color theme="1"/>
        <rFont val="Calibri"/>
        <family val="2"/>
        <charset val="1"/>
      </rPr>
      <t>Situational Modification</t>
    </r>
    <r>
      <rPr>
        <sz val="11"/>
        <color theme="1"/>
        <rFont val="Calibri"/>
        <family val="2"/>
        <charset val="1"/>
      </rPr>
      <t xml:space="preserve"> by changing the speaker's final confirmation of "ugliness" into a final confirmation of "comfort."</t>
    </r>
  </si>
  <si>
    <r>
      <t>Truth/Fact</t>
    </r>
    <r>
      <rPr>
        <sz val="11"/>
        <color theme="1"/>
        <rFont val="Calibri"/>
        <family val="2"/>
        <charset val="1"/>
      </rPr>
      <t xml:space="preserve"> image is kept + </t>
    </r>
    <r>
      <rPr>
        <b/>
        <sz val="11"/>
        <color theme="1"/>
        <rFont val="Calibri"/>
        <family val="2"/>
        <charset val="1"/>
      </rPr>
      <t>Grammar</t>
    </r>
    <r>
      <rPr>
        <sz val="11"/>
        <color theme="1"/>
        <rFont val="Calibri"/>
        <family val="2"/>
        <charset val="1"/>
      </rPr>
      <t xml:space="preserve"> is specified.</t>
    </r>
  </si>
  <si>
    <r>
      <t>Different Image:</t>
    </r>
    <r>
      <rPr>
        <sz val="11"/>
        <color theme="1"/>
        <rFont val="Calibri"/>
        <family val="2"/>
        <charset val="1"/>
      </rPr>
      <t xml:space="preserve"> The ST (</t>
    </r>
    <r>
      <rPr>
        <b/>
        <sz val="11"/>
        <color theme="1"/>
        <rFont val="Calibri"/>
        <family val="2"/>
        <charset val="1"/>
      </rPr>
      <t>"la verdad"</t>
    </r>
    <r>
      <rPr>
        <sz val="11"/>
        <color theme="1"/>
        <rFont val="Calibri"/>
        <family val="2"/>
        <charset val="1"/>
      </rPr>
      <t xml:space="preserve">) relies on the concept of </t>
    </r>
    <r>
      <rPr>
        <b/>
        <sz val="11"/>
        <color theme="1"/>
        <rFont val="Calibri"/>
        <family val="2"/>
        <charset val="1"/>
      </rPr>
      <t>Truth</t>
    </r>
    <r>
      <rPr>
        <sz val="11"/>
        <color theme="1"/>
        <rFont val="Calibri"/>
        <family val="2"/>
        <charset val="1"/>
      </rPr>
      <t>. The TT (</t>
    </r>
    <r>
      <rPr>
        <b/>
        <sz val="11"/>
        <color theme="1"/>
        <rFont val="Calibri"/>
        <family val="2"/>
        <charset val="1"/>
      </rPr>
      <t>"for sure"</t>
    </r>
    <r>
      <rPr>
        <sz val="11"/>
        <color theme="1"/>
        <rFont val="Calibri"/>
        <family val="2"/>
        <charset val="1"/>
      </rPr>
      <t xml:space="preserve">) relies on the concept of </t>
    </r>
    <r>
      <rPr>
        <b/>
        <sz val="11"/>
        <color theme="1"/>
        <rFont val="Calibri"/>
        <family val="2"/>
        <charset val="1"/>
      </rPr>
      <t>Certainty</t>
    </r>
  </si>
  <si>
    <r>
      <t xml:space="preserve">El TT </t>
    </r>
    <r>
      <rPr>
        <b/>
        <sz val="11"/>
        <color theme="1"/>
        <rFont val="Calibri"/>
        <family val="2"/>
        <charset val="1"/>
      </rPr>
      <t>"stepped"</t>
    </r>
    <r>
      <rPr>
        <sz val="11"/>
        <color theme="1"/>
        <rFont val="Calibri"/>
        <family val="2"/>
        <charset val="1"/>
      </rPr>
      <t xml:space="preserve"> es la forma estándar</t>
    </r>
  </si>
  <si>
    <t>Al traducirlo como "young woman", el traductor ha extraído el significado lógico (es una mujer + es joven) y lo ha presentado de forma analítica.</t>
  </si>
  <si>
    <r>
      <t>En tu traducción (</t>
    </r>
    <r>
      <rPr>
        <b/>
        <sz val="11"/>
        <color theme="1"/>
        <rFont val="Calibri"/>
        <family val="2"/>
        <charset val="1"/>
      </rPr>
      <t>"the best of each school"</t>
    </r>
    <r>
      <rPr>
        <sz val="11"/>
        <color theme="1"/>
        <rFont val="Calibri"/>
        <family val="2"/>
        <charset val="1"/>
      </rPr>
      <t>), parece que estás diciendo algo positivo sobre el nivel académico o la variedad de los centros.</t>
    </r>
  </si>
  <si>
    <r>
      <t xml:space="preserve">En español, </t>
    </r>
    <r>
      <rPr>
        <b/>
        <sz val="11"/>
        <color theme="1"/>
        <rFont val="Calibri"/>
        <family val="2"/>
        <charset val="1"/>
      </rPr>
      <t>"Es que"</t>
    </r>
    <r>
      <rPr>
        <sz val="11"/>
        <color theme="1"/>
        <rFont val="Calibri"/>
        <family val="2"/>
        <charset val="1"/>
      </rPr>
      <t xml:space="preserve"> introduce una causa o una justificación (es el equivalente a </t>
    </r>
    <r>
      <rPr>
        <i/>
        <sz val="11"/>
        <color theme="1"/>
        <rFont val="Calibri"/>
        <family val="2"/>
        <charset val="1"/>
      </rPr>
      <t>"The thing is..."</t>
    </r>
    <r>
      <rPr>
        <sz val="11"/>
        <color theme="1"/>
        <rFont val="Calibri"/>
        <family val="2"/>
        <charset val="1"/>
      </rPr>
      <t xml:space="preserve">). Al usar </t>
    </r>
    <r>
      <rPr>
        <b/>
        <sz val="11"/>
        <color theme="1"/>
        <rFont val="Calibri"/>
        <family val="2"/>
        <charset val="1"/>
      </rPr>
      <t>"I mean"</t>
    </r>
    <r>
      <rPr>
        <sz val="11"/>
        <color theme="1"/>
        <rFont val="Calibri"/>
        <family val="2"/>
        <charset val="1"/>
      </rPr>
      <t>, el traductor utiliza un marcador que en inglés sirve principalmente para aclarar, corregir o enfatizar lo que se está diciendo.</t>
    </r>
  </si>
  <si>
    <t>NO SAME MEANING</t>
  </si>
  <si>
    <t>super / super-duper</t>
  </si>
  <si>
    <t>The Spanish speaker uses "tío" (a peer-to-peer social image) and "claro" (a sharp confirmation marker). The translator discards these specific images and replaces them with "you know" and "of course."</t>
  </si>
  <si>
    <t>It was in the morning, but I'm talking to you at 7:30. We saw a young guy and girl walk in. They stood right in front of the bar and started getting all affectionate, giving each other some big kisses, and us saying, "Well, that's nice."</t>
  </si>
  <si>
    <t>Really in those 2 years that I was there I was a completely different person. I lived bitter day by day. Really, it consumes you to see what kind of people there are, who don't have any respect.</t>
  </si>
  <si>
    <t>Plus, what's cool about it is that. Thanks to the people who really get involved.</t>
  </si>
  <si>
    <t xml:space="preserve">Moreover, that's what's cool. Thanks to the people who get very involved. </t>
  </si>
  <si>
    <t>Tripping balls</t>
  </si>
  <si>
    <t>It's like the beautiful and fantastic image of saying, hey, look how well this guy wants to listen to me. And then for sure the one who talks the most is the husband. A real chatterbox.</t>
  </si>
  <si>
    <t xml:space="preserve">crack up / to piss oneself laughing </t>
  </si>
  <si>
    <t xml:space="preserve">blah blah blah </t>
  </si>
  <si>
    <t>neat, cool, great</t>
  </si>
  <si>
    <t>To open the Pandora's box</t>
  </si>
  <si>
    <t>busybody / know-it-all / know-all / windbag</t>
  </si>
  <si>
    <t>school</t>
  </si>
  <si>
    <r>
      <t xml:space="preserve">¿A ti te habrán </t>
    </r>
    <r>
      <rPr>
        <b/>
        <sz val="11"/>
        <color theme="1"/>
        <rFont val="Calibri"/>
        <family val="2"/>
      </rPr>
      <t>vacilado</t>
    </r>
    <r>
      <rPr>
        <sz val="11"/>
        <color theme="1"/>
        <rFont val="Calibri"/>
        <family val="2"/>
      </rPr>
      <t xml:space="preserve"> los más grandes? Te vacilan sabiendo que te están vacilando.</t>
    </r>
  </si>
  <si>
    <t>to tease somebody / take the mickey out of somebody / rib</t>
  </si>
  <si>
    <t xml:space="preserve">teacher </t>
  </si>
  <si>
    <r>
      <t>Y pasa una clase de quinto que vendría en educación física o no sé qué un chaval con el que no habla ni nada me dice, yo que tú me guardaba el móvil. Y a mí me quedo impactado, no de, h</t>
    </r>
    <r>
      <rPr>
        <b/>
        <sz val="11"/>
        <color theme="1"/>
        <rFont val="Calibri"/>
        <family val="2"/>
      </rPr>
      <t>ostia</t>
    </r>
    <r>
      <rPr>
        <sz val="11"/>
        <color theme="1"/>
        <rFont val="Calibri"/>
        <family val="2"/>
      </rPr>
      <t>, que me lo vayan a robar, sino cómo de asumido tienes que tener el concepto de robar como para que recomiendas a un prospecto, guárdalo porque es que te lo van a robar porque no sé qué.</t>
    </r>
  </si>
  <si>
    <t>Damn, / Damn it / Bloody hell</t>
  </si>
  <si>
    <t xml:space="preserve">
"So, a group of fifth-grade students walk past – they were probably on their way to PE or something. This kid, who I don't even talk to, says to me, 'You should put your phone away.' And I was completely taken aback. Not because I thought someone was going to steal it, but because of the assumption he had that stealing is a possibility, to the point where he was recommending it to someone else. He was basically saying, 'Put it away, because someone's going to steal it, you know?'"</t>
  </si>
  <si>
    <r>
      <t>Fue una</t>
    </r>
    <r>
      <rPr>
        <b/>
        <sz val="11"/>
        <color theme="1"/>
        <rFont val="Calibri"/>
        <family val="2"/>
      </rPr>
      <t xml:space="preserve"> superexagerada</t>
    </r>
    <r>
      <rPr>
        <sz val="11"/>
        <color theme="1"/>
        <rFont val="Calibri"/>
        <family val="2"/>
      </rPr>
      <t>, pero las propias familias se tienen que ir de los barrios porque tienen problemas. No los niños, sino los padres con otras familias. Y cambian de colegio, el niño ya, pues lo que lleve mínimamente aprendido, ahora se resetea.</t>
    </r>
  </si>
  <si>
    <t>Bloody awful, bloody horrible, damn hard, bloody hard, fucking</t>
  </si>
  <si>
    <t>cheat on / run around on / two-time</t>
  </si>
  <si>
    <t>big / huge / mighty</t>
  </si>
  <si>
    <t>match</t>
  </si>
  <si>
    <r>
      <t xml:space="preserve">Yo me he fijado como objetivo terminar estos años y decir, hay menos parado porque el empleo ha servido para hacer </t>
    </r>
    <r>
      <rPr>
        <b/>
        <sz val="11"/>
        <color theme="1"/>
        <rFont val="Calibri"/>
        <family val="2"/>
      </rPr>
      <t>match</t>
    </r>
    <r>
      <rPr>
        <sz val="11"/>
        <color theme="1"/>
        <rFont val="Calibri"/>
        <family val="2"/>
      </rPr>
      <t>. Hay una empresa, hay uno que necesita una empresa, solo con eso yo creo que ya tendría para llenar mi jornada laboral.</t>
    </r>
  </si>
  <si>
    <t>onboarding</t>
  </si>
  <si>
    <t>to badger / to nag / to bother / to annoy</t>
  </si>
  <si>
    <t xml:space="preserve">tetchy / moodiness / ill humor / bad egg </t>
  </si>
  <si>
    <t>boasting / showing off / bravado / swagger / bluster</t>
  </si>
  <si>
    <t>tell sb to go to hell / tell sb to fuck off / to tell somebody to piss off</t>
  </si>
  <si>
    <t>It was once a woman and she had a shopping cart full of things. It went so badly that she started saying rudely that she needed another one. Well, go and look for it, don't you?</t>
  </si>
  <si>
    <t>suck up to sb / kiss sb'ass</t>
  </si>
  <si>
    <t>Collins / Wordreference</t>
  </si>
  <si>
    <t>to get cross / to worry</t>
  </si>
  <si>
    <t>partying / joking / messing about / laugh</t>
  </si>
  <si>
    <t>ill will / rancor / dislike</t>
  </si>
  <si>
    <t>make a joke</t>
  </si>
  <si>
    <t>lore</t>
  </si>
  <si>
    <t>dig / swipe</t>
  </si>
  <si>
    <t xml:space="preserve">They gave me a real talking-to about the boyfriend thing. A 13-year-old kid who left me shaking. </t>
  </si>
  <si>
    <t>pen</t>
  </si>
  <si>
    <t>Phew / Ugh</t>
  </si>
  <si>
    <t xml:space="preserve">work </t>
  </si>
  <si>
    <t xml:space="preserve">mate / dude / man / pal </t>
  </si>
  <si>
    <r>
      <t>Kit Kat es una discoteca en la que básicamente se va a follar. O sea, la gente v</t>
    </r>
    <r>
      <rPr>
        <b/>
        <sz val="11"/>
        <color theme="1"/>
        <rFont val="Calibri"/>
        <family val="2"/>
      </rPr>
      <t>a en pelotas,</t>
    </r>
    <r>
      <rPr>
        <sz val="11"/>
        <color theme="1"/>
        <rFont val="Calibri"/>
        <family val="2"/>
      </rPr>
      <t xml:space="preserve"> van hasta el culo, evidentemente, pero luego por dentro mola un montón la decoración, ¿eh?</t>
    </r>
  </si>
  <si>
    <t>butt naked / naked / in the buff / bare naked / starkers</t>
  </si>
  <si>
    <t>NPC</t>
  </si>
  <si>
    <t>brother / mate / buddy / pal / dude / bro</t>
  </si>
  <si>
    <r>
      <t>Y al final el centro está</t>
    </r>
    <r>
      <rPr>
        <b/>
        <sz val="11"/>
        <color theme="1"/>
        <rFont val="Calibri"/>
        <family val="2"/>
      </rPr>
      <t xml:space="preserve"> petado</t>
    </r>
    <r>
      <rPr>
        <sz val="11"/>
        <color theme="1"/>
        <rFont val="Calibri"/>
        <family val="2"/>
      </rPr>
      <t xml:space="preserve"> de guiris</t>
    </r>
    <r>
      <rPr>
        <b/>
        <sz val="11"/>
        <color theme="1"/>
        <rFont val="Calibri"/>
        <family val="2"/>
      </rPr>
      <t xml:space="preserve"> </t>
    </r>
    <r>
      <rPr>
        <sz val="11"/>
        <color theme="1"/>
        <rFont val="Calibri"/>
        <family val="2"/>
      </rPr>
      <t>en general, que al final también entiendo que eso mueve dinero y es lo que nos da de comer, pero que deberíamos adueñarnos nosotros también de nuestro propio espacio y disfrutarlo.</t>
    </r>
  </si>
  <si>
    <t xml:space="preserve">packed / full of / stuffed </t>
  </si>
  <si>
    <t>pum pum</t>
  </si>
  <si>
    <t>fucked</t>
  </si>
  <si>
    <t>click</t>
  </si>
  <si>
    <t>it makes no difference / neither fish nor fowl</t>
  </si>
  <si>
    <r>
      <t>A esto venía porque luego El tío lleva gomina en la piscina,</t>
    </r>
    <r>
      <rPr>
        <b/>
        <sz val="11"/>
        <color theme="1"/>
        <rFont val="Calibri"/>
        <family val="2"/>
      </rPr>
      <t xml:space="preserve"> bro</t>
    </r>
    <r>
      <rPr>
        <sz val="11"/>
        <color theme="1"/>
        <rFont val="Calibri"/>
        <family val="2"/>
      </rPr>
      <t>. El tío lleva gomina en la piscina, que se lo dije a mi compañero, le metí 2 codos y dije,</t>
    </r>
    <r>
      <rPr>
        <b/>
        <sz val="11"/>
        <color theme="1"/>
        <rFont val="Calibri"/>
        <family val="2"/>
      </rPr>
      <t xml:space="preserve"> </t>
    </r>
    <r>
      <rPr>
        <sz val="11"/>
        <color theme="1"/>
        <rFont val="Calibri"/>
        <family val="2"/>
      </rPr>
      <t>bro, lleva gomina.</t>
    </r>
  </si>
  <si>
    <t xml:space="preserve">bro / mate </t>
  </si>
  <si>
    <t xml:space="preserve"> </t>
  </si>
  <si>
    <t>bish bash bush / wham, bam</t>
  </si>
  <si>
    <t>Tureng / REversoContext</t>
  </si>
  <si>
    <r>
      <t xml:space="preserve">Muchas veces son animales, los perros se comen el cable de fibra y te comen 60 pavos por rotula de esas. Una vez me tocó también una que estaba súper indignado, o sea, le llamé yo para avisarle de que iba y me empezó a calentar la cabeza como que llevábamos </t>
    </r>
    <r>
      <rPr>
        <b/>
        <sz val="11"/>
        <color theme="1"/>
        <rFont val="Calibri"/>
        <family val="2"/>
      </rPr>
      <t>no sé cuánto tiempo, no sé qué.</t>
    </r>
  </si>
  <si>
    <r>
      <t>Dice, ah, y es que tampoco se poner el wifi en el teléfono. A mí me</t>
    </r>
    <r>
      <rPr>
        <b/>
        <sz val="11"/>
        <color theme="1"/>
        <rFont val="Calibri"/>
        <family val="2"/>
      </rPr>
      <t xml:space="preserve"> da mucho apuro </t>
    </r>
    <r>
      <rPr>
        <sz val="11"/>
        <color theme="1"/>
        <rFont val="Calibri"/>
        <family val="2"/>
      </rPr>
      <t>cuando te dan el teléfono a ellos, porque muchas veces te tienes que meter en el navegador y te encuentras cosas raras.</t>
    </r>
  </si>
  <si>
    <t>feel uncomfortable / be embarrassed</t>
  </si>
  <si>
    <t>Screw you over / clean you out</t>
  </si>
  <si>
    <t>Gemini</t>
  </si>
  <si>
    <t>well</t>
  </si>
  <si>
    <r>
      <t>Hasta de la agencia tributaria te llaman. Hace unos años llamaban a gente haciéndose pasar por la agencia tributaria Renta Básica Universal. Pedían que para verificar que son ellos, que mandaran un bizum de 100 euros a X número. Claro, luego</t>
    </r>
    <r>
      <rPr>
        <b/>
        <sz val="11"/>
        <color theme="1"/>
        <rFont val="Calibri"/>
        <family val="2"/>
      </rPr>
      <t xml:space="preserve"> </t>
    </r>
    <r>
      <rPr>
        <sz val="11"/>
        <color theme="1"/>
        <rFont val="Calibri"/>
        <family val="2"/>
      </rPr>
      <t>ni renta</t>
    </r>
    <r>
      <rPr>
        <b/>
        <sz val="11"/>
        <color theme="1"/>
        <rFont val="Calibri"/>
        <family val="2"/>
      </rPr>
      <t xml:space="preserve"> ni polla.</t>
    </r>
  </si>
  <si>
    <t>mute</t>
  </si>
  <si>
    <t xml:space="preserve">every five minutes / keeps + gerund / </t>
  </si>
  <si>
    <t xml:space="preserve">okay? Huh? </t>
  </si>
  <si>
    <t xml:space="preserve">fuckload of / shit-ton of year </t>
  </si>
  <si>
    <t>so-and-so / some guy / some girl / whatshisname/ whatshername</t>
  </si>
  <si>
    <r>
      <t xml:space="preserve">O sea, que si tú vas preguntando, en plan, oye, Eugenia, sí, pues lleva tiempo viniendo sola, o lleva tiempo que se le ve más cansada, o tiene una identidad, un círculo que la identifica y que la cuida de alguna. Y en la ciudad me parece como que estamos más anonimizados todos. En la ciudad somos </t>
    </r>
    <r>
      <rPr>
        <b/>
        <sz val="11"/>
        <color theme="1"/>
        <rFont val="Calibri"/>
        <family val="2"/>
      </rPr>
      <t>NPC.</t>
    </r>
  </si>
  <si>
    <t>wow</t>
  </si>
  <si>
    <t>shitty / crappy / awful / rubbish / piece of shit / piece of junk/</t>
  </si>
  <si>
    <t>same as "like"</t>
  </si>
  <si>
    <r>
      <t>Que tú ahora nos veas así en plan con las pintas y todo eso. Yo cuando voy a trabajar cada día me tengo que quitar los nostros y me escondo el septum. Me tengo que poner unas fajas. O sea, hacer el play pretend de tu puta vida. Ropa así como medio formalilla,</t>
    </r>
    <r>
      <rPr>
        <b/>
        <sz val="11"/>
        <color theme="1"/>
        <rFont val="Calibri"/>
        <family val="2"/>
      </rPr>
      <t xml:space="preserve"> no sé qué...</t>
    </r>
  </si>
  <si>
    <t xml:space="preserve">trick  /dodge </t>
  </si>
  <si>
    <t>top secret</t>
  </si>
  <si>
    <t>merchandising</t>
  </si>
  <si>
    <t>WodReference</t>
  </si>
  <si>
    <t xml:space="preserve">fuck you / go fuck yourself / not give a shit about / not give a damn about / </t>
  </si>
  <si>
    <t>pardon my French</t>
  </si>
  <si>
    <r>
      <t>Me giro y viene así con la mano así y trae un puto periquito verde</t>
    </r>
    <r>
      <rPr>
        <b/>
        <sz val="11"/>
        <color theme="1"/>
        <rFont val="Calibri"/>
        <family val="2"/>
      </rPr>
      <t>, tío</t>
    </r>
    <r>
      <rPr>
        <sz val="11"/>
        <color theme="1"/>
        <rFont val="Calibri"/>
        <family val="2"/>
      </rPr>
      <t>. Que se ha caído de un árbol. Digo, pues ya está. De veterinario. Le abro la ala, le empiezo a mirar. Y ahora digo, tío, yo ahora qué hago con el puto periquito, tío.</t>
    </r>
  </si>
  <si>
    <t>brother / mate / buddy / pal / dude / bro / man</t>
  </si>
  <si>
    <t>Spanish meme that describes a bohemian chaotic complicated stylelife</t>
  </si>
  <si>
    <t>speech</t>
  </si>
  <si>
    <t>not my cup of tea</t>
  </si>
  <si>
    <t xml:space="preserve">"You opened up the MD like saying I'm into this, but it's not exactly something I'm passionate about. </t>
  </si>
  <si>
    <t xml:space="preserve">You opened up the MD like saying, I do this, but it's not really my thing. </t>
  </si>
  <si>
    <t>review</t>
  </si>
  <si>
    <t>tourist traps</t>
  </si>
  <si>
    <t>all hell / chaos / mess</t>
  </si>
  <si>
    <t xml:space="preserve">WordReference / </t>
  </si>
  <si>
    <t>busbybody / know-it-all</t>
  </si>
  <si>
    <t>Let's talk about this issue now. In the previous video we talked about less affluent places, now we're talking about exclusive Catholic schools in downtown Madrid where I ran into some real trash you can imagine</t>
  </si>
  <si>
    <t>you know?</t>
  </si>
  <si>
    <t>forggy / frog / French</t>
  </si>
  <si>
    <r>
      <t xml:space="preserve">In short, it is a </t>
    </r>
    <r>
      <rPr>
        <b/>
        <sz val="11"/>
        <color theme="1"/>
        <rFont val="Calibri"/>
        <family val="2"/>
        <charset val="1"/>
      </rPr>
      <t>Situational Modification</t>
    </r>
    <r>
      <rPr>
        <sz val="11"/>
        <color theme="1"/>
        <rFont val="Calibri"/>
        <family val="2"/>
        <charset val="1"/>
      </rPr>
      <t xml:space="preserve"> because the translator changed the </t>
    </r>
    <r>
      <rPr>
        <i/>
        <sz val="11"/>
        <color theme="1"/>
        <rFont val="Calibri"/>
        <family val="2"/>
        <charset val="1"/>
      </rPr>
      <t>words</t>
    </r>
    <r>
      <rPr>
        <sz val="11"/>
        <color theme="1"/>
        <rFont val="Calibri"/>
        <family val="2"/>
        <charset val="1"/>
      </rPr>
      <t xml:space="preserve"> to save the </t>
    </r>
    <r>
      <rPr>
        <i/>
        <sz val="11"/>
        <color theme="1"/>
        <rFont val="Calibri"/>
        <family val="2"/>
        <charset val="1"/>
      </rPr>
      <t>feeling</t>
    </r>
    <r>
      <rPr>
        <sz val="11"/>
        <color theme="1"/>
        <rFont val="Calibri"/>
        <family val="2"/>
        <charset val="1"/>
      </rPr>
      <t xml:space="preserve"> of the moment.</t>
    </r>
  </si>
  <si>
    <t>to hell with sb</t>
  </si>
  <si>
    <t>to get wasted / to get smashed</t>
  </si>
  <si>
    <t xml:space="preserve">Not give a dman / shot about something / to blow something off / </t>
  </si>
  <si>
    <t>pasarse de la raya</t>
  </si>
  <si>
    <t>diarrhoea / diarrhea / the shits / the runts / the trots</t>
  </si>
  <si>
    <r>
      <t>Te hacen todo el espectáculo cuando pides una botella de Don Periñón o lo que sea de champán. Que son Madrid estándar, también te diré. Esto es capi. M</t>
    </r>
    <r>
      <rPr>
        <b/>
        <sz val="11"/>
        <color theme="1"/>
        <rFont val="Calibri"/>
        <family val="2"/>
      </rPr>
      <t xml:space="preserve">uchos pequeños Nicolases </t>
    </r>
    <r>
      <rPr>
        <sz val="11"/>
        <color theme="1"/>
        <rFont val="Calibri"/>
        <family val="2"/>
      </rPr>
      <t>indios seguramente Hay mucho Froilán indio Sí, no sé, supongo que será ir viendo pie por pie ver quién tiene agujeros o no</t>
    </r>
  </si>
  <si>
    <t>leave a lot to be desired / leave much tobe desired</t>
  </si>
  <si>
    <r>
      <t>Entonces me he capado de cosas que simplemente no me producían ningún bien, y la mentalidad, sobre, todo, que mucha gente tiene de voy a alcanzar el trabajo de mis sueños o un trabajo que me dé mucho dinero. Creo que más importante que incluso el dinero o el trabajo de tus sueños es encontrar un trabajo en el que tú te veas a gusto. Puede ser algo que sea</t>
    </r>
    <r>
      <rPr>
        <b/>
        <sz val="11"/>
        <color theme="1"/>
        <rFont val="Calibri"/>
        <family val="2"/>
      </rPr>
      <t xml:space="preserve"> ni fu ni fa, </t>
    </r>
    <r>
      <rPr>
        <sz val="11"/>
        <color theme="1"/>
        <rFont val="Calibri"/>
        <family val="2"/>
      </rPr>
      <t>¿sabes?</t>
    </r>
  </si>
  <si>
    <t>LO IDEAL SERIÁ QUE HUBIERA TRADUCIDO POR UNA PERSONA DE ALLI</t>
  </si>
  <si>
    <t>Definition or Translation</t>
  </si>
  <si>
    <t>"Coñas" is not a complex image that needs unpacking. It's a colloquial word for jokes/wisecracks. A true paraphrase would explain the meaning at a distance, something like:
"saying things to make others laugh at my expense"
"behaving in a disrespectful and humorous way"
"Making jokes" is not an explanation of "coñas" — it's simply a broader, more neutral term for the same concept, which is precisely Superordinate Term.</t>
  </si>
  <si>
    <t>"Anything else" is not explaining what "polla" means — it is simply the general category term for emphatic negation that sits above the vulgar specific term "polla."</t>
  </si>
  <si>
    <t>"Puterío" is not a complex image being unpacked — it is a single colloquial noun meaning chaos/mess. Replacing it with "mess" or "disaster" moves upward in the semantic hierarchy to a broader, more neutral term.</t>
  </si>
  <si>
    <t>"madman" is the broader term; no explanation, just substitution</t>
  </si>
  <si>
    <t>"completely out of his mind, acting like a lunatic"</t>
  </si>
  <si>
    <t>"completely out of control, acting like a madman"</t>
  </si>
  <si>
    <t>Situational — "throwing punches" is a context-driven addition that captures the physical chaos</t>
  </si>
  <si>
    <r>
      <t>Situational</t>
    </r>
    <r>
      <rPr>
        <sz val="11"/>
        <color theme="1"/>
        <rFont val="Calibri"/>
        <family val="2"/>
        <charset val="1"/>
      </rPr>
      <t xml:space="preserve"> — "throwing punches" is a context-driven addition that captures the physical chaos</t>
    </r>
  </si>
  <si>
    <t>Superordinate — "jerk" is just a broader insult, not a description</t>
  </si>
  <si>
    <r>
      <t>Superordinate</t>
    </r>
    <r>
      <rPr>
        <sz val="11"/>
        <color theme="1"/>
        <rFont val="Calibri"/>
        <family val="2"/>
        <charset val="1"/>
      </rPr>
      <t xml:space="preserve"> — neutral term for the same concept</t>
    </r>
  </si>
  <si>
    <r>
      <t xml:space="preserve">Claro, lo comenté con los que están en el Gymnasium y ellos me decían: «Hostia, pues a mí eso no me ha pasao nada. Vaya a tener su niño y </t>
    </r>
    <r>
      <rPr>
        <b/>
        <sz val="11"/>
        <color theme="1"/>
        <rFont val="Calibri"/>
        <family val="2"/>
      </rPr>
      <t>se lleva una hostia con la mano abierta</t>
    </r>
    <r>
      <rPr>
        <sz val="11"/>
        <color theme="1"/>
        <rFont val="Calibri"/>
        <family val="2"/>
      </rPr>
      <t xml:space="preserve"> y cosas así», me decían.</t>
    </r>
  </si>
  <si>
    <t>cole" → "school" — NOT Specification"Cole" is simply a truncation of "colegio." "Colegio" = "school." "School" = "school."There is zero added precision — the English word maps directly onto the full Spanish word with no additional information. It is a straight Official Translation.The only thing lost is the informal truncation quality — but that is a register issue, not a specification issue.</t>
  </si>
  <si>
    <t>"profe" → "teacher" — NOT SpecificationIdentical logic. "Profe" truncates "profesor/a." "Profesor/a" = "teacher." "Teacher" = "teacher."Again, no added information. Direct equivalent. Official Translation.</t>
  </si>
  <si>
    <t>"mili" → "army/military" — IS Specification (arguably)
Here there IS a small but real precision difference:
"Mili" specifically refers to mandatory conscription service — a very specific institutional concept
"Army" is broader — it can mean career military, general armed forces, not specifically conscription
"Military" is even broader</t>
  </si>
  <si>
    <t>"boli" → "pen" — Official Translation, not Specification
"Boli" truncates "bolígrafo" = ballpoint pen. "Pen" = pen.
No added precision — same issue as "cole" and "profe." This is Official Translation.
The only wrinkle is that "boli" specifically implies a ballpoint pen, while "pen" is slightly broader (could include fountain pens, felt tips). So technically "pen" is a very mild Superordinate rather than Specification.</t>
  </si>
  <si>
    <t>The underlying pattern is that "cole" and "profe" have perfect one-to-one English equivalents with no semantic shift in either direction, while "mili" and "publi" involve a small but real semantic movement in the translation that justifies Specification. "Boli" sits between the two groups — closer to "cole/profe" than to "mili/publi."</t>
  </si>
  <si>
    <t>Key issue: "La lía parda" is a vivid idiomatic expression — the consistent rendering as "cause a scene/mess" is Superordinate, not Paraphrase. These are direct broader-category replacements, not explanations.</t>
  </si>
  <si>
    <t>se mantiene la informalidad?</t>
  </si>
  <si>
    <t>Specification = the translator uses a slightly more explicit version of the same concept without adding a new image — which is exactly what "cheat on" does relative to the horn metaphor</t>
  </si>
  <si>
    <t>Moreover, that's what's cool. Thanks to the people who get very involved.</t>
  </si>
  <si>
    <r>
      <t>Odian menos que hables en español con ellos que hables en inglés. A los ingleses les tienen una</t>
    </r>
    <r>
      <rPr>
        <b/>
        <sz val="11"/>
        <color theme="1"/>
        <rFont val="Calibri"/>
        <family val="2"/>
      </rPr>
      <t xml:space="preserve"> tirria.</t>
    </r>
  </si>
  <si>
    <r>
      <t>Cuando juntas lo problemático con lo problemático, pues lo único que vas a tener son problemas. Es un sistema de segregación</t>
    </r>
    <r>
      <rPr>
        <b/>
        <sz val="11"/>
        <color theme="1"/>
        <rFont val="Calibri"/>
        <family val="2"/>
      </rPr>
      <t xml:space="preserve"> que flipas.</t>
    </r>
  </si>
  <si>
    <t>escandalizarse</t>
  </si>
  <si>
    <t>asustarse</t>
  </si>
  <si>
    <r>
      <t>Había mucha gente que me decía que quería venir de vacaciones a España. Y yo le decía en el aeropuerto, cuando te pregunten, di que vas a Portugal. Y no me pillaban el</t>
    </r>
    <r>
      <rPr>
        <b/>
        <sz val="11"/>
        <color theme="1"/>
        <rFont val="Calibri"/>
        <family val="2"/>
      </rPr>
      <t xml:space="preserve"> lore.</t>
    </r>
  </si>
  <si>
    <t>There's this thing I call the "volcano," which is when a toilet gets clogged—specifically, when it's clogged with diarrhea, okay? It's a total nightmare. You've got to be really fucked up inside.</t>
  </si>
  <si>
    <r>
      <t xml:space="preserve">Las condiciones están muy bien. Esto es exclusivo de trabajadores. Mira qué tipo de </t>
    </r>
    <r>
      <rPr>
        <b/>
        <sz val="11"/>
        <color theme="1"/>
        <rFont val="Calibri"/>
        <family val="2"/>
      </rPr>
      <t>merchandising</t>
    </r>
    <r>
      <rPr>
        <sz val="11"/>
        <color theme="1"/>
        <rFont val="Calibri"/>
        <family val="2"/>
      </rPr>
      <t xml:space="preserve"> hay. Es esta chaquetita que la ves así y dices que está bien.</t>
    </r>
  </si>
  <si>
    <t>It's like the perfect, wonderful image of saying, Wow, look how eager this man will be to listen to me.\" And then, of course, the husband will probably be the one who does most of the talking. He's a real chatterbox</t>
  </si>
  <si>
    <t>1. Lexicon and Vocabulary</t>
  </si>
  <si>
    <t>Lexicon of insult</t>
  </si>
  <si>
    <t>macrocategory</t>
  </si>
  <si>
    <t>subcategory</t>
  </si>
  <si>
    <t>Colloquial lexicon and slang</t>
  </si>
  <si>
    <t>Lexical shortening and abbreviations</t>
  </si>
  <si>
    <t>Idiomatic expressions and colloquial phraseology</t>
  </si>
  <si>
    <t>Informal intensifiers and quantifiers</t>
  </si>
  <si>
    <t>References to popular culture and memes</t>
  </si>
  <si>
    <t>Onomatopoeia and sound representation</t>
  </si>
  <si>
    <t>Neologisms</t>
  </si>
  <si>
    <t>2. Non-standard linguistic features</t>
  </si>
  <si>
    <t>Non-standard pronunciation</t>
  </si>
  <si>
    <t>Colloquial syntactic structures</t>
  </si>
  <si>
    <t>3. Pragmatics and Discourse</t>
  </si>
  <si>
    <t>Discourse markers</t>
  </si>
  <si>
    <t>Familiar address or vocatives</t>
  </si>
  <si>
    <t xml:space="preserve">Irony and sarcasm </t>
  </si>
  <si>
    <t>4. Register and Tone</t>
  </si>
  <si>
    <t>Hyperbole and exaggeration</t>
  </si>
  <si>
    <r>
      <t>Pues estábamos de fiesta y al volver, lo típico, porque allí todos los bares y todas las discotecas cierran a las 2 de la mañana. A las 2 de la mañana, a tu puta casa. Y ahí ya van los irlandeses</t>
    </r>
    <r>
      <rPr>
        <b/>
        <sz val="11"/>
        <color theme="1"/>
        <rFont val="Calibri"/>
        <family val="2"/>
      </rPr>
      <t xml:space="preserve"> como los grecos, </t>
    </r>
    <r>
      <rPr>
        <sz val="11"/>
        <color theme="1"/>
        <rFont val="Calibri"/>
        <family val="2"/>
      </rPr>
      <t>o sea, van súper mecedora.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</si>
</sst>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sz val="11"/>
      <color theme="1"/>
      <name val="Calibri"/>
      <family val="2"/>
      <scheme val="minor"/>
    </font>
    <font>
      <sz val="11"/>
      <color theme="1"/>
      <name val="Calibri"/>
      <family val="2"/>
      <scheme val="minor"/>
    </font>
    <font>
      <b/>
      <sz val="13"/>
      <color rgb="FFFFFFFF"/>
      <name val="Arial"/>
      <family val="2"/>
    </font>
    <font>
      <i/>
      <sz val="9"/>
      <color rgb="FF555555"/>
      <name val="Arial"/>
      <family val="2"/>
    </font>
    <font>
      <b/>
      <sz val="11"/>
      <color rgb="FFFFFFFF"/>
      <name val="Arial"/>
      <family val="2"/>
    </font>
    <font>
      <b/>
      <sz val="9"/>
      <color rgb="FF333333"/>
      <name val="Arial"/>
      <family val="2"/>
    </font>
    <font>
      <b/>
      <sz val="9"/>
      <color rgb="FFFFFFFF"/>
      <name val="Arial"/>
      <family val="2"/>
    </font>
    <font>
      <sz val="9"/>
      <name val="Arial"/>
      <family val="2"/>
    </font>
    <font>
      <b/>
      <sz val="9"/>
      <name val="Arial"/>
      <family val="2"/>
    </font>
    <font>
      <b/>
      <sz val="10"/>
      <color rgb="FFFFFFFF"/>
      <name val="Arial"/>
      <family val="2"/>
    </font>
    <font>
      <b/>
      <sz val="11"/>
      <color theme="1"/>
      <name val="Calibri"/>
      <family val="2"/>
    </font>
    <font>
      <sz val="11"/>
      <color theme="1"/>
      <name val="Calibri"/>
      <family val="2"/>
    </font>
    <font>
      <sz val="10"/>
      <color theme="1"/>
      <name val="Arial"/>
      <family val="2"/>
    </font>
    <font>
      <b/>
      <sz val="11"/>
      <color theme="0"/>
      <name val="Calibri"/>
      <family val="2"/>
    </font>
    <font>
      <b/>
      <sz val="8"/>
      <color theme="0"/>
      <name val="Arial"/>
      <family val="2"/>
    </font>
    <font>
      <b/>
      <sz val="10"/>
      <color rgb="FFFFFFFF"/>
      <name val="Arial"/>
      <family val="2"/>
    </font>
    <font>
      <sz val="11"/>
      <color theme="1"/>
      <name val="Aptos"/>
      <family val="2"/>
    </font>
    <font>
      <sz val="12"/>
      <color theme="1"/>
      <name val="Aptos"/>
      <family val="2"/>
    </font>
    <font>
      <sz val="11"/>
      <name val="Calibri"/>
      <family val="2"/>
    </font>
    <font>
      <b/>
      <sz val="11"/>
      <name val="Calibri"/>
      <family val="2"/>
    </font>
    <font>
      <b/>
      <sz val="11"/>
      <color theme="1"/>
      <name val="Calibri"/>
      <family val="2"/>
      <charset val="1"/>
    </font>
    <font>
      <i/>
      <sz val="11"/>
      <color theme="1"/>
      <name val="Calibri"/>
      <family val="2"/>
      <charset val="1"/>
    </font>
    <font>
      <sz val="11"/>
      <color theme="1"/>
      <name val="CMU Sans Serif"/>
    </font>
  </fonts>
  <fills count="55">
    <fill>
      <patternFill patternType="none"/>
    </fill>
    <fill>
      <patternFill patternType="gray125"/>
    </fill>
    <fill>
      <patternFill patternType="solid">
        <fgColor rgb="FF2E4057"/>
        <bgColor rgb="FF333333"/>
      </patternFill>
    </fill>
    <fill>
      <patternFill patternType="solid">
        <fgColor rgb="FFEBF5FB"/>
        <bgColor rgb="FFEEF6FF"/>
      </patternFill>
    </fill>
    <fill>
      <patternFill patternType="solid">
        <fgColor rgb="FF1A5276"/>
        <bgColor rgb="FF2E4057"/>
      </patternFill>
    </fill>
    <fill>
      <patternFill patternType="solid">
        <fgColor rgb="FFD5D8DC"/>
        <bgColor rgb="FFCCCCCC"/>
      </patternFill>
    </fill>
    <fill>
      <patternFill patternType="solid">
        <fgColor rgb="FF2471A3"/>
        <bgColor rgb="FF008080"/>
      </patternFill>
    </fill>
    <fill>
      <patternFill patternType="solid">
        <fgColor rgb="FFD6EAF8"/>
        <bgColor rgb="FFD5F5E3"/>
      </patternFill>
    </fill>
    <fill>
      <patternFill patternType="solid">
        <fgColor rgb="FFD5F5E3"/>
        <bgColor rgb="FFD6EAF8"/>
      </patternFill>
    </fill>
    <fill>
      <patternFill patternType="solid">
        <fgColor rgb="FFFDEDEC"/>
        <bgColor rgb="FFF4ECF7"/>
      </patternFill>
    </fill>
    <fill>
      <patternFill patternType="solid">
        <fgColor rgb="FFF4ECF7"/>
        <bgColor rgb="FFEEF2F7"/>
      </patternFill>
    </fill>
    <fill>
      <patternFill patternType="solid">
        <fgColor rgb="FFFEF9E7"/>
        <bgColor rgb="FFFFFDE7"/>
      </patternFill>
    </fill>
    <fill>
      <patternFill patternType="solid">
        <fgColor rgb="FF1A9E7D"/>
        <bgColor rgb="FF1E8449"/>
      </patternFill>
    </fill>
    <fill>
      <patternFill patternType="solid">
        <fgColor rgb="FFB7950B"/>
        <bgColor rgb="FFFF9900"/>
      </patternFill>
    </fill>
    <fill>
      <patternFill patternType="solid">
        <fgColor rgb="FFA04000"/>
        <bgColor rgb="FF784212"/>
      </patternFill>
    </fill>
    <fill>
      <patternFill patternType="solid">
        <fgColor rgb="FF717D7E"/>
        <bgColor rgb="FF999999"/>
      </patternFill>
    </fill>
    <fill>
      <patternFill patternType="solid">
        <fgColor rgb="FF1E8449"/>
        <bgColor rgb="FF008080"/>
      </patternFill>
    </fill>
    <fill>
      <patternFill patternType="solid">
        <fgColor rgb="FF784212"/>
        <bgColor rgb="FFA04000"/>
      </patternFill>
    </fill>
    <fill>
      <patternFill patternType="solid">
        <fgColor rgb="FF6C3483"/>
        <bgColor rgb="FF555555"/>
      </patternFill>
    </fill>
    <fill>
      <patternFill patternType="solid">
        <fgColor rgb="FFFFFDE7"/>
        <bgColor rgb="FFFEF9E7"/>
      </patternFill>
    </fill>
    <fill>
      <patternFill patternType="solid">
        <fgColor rgb="FFF8F9FA"/>
        <bgColor rgb="FFF7F9FC"/>
      </patternFill>
    </fill>
    <fill>
      <patternFill patternType="solid">
        <fgColor rgb="FFFFF2CC"/>
        <bgColor indexed="64"/>
      </patternFill>
    </fill>
    <fill>
      <patternFill patternType="solid">
        <fgColor rgb="FFCFE2F3"/>
        <bgColor indexed="64"/>
      </patternFill>
    </fill>
    <fill>
      <patternFill patternType="solid">
        <fgColor rgb="FF09C3A0"/>
        <bgColor indexed="64"/>
      </patternFill>
    </fill>
    <fill>
      <patternFill patternType="solid">
        <fgColor rgb="FF09C3A0"/>
        <bgColor rgb="FF1E8449"/>
      </patternFill>
    </fill>
    <fill>
      <patternFill patternType="solid">
        <fgColor theme="6" tint="0.79998168889431442"/>
        <bgColor indexed="64"/>
      </patternFill>
    </fill>
    <fill>
      <patternFill patternType="solid">
        <fgColor rgb="FFEAD1DC"/>
        <bgColor indexed="64"/>
      </patternFill>
    </fill>
    <fill>
      <patternFill patternType="solid">
        <fgColor rgb="FFFFC000"/>
        <bgColor indexed="64"/>
      </patternFill>
    </fill>
    <fill>
      <patternFill patternType="solid">
        <fgColor rgb="FFFFC000"/>
        <bgColor rgb="FFFF9900"/>
      </patternFill>
    </fill>
    <fill>
      <patternFill patternType="solid">
        <fgColor theme="9" tint="0.79998168889431442"/>
        <bgColor indexed="64"/>
      </patternFill>
    </fill>
    <fill>
      <patternFill patternType="solid">
        <fgColor rgb="FFD9EAD3"/>
        <bgColor indexed="64"/>
      </patternFill>
    </fill>
    <fill>
      <patternFill patternType="solid">
        <fgColor rgb="FFC00000"/>
        <bgColor indexed="64"/>
      </patternFill>
    </fill>
    <fill>
      <patternFill patternType="solid">
        <fgColor rgb="FFC00000"/>
        <bgColor rgb="FF784212"/>
      </patternFill>
    </fill>
    <fill>
      <patternFill patternType="solid">
        <fgColor theme="5" tint="0.79998168889431442"/>
        <bgColor indexed="64"/>
      </patternFill>
    </fill>
    <fill>
      <patternFill patternType="solid">
        <fgColor rgb="FFFCE5CD"/>
        <bgColor indexed="64"/>
      </patternFill>
    </fill>
    <fill>
      <patternFill patternType="solid">
        <fgColor theme="1" tint="0.499984740745262"/>
        <bgColor indexed="64"/>
      </patternFill>
    </fill>
    <fill>
      <patternFill patternType="solid">
        <fgColor theme="1" tint="0.499984740745262"/>
        <bgColor rgb="FF999999"/>
      </patternFill>
    </fill>
    <fill>
      <patternFill patternType="solid">
        <fgColor theme="0" tint="-4.9989318521683403E-2"/>
        <bgColor indexed="64"/>
      </patternFill>
    </fill>
    <fill>
      <patternFill patternType="solid">
        <fgColor theme="3"/>
        <bgColor indexed="64"/>
      </patternFill>
    </fill>
    <fill>
      <patternFill patternType="solid">
        <fgColor theme="4" tint="0.79998168889431442"/>
        <bgColor indexed="64"/>
      </patternFill>
    </fill>
    <fill>
      <patternFill patternType="solid">
        <fgColor theme="0" tint="-0.499984740745262"/>
        <bgColor rgb="FF999999"/>
      </patternFill>
    </fill>
    <fill>
      <patternFill patternType="solid">
        <fgColor theme="0" tint="-0.499984740745262"/>
        <bgColor indexed="64"/>
      </patternFill>
    </fill>
    <fill>
      <patternFill patternType="solid">
        <fgColor theme="0"/>
        <bgColor indexed="64"/>
      </patternFill>
    </fill>
    <fill>
      <patternFill patternType="solid">
        <fgColor rgb="FFD9D2E9"/>
        <bgColor indexed="64"/>
      </patternFill>
    </fill>
    <fill>
      <patternFill patternType="solid">
        <fgColor rgb="FFF4CCCC"/>
        <bgColor indexed="64"/>
      </patternFill>
    </fill>
    <fill>
      <patternFill patternType="solid">
        <fgColor theme="3" tint="0.39997558519241921"/>
        <bgColor indexed="64"/>
      </patternFill>
    </fill>
    <fill>
      <patternFill patternType="solid">
        <fgColor theme="3" tint="0.39997558519241921"/>
        <bgColor rgb="FF008080"/>
      </patternFill>
    </fill>
    <fill>
      <patternFill patternType="solid">
        <fgColor theme="0"/>
        <bgColor rgb="FFF7F9FC"/>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FDE7"/>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FFF99"/>
        <bgColor indexed="64"/>
      </patternFill>
    </fill>
    <fill>
      <patternFill patternType="solid">
        <fgColor rgb="FFFFFFCC"/>
        <bgColor indexed="64"/>
      </patternFill>
    </fill>
  </fills>
  <borders count="124">
    <border>
      <left/>
      <right/>
      <top/>
      <bottom/>
      <diagonal/>
    </border>
    <border>
      <left style="thin">
        <color rgb="FFCCCCCC"/>
      </left>
      <right style="thin">
        <color rgb="FFCCCCCC"/>
      </right>
      <top style="thin">
        <color rgb="FFCCCCCC"/>
      </top>
      <bottom style="thin">
        <color rgb="FFCCCCCC"/>
      </bottom>
      <diagonal/>
    </border>
    <border>
      <left style="medium">
        <color rgb="FF999999"/>
      </left>
      <right style="medium">
        <color rgb="FF999999"/>
      </right>
      <top style="medium">
        <color rgb="FF999999"/>
      </top>
      <bottom style="medium">
        <color rgb="FF999999"/>
      </bottom>
      <diagonal/>
    </border>
    <border>
      <left style="medium">
        <color rgb="FFCCCCCC"/>
      </left>
      <right style="medium">
        <color rgb="FFCCCCCC"/>
      </right>
      <top style="medium">
        <color rgb="FFCCCCCC"/>
      </top>
      <bottom style="medium">
        <color rgb="FFCCCCCC"/>
      </bottom>
      <diagonal/>
    </border>
    <border>
      <left style="medium">
        <color rgb="FF2E4057"/>
      </left>
      <right style="medium">
        <color rgb="FF2E4057"/>
      </right>
      <top style="medium">
        <color rgb="FF2E4057"/>
      </top>
      <bottom/>
      <diagonal/>
    </border>
    <border>
      <left style="medium">
        <color rgb="FFCCCCCC"/>
      </left>
      <right style="medium">
        <color rgb="FFCCCCCC"/>
      </right>
      <top/>
      <bottom style="medium">
        <color rgb="FFCCCCCC"/>
      </bottom>
      <diagonal/>
    </border>
    <border>
      <left style="medium">
        <color rgb="FF999999"/>
      </left>
      <right style="medium">
        <color rgb="FF999999"/>
      </right>
      <top/>
      <bottom style="medium">
        <color rgb="FF999999"/>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999999"/>
      </left>
      <right style="medium">
        <color rgb="FF999999"/>
      </right>
      <top style="medium">
        <color rgb="FF999999"/>
      </top>
      <bottom/>
      <diagonal/>
    </border>
    <border>
      <left style="medium">
        <color rgb="FFCCCCCC"/>
      </left>
      <right style="medium">
        <color rgb="FFCCCCCC"/>
      </right>
      <top style="medium">
        <color rgb="FF000000"/>
      </top>
      <bottom style="medium">
        <color rgb="FFCCCCCC"/>
      </bottom>
      <diagonal/>
    </border>
    <border>
      <left style="medium">
        <color rgb="FF2E4057"/>
      </left>
      <right/>
      <top style="medium">
        <color rgb="FF2E4057"/>
      </top>
      <bottom/>
      <diagonal/>
    </border>
    <border>
      <left style="thin">
        <color indexed="64"/>
      </left>
      <right/>
      <top style="thin">
        <color indexed="64"/>
      </top>
      <bottom style="thin">
        <color indexed="64"/>
      </bottom>
      <diagonal/>
    </border>
    <border>
      <left style="medium">
        <color rgb="FF999999"/>
      </left>
      <right/>
      <top/>
      <bottom style="medium">
        <color rgb="FF999999"/>
      </bottom>
      <diagonal/>
    </border>
    <border>
      <left style="medium">
        <color rgb="FF999999"/>
      </left>
      <right/>
      <top style="medium">
        <color rgb="FF999999"/>
      </top>
      <bottom style="medium">
        <color rgb="FF999999"/>
      </bottom>
      <diagonal/>
    </border>
    <border>
      <left style="medium">
        <color rgb="FF999999"/>
      </left>
      <right/>
      <top style="medium">
        <color rgb="FF999999"/>
      </top>
      <bottom/>
      <diagonal/>
    </border>
    <border>
      <left/>
      <right style="medium">
        <color rgb="FF2E4057"/>
      </right>
      <top style="medium">
        <color rgb="FF2E4057"/>
      </top>
      <bottom/>
      <diagonal/>
    </border>
    <border>
      <left/>
      <right style="thin">
        <color indexed="64"/>
      </right>
      <top style="thin">
        <color indexed="64"/>
      </top>
      <bottom style="thin">
        <color indexed="64"/>
      </bottom>
      <diagonal/>
    </border>
    <border>
      <left/>
      <right style="thin">
        <color rgb="FFCCCCCC"/>
      </right>
      <top/>
      <bottom style="thin">
        <color rgb="FFCCCCCC"/>
      </bottom>
      <diagonal/>
    </border>
    <border>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rgb="FF2E4057"/>
      </right>
      <top/>
      <bottom style="thin">
        <color rgb="FFCCCCCC"/>
      </bottom>
      <diagonal/>
    </border>
    <border>
      <left/>
      <right style="medium">
        <color rgb="FF2E4057"/>
      </right>
      <top style="thin">
        <color rgb="FFCCCCCC"/>
      </top>
      <bottom style="thin">
        <color rgb="FFCCCCCC"/>
      </bottom>
      <diagonal/>
    </border>
    <border>
      <left/>
      <right style="thin">
        <color rgb="FFCCCCCC"/>
      </right>
      <top style="thin">
        <color rgb="FFCCCCCC"/>
      </top>
      <bottom/>
      <diagonal/>
    </border>
    <border>
      <left/>
      <right/>
      <top style="medium">
        <color rgb="FF2E4057"/>
      </top>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theme="0" tint="-0.499984740745262"/>
      </left>
      <right style="thin">
        <color theme="0" tint="-0.499984740745262"/>
      </right>
      <top/>
      <bottom style="thin">
        <color theme="0" tint="-0.499984740745262"/>
      </bottom>
      <diagonal/>
    </border>
    <border>
      <left/>
      <right style="thin">
        <color indexed="64"/>
      </right>
      <top/>
      <bottom style="thin">
        <color indexed="64"/>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right style="medium">
        <color rgb="FFCCCCCC"/>
      </right>
      <top style="medium">
        <color rgb="FFCCCCCC"/>
      </top>
      <bottom/>
      <diagonal/>
    </border>
    <border>
      <left style="thin">
        <color theme="0" tint="-0.499984740745262"/>
      </left>
      <right style="thin">
        <color theme="0" tint="-0.499984740745262"/>
      </right>
      <top style="thin">
        <color rgb="FF000000"/>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rgb="FF000000"/>
      </bottom>
      <diagonal/>
    </border>
    <border>
      <left/>
      <right/>
      <top style="thin">
        <color theme="0" tint="-0.499984740745262"/>
      </top>
      <bottom/>
      <diagonal/>
    </border>
    <border>
      <left/>
      <right/>
      <top style="thin">
        <color rgb="FF000000"/>
      </top>
      <bottom style="thin">
        <color rgb="FF000000"/>
      </bottom>
      <diagonal/>
    </border>
    <border>
      <left/>
      <right/>
      <top/>
      <bottom style="thin">
        <color rgb="FF000000"/>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indexed="64"/>
      </bottom>
      <diagonal/>
    </border>
    <border>
      <left style="thin">
        <color theme="0" tint="-0.499984740745262"/>
      </left>
      <right style="thin">
        <color theme="0" tint="-0.499984740745262"/>
      </right>
      <top style="thin">
        <color indexed="64"/>
      </top>
      <bottom style="thin">
        <color indexed="64"/>
      </bottom>
      <diagonal/>
    </border>
    <border>
      <left/>
      <right/>
      <top style="thin">
        <color indexed="64"/>
      </top>
      <bottom/>
      <diagonal/>
    </border>
    <border>
      <left style="thin">
        <color theme="0" tint="-0.499984740745262"/>
      </left>
      <right style="thin">
        <color theme="0" tint="-0.499984740745262"/>
      </right>
      <top style="thin">
        <color indexed="64"/>
      </top>
      <bottom/>
      <diagonal/>
    </border>
    <border>
      <left/>
      <right style="medium">
        <color rgb="FF999999"/>
      </right>
      <top style="medium">
        <color rgb="FF999999"/>
      </top>
      <bottom style="medium">
        <color rgb="FF999999"/>
      </bottom>
      <diagonal/>
    </border>
    <border>
      <left/>
      <right style="medium">
        <color rgb="FFCCCCCC"/>
      </right>
      <top/>
      <bottom style="medium">
        <color rgb="FFCCCCCC"/>
      </bottom>
      <diagonal/>
    </border>
    <border>
      <left style="medium">
        <color rgb="FFCCCCCC"/>
      </left>
      <right/>
      <top/>
      <bottom style="medium">
        <color rgb="FFCCCCCC"/>
      </bottom>
      <diagonal/>
    </border>
    <border>
      <left/>
      <right style="thin">
        <color rgb="FFCCCCCC"/>
      </right>
      <top/>
      <bottom/>
      <diagonal/>
    </border>
    <border>
      <left/>
      <right style="thin">
        <color theme="0" tint="-0.499984740745262"/>
      </right>
      <top style="thin">
        <color theme="0" tint="-0.499984740745262"/>
      </top>
      <bottom style="thin">
        <color rgb="FFCCCCCC"/>
      </bottom>
      <diagonal/>
    </border>
    <border>
      <left/>
      <right style="thin">
        <color theme="0" tint="-0.499984740745262"/>
      </right>
      <top style="thin">
        <color rgb="FFCCCCCC"/>
      </top>
      <bottom/>
      <diagonal/>
    </border>
    <border>
      <left/>
      <right style="thin">
        <color rgb="FFCCCCCC"/>
      </right>
      <top style="thin">
        <color theme="0" tint="-0.499984740745262"/>
      </top>
      <bottom style="thin">
        <color theme="0" tint="-0.499984740745262"/>
      </bottom>
      <diagonal/>
    </border>
    <border>
      <left style="medium">
        <color rgb="FFCCCCCC"/>
      </left>
      <right style="thin">
        <color theme="0" tint="-0.499984740745262"/>
      </right>
      <top style="thin">
        <color theme="0" tint="-0.499984740745262"/>
      </top>
      <bottom style="thin">
        <color theme="0" tint="-0.499984740745262"/>
      </bottom>
      <diagonal/>
    </border>
    <border>
      <left/>
      <right/>
      <top/>
      <bottom style="medium">
        <color rgb="FF999999"/>
      </bottom>
      <diagonal/>
    </border>
    <border>
      <left/>
      <right/>
      <top style="medium">
        <color rgb="FF999999"/>
      </top>
      <bottom/>
      <diagonal/>
    </border>
    <border>
      <left style="medium">
        <color rgb="FFCCCCCC"/>
      </left>
      <right/>
      <top/>
      <bottom/>
      <diagonal/>
    </border>
    <border>
      <left style="thin">
        <color theme="0" tint="-0.499984740745262"/>
      </left>
      <right/>
      <top/>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indexed="64"/>
      </bottom>
      <diagonal/>
    </border>
    <border>
      <left style="medium">
        <color theme="0" tint="-0.499984740745262"/>
      </left>
      <right style="medium">
        <color theme="0" tint="-0.499984740745262"/>
      </right>
      <top style="thin">
        <color indexed="64"/>
      </top>
      <bottom style="thin">
        <color indexed="64"/>
      </bottom>
      <diagonal/>
    </border>
    <border>
      <left style="medium">
        <color theme="0" tint="-0.499984740745262"/>
      </left>
      <right style="medium">
        <color theme="0" tint="-0.499984740745262"/>
      </right>
      <top style="thin">
        <color indexed="64"/>
      </top>
      <bottom style="medium">
        <color theme="0" tint="-0.499984740745262"/>
      </bottom>
      <diagonal/>
    </border>
    <border>
      <left style="medium">
        <color rgb="FF000000"/>
      </left>
      <right/>
      <top style="medium">
        <color rgb="FF000000"/>
      </top>
      <bottom/>
      <diagonal/>
    </border>
    <border>
      <left style="medium">
        <color theme="0" tint="-0.499984740745262"/>
      </left>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medium">
        <color theme="0" tint="-0.499984740745262"/>
      </left>
      <right style="medium">
        <color theme="0" tint="-0.499984740745262"/>
      </right>
      <top/>
      <bottom style="thin">
        <color theme="0" tint="-0.499984740745262"/>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bottom style="thin">
        <color theme="0" tint="-0.499984740745262"/>
      </bottom>
      <diagonal/>
    </border>
    <border>
      <left style="medium">
        <color theme="0" tint="-0.499984740745262"/>
      </left>
      <right/>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right style="medium">
        <color rgb="FF000000"/>
      </right>
      <top style="medium">
        <color rgb="FF000000"/>
      </top>
      <bottom/>
      <diagonal/>
    </border>
    <border>
      <left style="thin">
        <color indexed="64"/>
      </left>
      <right style="thin">
        <color indexed="64"/>
      </right>
      <top style="thin">
        <color indexed="64"/>
      </top>
      <bottom/>
      <diagonal/>
    </border>
    <border>
      <left style="thin">
        <color indexed="64"/>
      </left>
      <right style="thin">
        <color theme="0" tint="-0.499984740745262"/>
      </right>
      <top style="thin">
        <color indexed="64"/>
      </top>
      <bottom/>
      <diagonal/>
    </border>
    <border>
      <left style="thin">
        <color theme="0" tint="-0.499984740745262"/>
      </left>
      <right style="thin">
        <color theme="0" tint="-0.499984740745262"/>
      </right>
      <top style="medium">
        <color theme="0" tint="-0.499984740745262"/>
      </top>
      <bottom/>
      <diagonal/>
    </border>
    <border>
      <left style="medium">
        <color rgb="FF999999"/>
      </left>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right/>
      <top style="medium">
        <color theme="0" tint="-0.499984740745262"/>
      </top>
      <bottom/>
      <diagonal/>
    </border>
    <border>
      <left style="medium">
        <color theme="0" tint="-0.499984740745262"/>
      </left>
      <right style="medium">
        <color rgb="FF999999"/>
      </right>
      <top style="medium">
        <color theme="0" tint="-0.499984740745262"/>
      </top>
      <bottom/>
      <diagonal/>
    </border>
    <border>
      <left style="medium">
        <color rgb="FF999999"/>
      </left>
      <right/>
      <top style="medium">
        <color theme="0" tint="-0.499984740745262"/>
      </top>
      <bottom/>
      <diagonal/>
    </border>
    <border>
      <left style="thin">
        <color theme="0" tint="-0.499984740745262"/>
      </left>
      <right style="medium">
        <color theme="0" tint="-0.499984740745262"/>
      </right>
      <top style="medium">
        <color theme="0" tint="-0.499984740745262"/>
      </top>
      <bottom/>
      <diagonal/>
    </border>
    <border>
      <left/>
      <right style="medium">
        <color theme="0" tint="-0.499984740745262"/>
      </right>
      <top style="medium">
        <color theme="0" tint="-0.499984740745262"/>
      </top>
      <bottom style="thin">
        <color rgb="FFCCCCCC"/>
      </bottom>
      <diagonal/>
    </border>
    <border>
      <left/>
      <right style="medium">
        <color theme="0" tint="-0.499984740745262"/>
      </right>
      <top style="thin">
        <color rgb="FFCCCCCC"/>
      </top>
      <bottom style="medium">
        <color theme="0" tint="-0.499984740745262"/>
      </bottom>
      <diagonal/>
    </border>
    <border>
      <left style="thin">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bottom style="medium">
        <color theme="0" tint="-0.499984740745262"/>
      </bottom>
      <diagonal/>
    </border>
    <border>
      <left/>
      <right style="medium">
        <color theme="0" tint="-0.499984740745262"/>
      </right>
      <top/>
      <bottom/>
      <diagonal/>
    </border>
    <border>
      <left style="medium">
        <color theme="0" tint="-0.499984740745262"/>
      </left>
      <right/>
      <top/>
      <bottom/>
      <diagonal/>
    </border>
    <border>
      <left style="medium">
        <color theme="0" tint="-0.499984740745262"/>
      </left>
      <right style="medium">
        <color theme="0" tint="-0.499984740745262"/>
      </right>
      <top style="thin">
        <color theme="0" tint="-0.499984740745262"/>
      </top>
      <bottom/>
      <diagonal/>
    </border>
    <border>
      <left/>
      <right/>
      <top/>
      <bottom style="medium">
        <color theme="0" tint="-0.499984740745262"/>
      </bottom>
      <diagonal/>
    </border>
    <border>
      <left/>
      <right style="medium">
        <color rgb="FFCCCCCC"/>
      </right>
      <top style="medium">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medium">
        <color rgb="FF999999"/>
      </bottom>
      <diagonal/>
    </border>
    <border>
      <left style="medium">
        <color theme="0" tint="-0.499984740745262"/>
      </left>
      <right style="medium">
        <color theme="0" tint="-0.499984740745262"/>
      </right>
      <top style="medium">
        <color rgb="FF999999"/>
      </top>
      <bottom/>
      <diagonal/>
    </border>
    <border>
      <left style="medium">
        <color theme="0" tint="-0.499984740745262"/>
      </left>
      <right style="medium">
        <color theme="0" tint="-0.499984740745262"/>
      </right>
      <top/>
      <bottom style="medium">
        <color rgb="FF999999"/>
      </bottom>
      <diagonal/>
    </border>
    <border>
      <left style="medium">
        <color theme="0" tint="-0.499984740745262"/>
      </left>
      <right style="medium">
        <color theme="0" tint="-0.499984740745262"/>
      </right>
      <top style="medium">
        <color rgb="FF999999"/>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diagonal/>
    </border>
    <border>
      <left/>
      <right style="medium">
        <color theme="0" tint="-0.499984740745262"/>
      </right>
      <top style="medium">
        <color rgb="FF999999"/>
      </top>
      <bottom style="medium">
        <color theme="0" tint="-0.499984740745262"/>
      </bottom>
      <diagonal/>
    </border>
    <border>
      <left/>
      <right style="medium">
        <color rgb="FFCCCCCC"/>
      </right>
      <top style="medium">
        <color theme="0" tint="-0.499984740745262"/>
      </top>
      <bottom/>
      <diagonal/>
    </border>
    <border>
      <left style="medium">
        <color rgb="FF999999"/>
      </left>
      <right style="medium">
        <color rgb="FF999999"/>
      </right>
      <top style="medium">
        <color theme="0" tint="-0.499984740745262"/>
      </top>
      <bottom/>
      <diagonal/>
    </border>
    <border>
      <left/>
      <right style="thin">
        <color theme="0" tint="-0.499984740745262"/>
      </right>
      <top style="medium">
        <color theme="0" tint="-0.499984740745262"/>
      </top>
      <bottom/>
      <diagonal/>
    </border>
    <border>
      <left style="medium">
        <color theme="0" tint="-0.499984740745262"/>
      </left>
      <right/>
      <top style="medium">
        <color theme="0" tint="-0.499984740745262"/>
      </top>
      <bottom/>
      <diagonal/>
    </border>
    <border>
      <left style="medium">
        <color theme="0" tint="-0.499984740745262"/>
      </left>
      <right/>
      <top style="thin">
        <color theme="0" tint="-0.499984740745262"/>
      </top>
      <bottom style="medium">
        <color theme="0" tint="-0.499984740745262"/>
      </bottom>
      <diagonal/>
    </border>
    <border>
      <left/>
      <right style="medium">
        <color theme="0" tint="-0.499984740745262"/>
      </right>
      <top style="medium">
        <color theme="0" tint="-0.499984740745262"/>
      </top>
      <bottom/>
      <diagonal/>
    </border>
    <border>
      <left/>
      <right/>
      <top/>
      <bottom style="thin">
        <color indexed="64"/>
      </bottom>
      <diagonal/>
    </border>
    <border>
      <left style="medium">
        <color rgb="FFCCCCCC"/>
      </left>
      <right style="thin">
        <color theme="0" tint="-0.499984740745262"/>
      </right>
      <top style="medium">
        <color rgb="FFCCCCCC"/>
      </top>
      <bottom style="thin">
        <color indexed="64"/>
      </bottom>
      <diagonal/>
    </border>
    <border>
      <left style="thin">
        <color theme="0" tint="-0.499984740745262"/>
      </left>
      <right style="thin">
        <color theme="0" tint="-0.499984740745262"/>
      </right>
      <top style="thin">
        <color rgb="FF000000"/>
      </top>
      <bottom style="thin">
        <color indexed="64"/>
      </bottom>
      <diagonal/>
    </border>
    <border>
      <left/>
      <right/>
      <top style="thin">
        <color rgb="FF000000"/>
      </top>
      <bottom style="thin">
        <color indexed="64"/>
      </bottom>
      <diagonal/>
    </border>
    <border>
      <left/>
      <right style="medium">
        <color rgb="FFCCCCCC"/>
      </right>
      <top style="medium">
        <color rgb="FFCCCCCC"/>
      </top>
      <bottom style="thin">
        <color indexed="64"/>
      </bottom>
      <diagonal/>
    </border>
    <border>
      <left style="medium">
        <color rgb="FF999999"/>
      </left>
      <right style="medium">
        <color rgb="FF999999"/>
      </right>
      <top style="medium">
        <color rgb="FF999999"/>
      </top>
      <bottom style="thin">
        <color indexed="64"/>
      </bottom>
      <diagonal/>
    </border>
    <border>
      <left style="medium">
        <color rgb="FF999999"/>
      </left>
      <right/>
      <top style="medium">
        <color rgb="FF999999"/>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medium">
        <color rgb="FFCCCCCC"/>
      </left>
      <right style="medium">
        <color rgb="FFCCCCCC"/>
      </right>
      <top style="medium">
        <color rgb="FFCCCCCC"/>
      </top>
      <bottom style="thin">
        <color indexed="64"/>
      </bottom>
      <diagonal/>
    </border>
    <border>
      <left/>
      <right style="medium">
        <color rgb="FF2E4057"/>
      </right>
      <top style="thin">
        <color rgb="FFCCCCCC"/>
      </top>
      <bottom style="thin">
        <color indexed="64"/>
      </bottom>
      <diagonal/>
    </border>
    <border>
      <left/>
      <right style="thin">
        <color rgb="FFCCCCCC"/>
      </right>
      <top style="thin">
        <color rgb="FFCCCCCC"/>
      </top>
      <bottom style="thin">
        <color indexed="64"/>
      </bottom>
      <diagonal/>
    </border>
    <border>
      <left style="thin">
        <color theme="0" tint="-0.499984740745262"/>
      </left>
      <right style="thin">
        <color theme="0" tint="-0.499984740745262"/>
      </right>
      <top/>
      <bottom/>
      <diagonal/>
    </border>
    <border>
      <left/>
      <right/>
      <top style="medium">
        <color rgb="FF999999"/>
      </top>
      <bottom style="medium">
        <color rgb="FF999999"/>
      </bottom>
      <diagonal/>
    </border>
    <border>
      <left style="thin">
        <color theme="0" tint="-0.499984740745262"/>
      </left>
      <right/>
      <top style="medium">
        <color rgb="FF2E4057"/>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indexed="64"/>
      </top>
      <bottom style="thin">
        <color indexed="64"/>
      </bottom>
      <diagonal/>
    </border>
    <border>
      <left/>
      <right/>
      <top style="thin">
        <color rgb="FFCCCCCC"/>
      </top>
      <bottom style="thin">
        <color rgb="FFCCCCCC"/>
      </bottom>
      <diagonal/>
    </border>
  </borders>
  <cellStyleXfs count="3">
    <xf numFmtId="0" fontId="0" fillId="0" borderId="0"/>
    <xf numFmtId="0" fontId="2" fillId="0" borderId="0"/>
    <xf numFmtId="0" fontId="1" fillId="0" borderId="0"/>
  </cellStyleXfs>
  <cellXfs count="361">
    <xf numFmtId="0" fontId="0" fillId="0" borderId="0" xfId="0"/>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8" fillId="9" borderId="1" xfId="0" applyFont="1" applyFill="1" applyBorder="1" applyAlignment="1">
      <alignment horizontal="center" vertical="center"/>
    </xf>
    <xf numFmtId="0" fontId="8" fillId="10" borderId="1" xfId="0" applyFont="1" applyFill="1" applyBorder="1" applyAlignment="1">
      <alignment horizontal="center" vertical="center"/>
    </xf>
    <xf numFmtId="0" fontId="9" fillId="3" borderId="1" xfId="0" applyFont="1" applyFill="1" applyBorder="1" applyAlignment="1">
      <alignment horizontal="center" vertical="center"/>
    </xf>
    <xf numFmtId="9" fontId="8" fillId="11" borderId="1" xfId="0" applyNumberFormat="1" applyFont="1" applyFill="1" applyBorder="1" applyAlignment="1">
      <alignment horizontal="center" vertical="center"/>
    </xf>
    <xf numFmtId="0" fontId="7" fillId="12" borderId="1" xfId="0" applyFont="1" applyFill="1" applyBorder="1" applyAlignment="1">
      <alignment horizontal="center" vertical="center"/>
    </xf>
    <xf numFmtId="0" fontId="7" fillId="13" borderId="1" xfId="0" applyFont="1" applyFill="1" applyBorder="1" applyAlignment="1">
      <alignment horizontal="center" vertical="center"/>
    </xf>
    <xf numFmtId="0" fontId="7" fillId="14" borderId="1" xfId="0" applyFont="1" applyFill="1" applyBorder="1" applyAlignment="1">
      <alignment horizontal="center" vertical="center"/>
    </xf>
    <xf numFmtId="0" fontId="7" fillId="15" borderId="1" xfId="0" applyFont="1" applyFill="1" applyBorder="1" applyAlignment="1">
      <alignment horizontal="center" vertical="center"/>
    </xf>
    <xf numFmtId="0" fontId="0" fillId="19" borderId="2" xfId="0" applyFill="1" applyBorder="1" applyAlignment="1">
      <alignment horizontal="center" vertical="center"/>
    </xf>
    <xf numFmtId="0" fontId="13" fillId="0" borderId="3" xfId="0" applyFont="1" applyBorder="1" applyAlignment="1">
      <alignment wrapText="1"/>
    </xf>
    <xf numFmtId="0" fontId="13" fillId="0" borderId="3" xfId="0" applyFont="1" applyBorder="1" applyAlignment="1">
      <alignment vertical="center" wrapText="1"/>
    </xf>
    <xf numFmtId="0" fontId="0" fillId="0" borderId="0" xfId="0" applyAlignment="1">
      <alignment horizontal="center"/>
    </xf>
    <xf numFmtId="0" fontId="13" fillId="22" borderId="3" xfId="0" applyFont="1" applyFill="1" applyBorder="1" applyAlignment="1">
      <alignment wrapText="1"/>
    </xf>
    <xf numFmtId="0" fontId="13" fillId="30" borderId="3" xfId="0" applyFont="1" applyFill="1" applyBorder="1" applyAlignment="1">
      <alignment wrapText="1"/>
    </xf>
    <xf numFmtId="0" fontId="12" fillId="33" borderId="3" xfId="0" applyFont="1" applyFill="1" applyBorder="1" applyAlignment="1">
      <alignment wrapText="1"/>
    </xf>
    <xf numFmtId="0" fontId="0" fillId="0" borderId="0" xfId="0" applyAlignment="1">
      <alignment horizontal="center" vertical="center"/>
    </xf>
    <xf numFmtId="0" fontId="12" fillId="25" borderId="3" xfId="0" applyFont="1" applyFill="1" applyBorder="1" applyAlignment="1">
      <alignment vertical="center" wrapText="1"/>
    </xf>
    <xf numFmtId="0" fontId="12" fillId="29" borderId="3" xfId="0" applyFont="1" applyFill="1" applyBorder="1" applyAlignment="1">
      <alignment vertical="center" wrapText="1"/>
    </xf>
    <xf numFmtId="0" fontId="12" fillId="39" borderId="3" xfId="0" applyFont="1" applyFill="1" applyBorder="1" applyAlignment="1">
      <alignment vertical="center" wrapText="1"/>
    </xf>
    <xf numFmtId="0" fontId="12" fillId="33" borderId="3" xfId="0" applyFont="1" applyFill="1" applyBorder="1" applyAlignment="1">
      <alignment vertical="center" wrapText="1"/>
    </xf>
    <xf numFmtId="0" fontId="17" fillId="33" borderId="3" xfId="0" applyFont="1" applyFill="1" applyBorder="1" applyAlignment="1">
      <alignment vertical="center" wrapText="1"/>
    </xf>
    <xf numFmtId="0" fontId="18" fillId="33" borderId="3" xfId="0" applyFont="1" applyFill="1" applyBorder="1" applyAlignment="1">
      <alignment vertical="center" wrapText="1"/>
    </xf>
    <xf numFmtId="0" fontId="12" fillId="37" borderId="3" xfId="0" applyFont="1" applyFill="1" applyBorder="1" applyAlignment="1">
      <alignment vertical="center" wrapText="1"/>
    </xf>
    <xf numFmtId="0" fontId="16" fillId="4" borderId="4" xfId="0" applyFont="1" applyFill="1" applyBorder="1" applyAlignment="1">
      <alignment vertical="center"/>
    </xf>
    <xf numFmtId="0" fontId="10" fillId="4" borderId="4" xfId="0" applyFont="1" applyFill="1" applyBorder="1" applyAlignment="1">
      <alignment vertical="center"/>
    </xf>
    <xf numFmtId="0" fontId="10" fillId="4" borderId="4" xfId="0" applyFont="1" applyFill="1" applyBorder="1" applyAlignment="1">
      <alignment horizontal="center" vertical="center"/>
    </xf>
    <xf numFmtId="0" fontId="0" fillId="19" borderId="6" xfId="0" applyFill="1" applyBorder="1" applyAlignment="1">
      <alignment horizontal="center" vertical="center"/>
    </xf>
    <xf numFmtId="0" fontId="0" fillId="2" borderId="8" xfId="0" applyFill="1" applyBorder="1"/>
    <xf numFmtId="0" fontId="0" fillId="2" borderId="8" xfId="0" applyFill="1" applyBorder="1" applyAlignment="1">
      <alignment horizontal="center" vertical="center"/>
    </xf>
    <xf numFmtId="0" fontId="15" fillId="28" borderId="7" xfId="0" applyFont="1" applyFill="1" applyBorder="1" applyAlignment="1">
      <alignment horizontal="center" vertical="center" wrapText="1"/>
    </xf>
    <xf numFmtId="0" fontId="15" fillId="32" borderId="7" xfId="0" applyFont="1" applyFill="1" applyBorder="1" applyAlignment="1">
      <alignment horizontal="center" vertical="center" wrapText="1"/>
    </xf>
    <xf numFmtId="0" fontId="15" fillId="36" borderId="7" xfId="0" applyFont="1" applyFill="1" applyBorder="1" applyAlignment="1">
      <alignment horizontal="center" vertical="center" wrapText="1"/>
    </xf>
    <xf numFmtId="0" fontId="15" fillId="24" borderId="7" xfId="0" applyFont="1" applyFill="1" applyBorder="1" applyAlignment="1">
      <alignment horizontal="center" vertical="center" wrapText="1"/>
    </xf>
    <xf numFmtId="0" fontId="15" fillId="40" borderId="7" xfId="0" applyFont="1" applyFill="1" applyBorder="1" applyAlignment="1">
      <alignment horizontal="center" vertical="center" wrapText="1"/>
    </xf>
    <xf numFmtId="0" fontId="0" fillId="0" borderId="7" xfId="0" applyBorder="1" applyAlignment="1">
      <alignment horizontal="center" vertical="center"/>
    </xf>
    <xf numFmtId="0" fontId="12" fillId="0" borderId="3" xfId="0" applyFont="1" applyBorder="1" applyAlignment="1">
      <alignment horizontal="center" wrapText="1"/>
    </xf>
    <xf numFmtId="0" fontId="13" fillId="21" borderId="3" xfId="0" applyFont="1" applyFill="1" applyBorder="1" applyAlignment="1">
      <alignment vertical="center" wrapText="1"/>
    </xf>
    <xf numFmtId="0" fontId="12" fillId="0" borderId="10" xfId="0" applyFont="1" applyBorder="1" applyAlignment="1">
      <alignment horizontal="center" wrapText="1"/>
    </xf>
    <xf numFmtId="0" fontId="0" fillId="19" borderId="11" xfId="0" applyFill="1" applyBorder="1" applyAlignment="1">
      <alignment horizontal="center" vertical="center"/>
    </xf>
    <xf numFmtId="0" fontId="13" fillId="0" borderId="5" xfId="0" applyFont="1" applyBorder="1" applyAlignment="1">
      <alignment wrapText="1"/>
    </xf>
    <xf numFmtId="0" fontId="13" fillId="0" borderId="5" xfId="0" applyFont="1" applyBorder="1" applyAlignment="1">
      <alignment vertical="center" wrapText="1"/>
    </xf>
    <xf numFmtId="0" fontId="13" fillId="0" borderId="0" xfId="0" applyFont="1" applyAlignment="1">
      <alignment wrapText="1"/>
    </xf>
    <xf numFmtId="0" fontId="13" fillId="0" borderId="0" xfId="0" applyFont="1" applyAlignment="1">
      <alignment vertical="center" wrapText="1"/>
    </xf>
    <xf numFmtId="0" fontId="14" fillId="23" borderId="9" xfId="0" applyFont="1" applyFill="1" applyBorder="1" applyAlignment="1">
      <alignment horizontal="center" vertical="center" wrapText="1"/>
    </xf>
    <xf numFmtId="0" fontId="12" fillId="25" borderId="3" xfId="0" applyFont="1" applyFill="1" applyBorder="1" applyAlignment="1">
      <alignment wrapText="1"/>
    </xf>
    <xf numFmtId="0" fontId="13" fillId="26" borderId="3" xfId="0" applyFont="1" applyFill="1" applyBorder="1" applyAlignment="1">
      <alignment wrapText="1"/>
    </xf>
    <xf numFmtId="0" fontId="14" fillId="27" borderId="9" xfId="0" applyFont="1" applyFill="1" applyBorder="1" applyAlignment="1">
      <alignment horizontal="center" vertical="center" wrapText="1"/>
    </xf>
    <xf numFmtId="0" fontId="12" fillId="29" borderId="3" xfId="0" applyFont="1" applyFill="1" applyBorder="1" applyAlignment="1">
      <alignment wrapText="1"/>
    </xf>
    <xf numFmtId="0" fontId="14" fillId="31" borderId="9" xfId="0" applyFont="1" applyFill="1" applyBorder="1" applyAlignment="1">
      <alignment horizontal="center" vertical="center" wrapText="1"/>
    </xf>
    <xf numFmtId="0" fontId="13" fillId="34" borderId="3" xfId="0" applyFont="1" applyFill="1" applyBorder="1" applyAlignment="1">
      <alignment wrapText="1"/>
    </xf>
    <xf numFmtId="0" fontId="14" fillId="41" borderId="9" xfId="0" applyFont="1" applyFill="1" applyBorder="1" applyAlignment="1">
      <alignment horizontal="center" vertical="center" wrapText="1"/>
    </xf>
    <xf numFmtId="0" fontId="12" fillId="37" borderId="3" xfId="0" applyFont="1" applyFill="1" applyBorder="1" applyAlignment="1">
      <alignment wrapText="1"/>
    </xf>
    <xf numFmtId="0" fontId="13" fillId="21" borderId="5" xfId="0" applyFont="1" applyFill="1" applyBorder="1" applyAlignment="1">
      <alignment vertical="center" wrapText="1"/>
    </xf>
    <xf numFmtId="0" fontId="0" fillId="42" borderId="0" xfId="0" applyFill="1"/>
    <xf numFmtId="0" fontId="13" fillId="42" borderId="0" xfId="0" applyFont="1" applyFill="1" applyAlignment="1">
      <alignment vertical="center" wrapText="1"/>
    </xf>
    <xf numFmtId="0" fontId="13" fillId="22" borderId="3" xfId="0" applyFont="1" applyFill="1" applyBorder="1" applyAlignment="1">
      <alignment vertical="center" wrapText="1"/>
    </xf>
    <xf numFmtId="0" fontId="13" fillId="22" borderId="5" xfId="0" applyFont="1" applyFill="1" applyBorder="1" applyAlignment="1">
      <alignment vertical="center" wrapText="1"/>
    </xf>
    <xf numFmtId="0" fontId="13" fillId="26" borderId="3" xfId="0" applyFont="1" applyFill="1" applyBorder="1" applyAlignment="1">
      <alignment vertical="center" wrapText="1"/>
    </xf>
    <xf numFmtId="0" fontId="13" fillId="26" borderId="5" xfId="0" applyFont="1" applyFill="1" applyBorder="1" applyAlignment="1">
      <alignment vertical="center" wrapText="1"/>
    </xf>
    <xf numFmtId="0" fontId="13" fillId="43" borderId="3" xfId="0" applyFont="1" applyFill="1" applyBorder="1" applyAlignment="1">
      <alignment vertical="center" wrapText="1"/>
    </xf>
    <xf numFmtId="0" fontId="13" fillId="43" borderId="5" xfId="0" applyFont="1" applyFill="1" applyBorder="1" applyAlignment="1">
      <alignment vertical="center" wrapText="1"/>
    </xf>
    <xf numFmtId="0" fontId="13" fillId="44" borderId="3" xfId="0" applyFont="1" applyFill="1" applyBorder="1" applyAlignment="1">
      <alignment vertical="center" wrapText="1"/>
    </xf>
    <xf numFmtId="0" fontId="14" fillId="35" borderId="9" xfId="0" applyFont="1" applyFill="1" applyBorder="1" applyAlignment="1">
      <alignment horizontal="center" vertical="center" wrapText="1"/>
    </xf>
    <xf numFmtId="0" fontId="13" fillId="44" borderId="5" xfId="0" applyFont="1" applyFill="1" applyBorder="1" applyAlignment="1">
      <alignment vertical="center" wrapText="1"/>
    </xf>
    <xf numFmtId="0" fontId="14" fillId="45" borderId="9" xfId="0" applyFont="1" applyFill="1" applyBorder="1" applyAlignment="1">
      <alignment horizontal="center" vertical="center" wrapText="1"/>
    </xf>
    <xf numFmtId="0" fontId="15" fillId="46" borderId="7" xfId="0" applyFont="1" applyFill="1" applyBorder="1" applyAlignment="1">
      <alignment horizontal="center" vertical="center" wrapText="1"/>
    </xf>
    <xf numFmtId="0" fontId="12" fillId="39" borderId="12" xfId="0" applyFont="1" applyFill="1" applyBorder="1" applyAlignment="1">
      <alignment wrapText="1"/>
    </xf>
    <xf numFmtId="0" fontId="12" fillId="39" borderId="3" xfId="0" applyFont="1" applyFill="1" applyBorder="1" applyAlignment="1">
      <alignment wrapText="1"/>
    </xf>
    <xf numFmtId="0" fontId="12" fillId="25" borderId="12" xfId="0" applyFont="1" applyFill="1" applyBorder="1" applyAlignment="1">
      <alignment wrapText="1"/>
    </xf>
    <xf numFmtId="0" fontId="12" fillId="29" borderId="12" xfId="0" applyFont="1" applyFill="1" applyBorder="1" applyAlignment="1">
      <alignment wrapText="1"/>
    </xf>
    <xf numFmtId="0" fontId="13" fillId="29" borderId="3" xfId="0" applyFont="1" applyFill="1" applyBorder="1" applyAlignment="1">
      <alignment wrapText="1"/>
    </xf>
    <xf numFmtId="0" fontId="12" fillId="33" borderId="12" xfId="0" applyFont="1" applyFill="1" applyBorder="1" applyAlignment="1">
      <alignment wrapText="1"/>
    </xf>
    <xf numFmtId="0" fontId="12" fillId="37" borderId="12" xfId="0" applyFont="1" applyFill="1" applyBorder="1" applyAlignment="1">
      <alignment wrapText="1"/>
    </xf>
    <xf numFmtId="0" fontId="0" fillId="2" borderId="0" xfId="0" applyFill="1"/>
    <xf numFmtId="0" fontId="10" fillId="4" borderId="13" xfId="0" applyFont="1" applyFill="1" applyBorder="1" applyAlignment="1">
      <alignment vertical="center"/>
    </xf>
    <xf numFmtId="0" fontId="15" fillId="46" borderId="14" xfId="0" applyFont="1" applyFill="1" applyBorder="1" applyAlignment="1">
      <alignment horizontal="center" vertical="center" wrapText="1"/>
    </xf>
    <xf numFmtId="0" fontId="0" fillId="19" borderId="15" xfId="0" applyFill="1" applyBorder="1" applyAlignment="1">
      <alignment horizontal="left" vertical="center" wrapText="1" indent="1"/>
    </xf>
    <xf numFmtId="0" fontId="0" fillId="19" borderId="16" xfId="0" applyFill="1" applyBorder="1" applyAlignment="1">
      <alignment horizontal="left" vertical="center" wrapText="1" indent="1"/>
    </xf>
    <xf numFmtId="0" fontId="0" fillId="19" borderId="17" xfId="0" applyFill="1" applyBorder="1" applyAlignment="1">
      <alignment horizontal="left" vertical="center" wrapText="1" indent="1"/>
    </xf>
    <xf numFmtId="0" fontId="10" fillId="4" borderId="18" xfId="0" applyFont="1" applyFill="1" applyBorder="1" applyAlignment="1">
      <alignment vertical="center"/>
    </xf>
    <xf numFmtId="0" fontId="15" fillId="46" borderId="19" xfId="0" applyFont="1" applyFill="1" applyBorder="1" applyAlignment="1">
      <alignment horizontal="center" vertical="center" wrapText="1"/>
    </xf>
    <xf numFmtId="0" fontId="0" fillId="20" borderId="20" xfId="0" applyFill="1" applyBorder="1" applyAlignment="1">
      <alignment horizontal="left" vertical="top" wrapText="1" indent="1"/>
    </xf>
    <xf numFmtId="0" fontId="0" fillId="20" borderId="21" xfId="0" applyFill="1" applyBorder="1" applyAlignment="1">
      <alignment horizontal="left" vertical="top" wrapText="1" indent="1"/>
    </xf>
    <xf numFmtId="0" fontId="0" fillId="0" borderId="14" xfId="0" applyBorder="1"/>
    <xf numFmtId="0" fontId="10" fillId="4" borderId="22" xfId="0" applyFont="1" applyFill="1" applyBorder="1" applyAlignment="1">
      <alignment vertical="center"/>
    </xf>
    <xf numFmtId="0" fontId="15" fillId="46" borderId="22" xfId="0" applyFont="1" applyFill="1" applyBorder="1" applyAlignment="1">
      <alignment horizontal="center" vertical="center" wrapText="1"/>
    </xf>
    <xf numFmtId="0" fontId="0" fillId="19" borderId="22" xfId="0" applyFill="1" applyBorder="1" applyAlignment="1">
      <alignment horizontal="left" vertical="center" wrapText="1" indent="1"/>
    </xf>
    <xf numFmtId="0" fontId="0" fillId="0" borderId="22" xfId="0" applyBorder="1"/>
    <xf numFmtId="0" fontId="15" fillId="24" borderId="14" xfId="0" applyFont="1" applyFill="1" applyBorder="1" applyAlignment="1">
      <alignment horizontal="center" vertical="center" wrapText="1"/>
    </xf>
    <xf numFmtId="0" fontId="15" fillId="24" borderId="19" xfId="0" applyFont="1" applyFill="1" applyBorder="1" applyAlignment="1">
      <alignment horizontal="center" vertical="center" wrapText="1"/>
    </xf>
    <xf numFmtId="0" fontId="15" fillId="24" borderId="22" xfId="0" applyFont="1" applyFill="1" applyBorder="1" applyAlignment="1">
      <alignment horizontal="center" vertical="center" wrapText="1"/>
    </xf>
    <xf numFmtId="0" fontId="15" fillId="28" borderId="14" xfId="0" applyFont="1" applyFill="1" applyBorder="1" applyAlignment="1">
      <alignment horizontal="center" vertical="center" wrapText="1"/>
    </xf>
    <xf numFmtId="0" fontId="15" fillId="28" borderId="19" xfId="0" applyFont="1" applyFill="1" applyBorder="1" applyAlignment="1">
      <alignment horizontal="center" vertical="center" wrapText="1"/>
    </xf>
    <xf numFmtId="0" fontId="15" fillId="28" borderId="22" xfId="0" applyFont="1" applyFill="1" applyBorder="1" applyAlignment="1">
      <alignment horizontal="center" vertical="center" wrapText="1"/>
    </xf>
    <xf numFmtId="0" fontId="15" fillId="32" borderId="14" xfId="0" applyFont="1" applyFill="1" applyBorder="1" applyAlignment="1">
      <alignment horizontal="center" vertical="center" wrapText="1"/>
    </xf>
    <xf numFmtId="0" fontId="15" fillId="32" borderId="19" xfId="0" applyFont="1" applyFill="1" applyBorder="1" applyAlignment="1">
      <alignment horizontal="center" vertical="center" wrapText="1"/>
    </xf>
    <xf numFmtId="0" fontId="15" fillId="32" borderId="22" xfId="0" applyFont="1" applyFill="1" applyBorder="1" applyAlignment="1">
      <alignment horizontal="center" vertical="center" wrapText="1"/>
    </xf>
    <xf numFmtId="0" fontId="15" fillId="40" borderId="14" xfId="0" applyFont="1" applyFill="1" applyBorder="1" applyAlignment="1">
      <alignment horizontal="center" vertical="center" wrapText="1"/>
    </xf>
    <xf numFmtId="0" fontId="15" fillId="40" borderId="19" xfId="0" applyFont="1" applyFill="1" applyBorder="1" applyAlignment="1">
      <alignment horizontal="center" vertical="center" wrapText="1"/>
    </xf>
    <xf numFmtId="0" fontId="0" fillId="20" borderId="23" xfId="0" applyFill="1" applyBorder="1" applyAlignment="1">
      <alignment horizontal="left" vertical="top" wrapText="1" indent="1"/>
    </xf>
    <xf numFmtId="0" fontId="0" fillId="20" borderId="24" xfId="0" applyFill="1" applyBorder="1" applyAlignment="1">
      <alignment horizontal="left" vertical="top" wrapText="1" indent="1"/>
    </xf>
    <xf numFmtId="0" fontId="15" fillId="40" borderId="22" xfId="0" applyFont="1" applyFill="1" applyBorder="1" applyAlignment="1">
      <alignment horizontal="center" vertical="center" wrapText="1"/>
    </xf>
    <xf numFmtId="0" fontId="0" fillId="20" borderId="25" xfId="0" applyFill="1" applyBorder="1" applyAlignment="1">
      <alignment horizontal="left" vertical="top" wrapText="1" indent="1"/>
    </xf>
    <xf numFmtId="0" fontId="15" fillId="36" borderId="14" xfId="0" applyFont="1" applyFill="1" applyBorder="1" applyAlignment="1">
      <alignment horizontal="center" vertical="center" wrapText="1"/>
    </xf>
    <xf numFmtId="0" fontId="15" fillId="36" borderId="22" xfId="0" applyFont="1" applyFill="1" applyBorder="1" applyAlignment="1">
      <alignment horizontal="center" vertical="center" wrapText="1"/>
    </xf>
    <xf numFmtId="0" fontId="10" fillId="4" borderId="26" xfId="0" applyFont="1" applyFill="1" applyBorder="1" applyAlignment="1">
      <alignment vertical="center"/>
    </xf>
    <xf numFmtId="0" fontId="14" fillId="45" borderId="27" xfId="0" applyFont="1" applyFill="1" applyBorder="1" applyAlignment="1">
      <alignment horizontal="center" vertical="center" wrapText="1"/>
    </xf>
    <xf numFmtId="0" fontId="15" fillId="46" borderId="28" xfId="0" applyFont="1" applyFill="1" applyBorder="1" applyAlignment="1">
      <alignment horizontal="center" vertical="center" wrapText="1"/>
    </xf>
    <xf numFmtId="0" fontId="15" fillId="46" borderId="29" xfId="0" applyFont="1" applyFill="1" applyBorder="1" applyAlignment="1">
      <alignment horizontal="center" vertical="center" wrapText="1"/>
    </xf>
    <xf numFmtId="0" fontId="15" fillId="46" borderId="30" xfId="0" applyFont="1" applyFill="1" applyBorder="1" applyAlignment="1">
      <alignment horizontal="center" vertical="center" wrapText="1"/>
    </xf>
    <xf numFmtId="0" fontId="15" fillId="46" borderId="31" xfId="0" applyFont="1" applyFill="1" applyBorder="1" applyAlignment="1">
      <alignment horizontal="center" vertical="center" wrapText="1"/>
    </xf>
    <xf numFmtId="0" fontId="14" fillId="23" borderId="27" xfId="0" applyFont="1" applyFill="1" applyBorder="1" applyAlignment="1">
      <alignment horizontal="center" vertical="center" wrapText="1"/>
    </xf>
    <xf numFmtId="0" fontId="15" fillId="24" borderId="28" xfId="0" applyFont="1" applyFill="1" applyBorder="1" applyAlignment="1">
      <alignment horizontal="center" vertical="center" wrapText="1"/>
    </xf>
    <xf numFmtId="0" fontId="15" fillId="24" borderId="29" xfId="0" applyFont="1" applyFill="1" applyBorder="1" applyAlignment="1">
      <alignment horizontal="center" vertical="center" wrapText="1"/>
    </xf>
    <xf numFmtId="0" fontId="15" fillId="24" borderId="30" xfId="0" applyFont="1" applyFill="1" applyBorder="1" applyAlignment="1">
      <alignment horizontal="center" vertical="center" wrapText="1"/>
    </xf>
    <xf numFmtId="0" fontId="15" fillId="24" borderId="31" xfId="0" applyFont="1" applyFill="1" applyBorder="1" applyAlignment="1">
      <alignment horizontal="center" vertical="center" wrapText="1"/>
    </xf>
    <xf numFmtId="0" fontId="14" fillId="27" borderId="27" xfId="0" applyFont="1" applyFill="1" applyBorder="1" applyAlignment="1">
      <alignment horizontal="center" vertical="center" wrapText="1"/>
    </xf>
    <xf numFmtId="0" fontId="15" fillId="28" borderId="28" xfId="0" applyFont="1" applyFill="1" applyBorder="1" applyAlignment="1">
      <alignment horizontal="center" vertical="center" wrapText="1"/>
    </xf>
    <xf numFmtId="0" fontId="15" fillId="28" borderId="29" xfId="0" applyFont="1" applyFill="1" applyBorder="1" applyAlignment="1">
      <alignment horizontal="center" vertical="center" wrapText="1"/>
    </xf>
    <xf numFmtId="0" fontId="15" fillId="28" borderId="30" xfId="0" applyFont="1" applyFill="1" applyBorder="1" applyAlignment="1">
      <alignment horizontal="center" vertical="center" wrapText="1"/>
    </xf>
    <xf numFmtId="0" fontId="15" fillId="28" borderId="31" xfId="0" applyFont="1" applyFill="1" applyBorder="1" applyAlignment="1">
      <alignment horizontal="center" vertical="center" wrapText="1"/>
    </xf>
    <xf numFmtId="0" fontId="14" fillId="31" borderId="27" xfId="0" applyFont="1" applyFill="1" applyBorder="1" applyAlignment="1">
      <alignment horizontal="center" vertical="center" wrapText="1"/>
    </xf>
    <xf numFmtId="0" fontId="15" fillId="32" borderId="28" xfId="0" applyFont="1" applyFill="1" applyBorder="1" applyAlignment="1">
      <alignment horizontal="center" vertical="center" wrapText="1"/>
    </xf>
    <xf numFmtId="0" fontId="15" fillId="32" borderId="29" xfId="0" applyFont="1" applyFill="1" applyBorder="1" applyAlignment="1">
      <alignment horizontal="center" vertical="center" wrapText="1"/>
    </xf>
    <xf numFmtId="0" fontId="15" fillId="32" borderId="30" xfId="0" applyFont="1" applyFill="1" applyBorder="1" applyAlignment="1">
      <alignment horizontal="center" vertical="center" wrapText="1"/>
    </xf>
    <xf numFmtId="0" fontId="15" fillId="32" borderId="31" xfId="0" applyFont="1" applyFill="1" applyBorder="1" applyAlignment="1">
      <alignment horizontal="center" vertical="center" wrapText="1"/>
    </xf>
    <xf numFmtId="0" fontId="14" fillId="35" borderId="27" xfId="0" applyFont="1" applyFill="1" applyBorder="1" applyAlignment="1">
      <alignment horizontal="center" vertical="center" wrapText="1"/>
    </xf>
    <xf numFmtId="0" fontId="15" fillId="36" borderId="28" xfId="0" applyFont="1" applyFill="1" applyBorder="1" applyAlignment="1">
      <alignment horizontal="center" vertical="center" wrapText="1"/>
    </xf>
    <xf numFmtId="0" fontId="15" fillId="36" borderId="29" xfId="0" applyFont="1" applyFill="1" applyBorder="1" applyAlignment="1">
      <alignment horizontal="center" vertical="center" wrapText="1"/>
    </xf>
    <xf numFmtId="0" fontId="15" fillId="36" borderId="31" xfId="0" applyFont="1" applyFill="1" applyBorder="1" applyAlignment="1">
      <alignment horizontal="center" vertical="center" wrapText="1"/>
    </xf>
    <xf numFmtId="0" fontId="12" fillId="0" borderId="32" xfId="0" applyFont="1" applyBorder="1" applyAlignment="1">
      <alignment horizontal="center" wrapText="1"/>
    </xf>
    <xf numFmtId="0" fontId="12" fillId="39" borderId="33" xfId="0" applyFont="1" applyFill="1" applyBorder="1" applyAlignment="1">
      <alignment horizontal="center" vertical="center" wrapText="1"/>
    </xf>
    <xf numFmtId="0" fontId="11" fillId="0" borderId="32" xfId="0" applyFont="1" applyBorder="1" applyAlignment="1">
      <alignment horizontal="center" wrapText="1"/>
    </xf>
    <xf numFmtId="0" fontId="12" fillId="0" borderId="35" xfId="0" applyFont="1" applyBorder="1" applyAlignment="1">
      <alignment horizontal="center" wrapText="1"/>
    </xf>
    <xf numFmtId="0" fontId="0" fillId="0" borderId="35" xfId="0" applyBorder="1" applyAlignment="1">
      <alignment horizontal="center" vertical="center"/>
    </xf>
    <xf numFmtId="0" fontId="11" fillId="0" borderId="36" xfId="0" applyFont="1" applyBorder="1" applyAlignment="1">
      <alignment horizontal="center" vertical="center" wrapText="1"/>
    </xf>
    <xf numFmtId="0" fontId="11" fillId="0" borderId="38" xfId="0" applyFont="1" applyBorder="1" applyAlignment="1">
      <alignment horizontal="center" vertical="center" wrapText="1"/>
    </xf>
    <xf numFmtId="0" fontId="12" fillId="0" borderId="39" xfId="0" applyFont="1" applyBorder="1" applyAlignment="1">
      <alignment horizontal="center" wrapText="1"/>
    </xf>
    <xf numFmtId="0" fontId="0" fillId="0" borderId="39" xfId="0" applyBorder="1" applyAlignment="1">
      <alignment horizontal="center" vertical="center"/>
    </xf>
    <xf numFmtId="0" fontId="12" fillId="0" borderId="37" xfId="0" applyFont="1" applyBorder="1" applyAlignment="1">
      <alignment horizontal="center" wrapText="1"/>
    </xf>
    <xf numFmtId="0" fontId="12" fillId="0" borderId="40" xfId="0" applyFont="1" applyBorder="1" applyAlignment="1">
      <alignment horizontal="center" wrapText="1"/>
    </xf>
    <xf numFmtId="0" fontId="0" fillId="19" borderId="43" xfId="0" applyFill="1" applyBorder="1" applyAlignment="1">
      <alignment horizontal="left" vertical="center" wrapText="1" indent="1"/>
    </xf>
    <xf numFmtId="0" fontId="10" fillId="4" borderId="43" xfId="0" applyFont="1" applyFill="1" applyBorder="1" applyAlignment="1">
      <alignment vertical="center"/>
    </xf>
    <xf numFmtId="0" fontId="15" fillId="46" borderId="44" xfId="0" applyFont="1" applyFill="1" applyBorder="1" applyAlignment="1">
      <alignment horizontal="center" vertical="center" wrapText="1"/>
    </xf>
    <xf numFmtId="0" fontId="0" fillId="0" borderId="29" xfId="0" applyBorder="1"/>
    <xf numFmtId="0" fontId="0" fillId="19" borderId="45" xfId="0" applyFill="1" applyBorder="1" applyAlignment="1">
      <alignment horizontal="left" vertical="center" wrapText="1" indent="1"/>
    </xf>
    <xf numFmtId="0" fontId="0" fillId="19" borderId="42" xfId="0" applyFill="1" applyBorder="1" applyAlignment="1">
      <alignment horizontal="left" vertical="center" wrapText="1" indent="1"/>
    </xf>
    <xf numFmtId="0" fontId="0" fillId="19" borderId="30" xfId="0" applyFill="1" applyBorder="1" applyAlignment="1">
      <alignment horizontal="left" vertical="center" wrapText="1" indent="1"/>
    </xf>
    <xf numFmtId="0" fontId="0" fillId="19" borderId="16" xfId="0" applyFill="1" applyBorder="1" applyAlignment="1">
      <alignment horizontal="center" vertical="center"/>
    </xf>
    <xf numFmtId="0" fontId="0" fillId="19" borderId="46" xfId="0" applyFill="1" applyBorder="1" applyAlignment="1">
      <alignment horizontal="center" vertical="center"/>
    </xf>
    <xf numFmtId="0" fontId="12" fillId="39" borderId="47" xfId="0" applyFont="1" applyFill="1" applyBorder="1" applyAlignment="1">
      <alignment horizontal="center" vertical="center" wrapText="1"/>
    </xf>
    <xf numFmtId="0" fontId="12" fillId="25" borderId="33" xfId="0" applyFont="1" applyFill="1" applyBorder="1" applyAlignment="1">
      <alignment wrapText="1"/>
    </xf>
    <xf numFmtId="0" fontId="12" fillId="0" borderId="48" xfId="0" applyFont="1" applyBorder="1" applyAlignment="1">
      <alignment horizontal="center" wrapText="1"/>
    </xf>
    <xf numFmtId="0" fontId="0" fillId="20" borderId="49" xfId="0" applyFill="1" applyBorder="1" applyAlignment="1">
      <alignment horizontal="left" vertical="top" wrapText="1" indent="1"/>
    </xf>
    <xf numFmtId="0" fontId="0" fillId="20" borderId="50" xfId="0" applyFill="1" applyBorder="1" applyAlignment="1">
      <alignment horizontal="left" vertical="top" wrapText="1" indent="1"/>
    </xf>
    <xf numFmtId="0" fontId="0" fillId="20" borderId="51" xfId="0" applyFill="1" applyBorder="1" applyAlignment="1">
      <alignment horizontal="left" vertical="top" wrapText="1" indent="1"/>
    </xf>
    <xf numFmtId="0" fontId="12" fillId="25" borderId="34" xfId="0" applyFont="1" applyFill="1" applyBorder="1" applyAlignment="1">
      <alignment wrapText="1"/>
    </xf>
    <xf numFmtId="0" fontId="12" fillId="25" borderId="5" xfId="0" applyFont="1" applyFill="1" applyBorder="1" applyAlignment="1">
      <alignment wrapText="1"/>
    </xf>
    <xf numFmtId="0" fontId="0" fillId="20" borderId="52" xfId="0" applyFill="1" applyBorder="1" applyAlignment="1">
      <alignment horizontal="left" vertical="top" wrapText="1" indent="1"/>
    </xf>
    <xf numFmtId="0" fontId="12" fillId="25" borderId="53" xfId="0" applyFont="1" applyFill="1" applyBorder="1" applyAlignment="1">
      <alignment wrapText="1"/>
    </xf>
    <xf numFmtId="0" fontId="0" fillId="19" borderId="41" xfId="0" applyFill="1" applyBorder="1" applyAlignment="1">
      <alignment horizontal="left" vertical="center" wrapText="1" indent="1"/>
    </xf>
    <xf numFmtId="0" fontId="12" fillId="0" borderId="56" xfId="0" applyFont="1" applyBorder="1" applyAlignment="1">
      <alignment horizontal="center" wrapText="1"/>
    </xf>
    <xf numFmtId="0" fontId="12" fillId="0" borderId="57" xfId="0" applyFont="1" applyBorder="1" applyAlignment="1">
      <alignment horizontal="center" wrapText="1"/>
    </xf>
    <xf numFmtId="0" fontId="0" fillId="19" borderId="58" xfId="0" applyFill="1" applyBorder="1" applyAlignment="1">
      <alignment horizontal="left" vertical="center" wrapText="1" indent="1"/>
    </xf>
    <xf numFmtId="0" fontId="0" fillId="19" borderId="59" xfId="0" applyFill="1" applyBorder="1" applyAlignment="1">
      <alignment horizontal="left" vertical="center" wrapText="1" indent="1"/>
    </xf>
    <xf numFmtId="0" fontId="0" fillId="19" borderId="60" xfId="0" applyFill="1" applyBorder="1" applyAlignment="1">
      <alignment horizontal="left" vertical="center" wrapText="1" indent="1"/>
    </xf>
    <xf numFmtId="0" fontId="0" fillId="19" borderId="61" xfId="0" applyFill="1" applyBorder="1" applyAlignment="1">
      <alignment horizontal="left" vertical="center" wrapText="1" indent="1"/>
    </xf>
    <xf numFmtId="0" fontId="11" fillId="0" borderId="62" xfId="0" applyFont="1" applyBorder="1" applyAlignment="1">
      <alignment horizontal="center" vertical="center" wrapText="1"/>
    </xf>
    <xf numFmtId="0" fontId="12" fillId="0" borderId="63" xfId="0" applyFont="1" applyBorder="1" applyAlignment="1">
      <alignment horizontal="center" wrapText="1"/>
    </xf>
    <xf numFmtId="0" fontId="0" fillId="20" borderId="65" xfId="0" applyFill="1" applyBorder="1" applyAlignment="1">
      <alignment horizontal="left" vertical="top" wrapText="1" indent="1"/>
    </xf>
    <xf numFmtId="0" fontId="12" fillId="0" borderId="58" xfId="0" applyFont="1" applyBorder="1" applyAlignment="1">
      <alignment horizontal="center" wrapText="1"/>
    </xf>
    <xf numFmtId="0" fontId="12" fillId="0" borderId="67" xfId="0" applyFont="1" applyBorder="1" applyAlignment="1">
      <alignment horizontal="center" wrapText="1"/>
    </xf>
    <xf numFmtId="0" fontId="12" fillId="0" borderId="69" xfId="0" applyFont="1" applyBorder="1" applyAlignment="1">
      <alignment horizontal="center" wrapText="1"/>
    </xf>
    <xf numFmtId="0" fontId="12" fillId="0" borderId="72" xfId="0" applyFont="1" applyBorder="1" applyAlignment="1">
      <alignment horizontal="center" wrapText="1"/>
    </xf>
    <xf numFmtId="0" fontId="0" fillId="20" borderId="58" xfId="0" applyFill="1" applyBorder="1" applyAlignment="1">
      <alignment horizontal="left" vertical="top" wrapText="1" indent="1"/>
    </xf>
    <xf numFmtId="0" fontId="14" fillId="45" borderId="73" xfId="0" applyFont="1" applyFill="1" applyBorder="1" applyAlignment="1">
      <alignment horizontal="center" vertical="center" wrapText="1"/>
    </xf>
    <xf numFmtId="0" fontId="15" fillId="46" borderId="74" xfId="0" applyFont="1" applyFill="1" applyBorder="1" applyAlignment="1">
      <alignment horizontal="center" vertical="center" wrapText="1"/>
    </xf>
    <xf numFmtId="0" fontId="15" fillId="46" borderId="75" xfId="0" applyFont="1" applyFill="1" applyBorder="1" applyAlignment="1">
      <alignment horizontal="center" vertical="center" wrapText="1"/>
    </xf>
    <xf numFmtId="0" fontId="15" fillId="46" borderId="36" xfId="0" applyFont="1" applyFill="1" applyBorder="1" applyAlignment="1">
      <alignment horizontal="center" vertical="center" wrapText="1"/>
    </xf>
    <xf numFmtId="0" fontId="0" fillId="19" borderId="76" xfId="0" applyFill="1" applyBorder="1" applyAlignment="1">
      <alignment horizontal="left" vertical="center" wrapText="1" indent="1"/>
    </xf>
    <xf numFmtId="0" fontId="12" fillId="39" borderId="79" xfId="0" applyFont="1" applyFill="1" applyBorder="1" applyAlignment="1">
      <alignment horizontal="center" vertical="center" wrapText="1"/>
    </xf>
    <xf numFmtId="0" fontId="0" fillId="19" borderId="80" xfId="0" applyFill="1" applyBorder="1" applyAlignment="1">
      <alignment horizontal="center" vertical="center"/>
    </xf>
    <xf numFmtId="0" fontId="0" fillId="19" borderId="81" xfId="0" applyFill="1" applyBorder="1" applyAlignment="1">
      <alignment horizontal="left" vertical="center" wrapText="1" indent="1"/>
    </xf>
    <xf numFmtId="0" fontId="0" fillId="19" borderId="82" xfId="0" applyFill="1" applyBorder="1" applyAlignment="1">
      <alignment horizontal="left" vertical="center" wrapText="1" indent="1"/>
    </xf>
    <xf numFmtId="0" fontId="0" fillId="20" borderId="83" xfId="0" applyFill="1" applyBorder="1" applyAlignment="1">
      <alignment horizontal="left" vertical="top" wrapText="1" indent="1"/>
    </xf>
    <xf numFmtId="0" fontId="0" fillId="20" borderId="84" xfId="0" applyFill="1" applyBorder="1" applyAlignment="1">
      <alignment horizontal="left" vertical="top" wrapText="1" indent="1"/>
    </xf>
    <xf numFmtId="0" fontId="0" fillId="19" borderId="85" xfId="0" applyFill="1" applyBorder="1" applyAlignment="1">
      <alignment horizontal="left" vertical="center" wrapText="1" indent="1"/>
    </xf>
    <xf numFmtId="0" fontId="12" fillId="0" borderId="86" xfId="0" applyFont="1" applyBorder="1" applyAlignment="1">
      <alignment horizontal="center" wrapText="1"/>
    </xf>
    <xf numFmtId="0" fontId="12" fillId="0" borderId="65" xfId="0" applyFont="1" applyBorder="1" applyAlignment="1">
      <alignment horizontal="center" wrapText="1"/>
    </xf>
    <xf numFmtId="0" fontId="12" fillId="39" borderId="58" xfId="0" applyFont="1" applyFill="1" applyBorder="1" applyAlignment="1">
      <alignment horizontal="center" vertical="center" wrapText="1"/>
    </xf>
    <xf numFmtId="0" fontId="12" fillId="39" borderId="67" xfId="0" applyFont="1" applyFill="1" applyBorder="1" applyAlignment="1">
      <alignment horizontal="center" vertical="center" wrapText="1"/>
    </xf>
    <xf numFmtId="0" fontId="12" fillId="39" borderId="69" xfId="0" applyFont="1" applyFill="1" applyBorder="1" applyAlignment="1">
      <alignment horizontal="center" vertical="center" wrapText="1"/>
    </xf>
    <xf numFmtId="0" fontId="0" fillId="19" borderId="65" xfId="0" applyFill="1" applyBorder="1" applyAlignment="1">
      <alignment horizontal="left" vertical="center" wrapText="1" indent="1"/>
    </xf>
    <xf numFmtId="0" fontId="0" fillId="19" borderId="86" xfId="0" applyFill="1" applyBorder="1" applyAlignment="1">
      <alignment horizontal="left" vertical="center" wrapText="1" indent="1"/>
    </xf>
    <xf numFmtId="0" fontId="0" fillId="19" borderId="58" xfId="0" applyFill="1" applyBorder="1" applyAlignment="1">
      <alignment horizontal="center" vertical="center"/>
    </xf>
    <xf numFmtId="0" fontId="0" fillId="19" borderId="67" xfId="0" applyFill="1" applyBorder="1" applyAlignment="1">
      <alignment horizontal="left" vertical="center" wrapText="1" indent="1"/>
    </xf>
    <xf numFmtId="0" fontId="0" fillId="19" borderId="72" xfId="0" applyFill="1" applyBorder="1" applyAlignment="1">
      <alignment horizontal="left" vertical="center" wrapText="1" indent="1"/>
    </xf>
    <xf numFmtId="0" fontId="0" fillId="19" borderId="66" xfId="0" applyFill="1" applyBorder="1" applyAlignment="1">
      <alignment horizontal="left" vertical="center" wrapText="1" indent="1"/>
    </xf>
    <xf numFmtId="0" fontId="0" fillId="19" borderId="90" xfId="0" applyFill="1" applyBorder="1" applyAlignment="1">
      <alignment horizontal="left" vertical="center" wrapText="1" indent="1"/>
    </xf>
    <xf numFmtId="0" fontId="0" fillId="19" borderId="71" xfId="0" applyFill="1" applyBorder="1" applyAlignment="1">
      <alignment horizontal="left" vertical="center" wrapText="1" indent="1"/>
    </xf>
    <xf numFmtId="0" fontId="12" fillId="0" borderId="71" xfId="0" applyFont="1" applyBorder="1" applyAlignment="1">
      <alignment horizontal="center" wrapText="1"/>
    </xf>
    <xf numFmtId="0" fontId="12" fillId="0" borderId="89" xfId="0" applyFont="1" applyBorder="1" applyAlignment="1">
      <alignment horizontal="center" wrapText="1"/>
    </xf>
    <xf numFmtId="0" fontId="12" fillId="39" borderId="92" xfId="0" applyFont="1" applyFill="1" applyBorder="1" applyAlignment="1">
      <alignment horizontal="center" vertical="center" wrapText="1"/>
    </xf>
    <xf numFmtId="0" fontId="0" fillId="19" borderId="65" xfId="0" applyFill="1" applyBorder="1" applyAlignment="1">
      <alignment horizontal="center" vertical="center"/>
    </xf>
    <xf numFmtId="0" fontId="12" fillId="39" borderId="71" xfId="0" applyFont="1" applyFill="1" applyBorder="1" applyAlignment="1">
      <alignment horizontal="center" vertical="center" wrapText="1"/>
    </xf>
    <xf numFmtId="0" fontId="0" fillId="19" borderId="86" xfId="0" applyFill="1" applyBorder="1" applyAlignment="1">
      <alignment horizontal="center" vertical="center"/>
    </xf>
    <xf numFmtId="0" fontId="0" fillId="19" borderId="54" xfId="0" applyFill="1" applyBorder="1" applyAlignment="1">
      <alignment horizontal="center" vertical="center"/>
    </xf>
    <xf numFmtId="0" fontId="0" fillId="19" borderId="94" xfId="0" applyFill="1" applyBorder="1" applyAlignment="1">
      <alignment horizontal="left" vertical="center" wrapText="1" indent="1"/>
    </xf>
    <xf numFmtId="0" fontId="0" fillId="19" borderId="95" xfId="0" applyFill="1" applyBorder="1" applyAlignment="1">
      <alignment horizontal="left" vertical="center" wrapText="1" indent="1"/>
    </xf>
    <xf numFmtId="0" fontId="0" fillId="19" borderId="96" xfId="0" applyFill="1" applyBorder="1" applyAlignment="1">
      <alignment horizontal="left" vertical="center" wrapText="1" indent="1"/>
    </xf>
    <xf numFmtId="0" fontId="0" fillId="19" borderId="97" xfId="0" applyFill="1" applyBorder="1" applyAlignment="1">
      <alignment horizontal="left" vertical="center" wrapText="1" indent="1"/>
    </xf>
    <xf numFmtId="0" fontId="0" fillId="19" borderId="87" xfId="0" applyFill="1" applyBorder="1" applyAlignment="1">
      <alignment horizontal="left" vertical="center" wrapText="1" indent="1"/>
    </xf>
    <xf numFmtId="0" fontId="0" fillId="19" borderId="98" xfId="0" applyFill="1" applyBorder="1" applyAlignment="1">
      <alignment horizontal="left" vertical="center" wrapText="1" indent="1"/>
    </xf>
    <xf numFmtId="0" fontId="0" fillId="19" borderId="99" xfId="0" applyFill="1" applyBorder="1" applyAlignment="1">
      <alignment horizontal="center" vertical="center"/>
    </xf>
    <xf numFmtId="0" fontId="12" fillId="0" borderId="91" xfId="0" applyFont="1" applyBorder="1" applyAlignment="1">
      <alignment horizontal="center" wrapText="1"/>
    </xf>
    <xf numFmtId="0" fontId="12" fillId="0" borderId="88" xfId="0" applyFont="1" applyBorder="1" applyAlignment="1">
      <alignment horizontal="center" wrapText="1"/>
    </xf>
    <xf numFmtId="0" fontId="12" fillId="0" borderId="98" xfId="0" applyFont="1" applyBorder="1" applyAlignment="1">
      <alignment horizontal="center" wrapText="1"/>
    </xf>
    <xf numFmtId="0" fontId="0" fillId="0" borderId="58" xfId="0" applyBorder="1" applyAlignment="1">
      <alignment horizontal="center" vertical="center"/>
    </xf>
    <xf numFmtId="0" fontId="12" fillId="39" borderId="65" xfId="0" applyFont="1" applyFill="1" applyBorder="1" applyAlignment="1">
      <alignment horizontal="center" vertical="center" wrapText="1"/>
    </xf>
    <xf numFmtId="0" fontId="0" fillId="19" borderId="77" xfId="0" applyFill="1" applyBorder="1" applyAlignment="1">
      <alignment horizontal="center" vertical="center"/>
    </xf>
    <xf numFmtId="0" fontId="12" fillId="39" borderId="86" xfId="0" applyFont="1" applyFill="1" applyBorder="1" applyAlignment="1">
      <alignment horizontal="center" vertical="center" wrapText="1"/>
    </xf>
    <xf numFmtId="0" fontId="12" fillId="39" borderId="100" xfId="0" applyFont="1" applyFill="1" applyBorder="1" applyAlignment="1">
      <alignment horizontal="center" vertical="center" wrapText="1"/>
    </xf>
    <xf numFmtId="0" fontId="12" fillId="0" borderId="102" xfId="0" applyFont="1" applyBorder="1" applyAlignment="1">
      <alignment horizontal="center" wrapText="1"/>
    </xf>
    <xf numFmtId="0" fontId="12" fillId="0" borderId="79" xfId="0" applyFont="1" applyBorder="1" applyAlignment="1">
      <alignment horizontal="center" wrapText="1"/>
    </xf>
    <xf numFmtId="0" fontId="0" fillId="19" borderId="91" xfId="0" applyFill="1" applyBorder="1" applyAlignment="1">
      <alignment horizontal="center" vertical="center"/>
    </xf>
    <xf numFmtId="0" fontId="0" fillId="19" borderId="63" xfId="0" applyFill="1" applyBorder="1" applyAlignment="1">
      <alignment horizontal="left" vertical="center" wrapText="1" indent="1"/>
    </xf>
    <xf numFmtId="0" fontId="0" fillId="19" borderId="63" xfId="0" applyFill="1" applyBorder="1" applyAlignment="1">
      <alignment horizontal="center" vertical="center"/>
    </xf>
    <xf numFmtId="0" fontId="0" fillId="19" borderId="69" xfId="0" applyFill="1" applyBorder="1" applyAlignment="1">
      <alignment horizontal="center" vertical="center"/>
    </xf>
    <xf numFmtId="0" fontId="12" fillId="39" borderId="88" xfId="0" applyFont="1" applyFill="1" applyBorder="1" applyAlignment="1">
      <alignment horizontal="center" vertical="center" wrapText="1"/>
    </xf>
    <xf numFmtId="0" fontId="12" fillId="0" borderId="103" xfId="0" applyFont="1" applyBorder="1" applyAlignment="1">
      <alignment horizontal="center" wrapText="1"/>
    </xf>
    <xf numFmtId="0" fontId="0" fillId="19" borderId="105" xfId="0" applyFill="1" applyBorder="1" applyAlignment="1">
      <alignment horizontal="left" vertical="center" wrapText="1" indent="1"/>
    </xf>
    <xf numFmtId="0" fontId="0" fillId="19" borderId="79" xfId="0" applyFill="1" applyBorder="1" applyAlignment="1">
      <alignment horizontal="left" vertical="center" wrapText="1" indent="1"/>
    </xf>
    <xf numFmtId="0" fontId="0" fillId="19" borderId="98" xfId="0" applyFill="1" applyBorder="1" applyAlignment="1">
      <alignment horizontal="center" vertical="center"/>
    </xf>
    <xf numFmtId="0" fontId="0" fillId="19" borderId="103" xfId="0" applyFill="1" applyBorder="1" applyAlignment="1">
      <alignment horizontal="center" vertical="center"/>
    </xf>
    <xf numFmtId="0" fontId="0" fillId="19" borderId="104" xfId="0" applyFill="1" applyBorder="1" applyAlignment="1">
      <alignment horizontal="center" vertical="center"/>
    </xf>
    <xf numFmtId="0" fontId="12" fillId="39" borderId="98" xfId="0" applyFont="1" applyFill="1" applyBorder="1" applyAlignment="1">
      <alignment horizontal="center" vertical="center" wrapText="1"/>
    </xf>
    <xf numFmtId="0" fontId="12" fillId="39" borderId="105" xfId="0" applyFont="1" applyFill="1" applyBorder="1" applyAlignment="1">
      <alignment horizontal="center" vertical="center" wrapText="1"/>
    </xf>
    <xf numFmtId="0" fontId="12" fillId="39" borderId="97" xfId="0" applyFont="1" applyFill="1" applyBorder="1" applyAlignment="1">
      <alignment horizontal="center" vertical="center" wrapText="1"/>
    </xf>
    <xf numFmtId="0" fontId="0" fillId="19" borderId="71" xfId="0" applyFill="1" applyBorder="1" applyAlignment="1">
      <alignment horizontal="center" vertical="center"/>
    </xf>
    <xf numFmtId="0" fontId="0" fillId="19" borderId="89" xfId="0" applyFill="1" applyBorder="1" applyAlignment="1">
      <alignment horizontal="left" vertical="center" wrapText="1" indent="1"/>
    </xf>
    <xf numFmtId="0" fontId="0" fillId="19" borderId="88" xfId="0" applyFill="1" applyBorder="1" applyAlignment="1">
      <alignment horizontal="left" vertical="center" wrapText="1" indent="1"/>
    </xf>
    <xf numFmtId="0" fontId="0" fillId="19" borderId="82" xfId="0" applyFill="1" applyBorder="1" applyAlignment="1">
      <alignment horizontal="center" vertical="center"/>
    </xf>
    <xf numFmtId="0" fontId="0" fillId="19" borderId="85" xfId="0" applyFill="1" applyBorder="1" applyAlignment="1">
      <alignment horizontal="center" vertical="center"/>
    </xf>
    <xf numFmtId="0" fontId="12" fillId="0" borderId="78" xfId="0" applyFont="1" applyBorder="1" applyAlignment="1">
      <alignment horizontal="center" wrapText="1"/>
    </xf>
    <xf numFmtId="0" fontId="0" fillId="19" borderId="91" xfId="0" applyFill="1" applyBorder="1" applyAlignment="1">
      <alignment horizontal="left" vertical="center" wrapText="1" indent="1"/>
    </xf>
    <xf numFmtId="0" fontId="0" fillId="19" borderId="68" xfId="0" applyFill="1" applyBorder="1" applyAlignment="1">
      <alignment horizontal="left" vertical="center" wrapText="1" indent="1"/>
    </xf>
    <xf numFmtId="0" fontId="0" fillId="19" borderId="69" xfId="0" applyFill="1" applyBorder="1" applyAlignment="1">
      <alignment horizontal="left" vertical="center" wrapText="1" indent="1"/>
    </xf>
    <xf numFmtId="0" fontId="0" fillId="19" borderId="93" xfId="0" applyFill="1" applyBorder="1" applyAlignment="1">
      <alignment horizontal="center" vertical="center"/>
    </xf>
    <xf numFmtId="0" fontId="12" fillId="39" borderId="87" xfId="0" applyFont="1" applyFill="1" applyBorder="1" applyAlignment="1">
      <alignment horizontal="center" vertical="center" wrapText="1"/>
    </xf>
    <xf numFmtId="0" fontId="0" fillId="19" borderId="55" xfId="0" applyFill="1" applyBorder="1" applyAlignment="1">
      <alignment horizontal="center" vertical="center"/>
    </xf>
    <xf numFmtId="0" fontId="0" fillId="19" borderId="106" xfId="0" applyFill="1" applyBorder="1" applyAlignment="1">
      <alignment horizontal="left" vertical="center" wrapText="1" indent="1"/>
    </xf>
    <xf numFmtId="0" fontId="0" fillId="0" borderId="39" xfId="0" applyBorder="1" applyAlignment="1">
      <alignment horizontal="center" vertical="center" wrapText="1"/>
    </xf>
    <xf numFmtId="0" fontId="0" fillId="19" borderId="93" xfId="0" applyFill="1" applyBorder="1" applyAlignment="1">
      <alignment horizontal="left" vertical="center" wrapText="1" indent="1"/>
    </xf>
    <xf numFmtId="0" fontId="0" fillId="19" borderId="70" xfId="0" applyFill="1" applyBorder="1" applyAlignment="1">
      <alignment horizontal="left" vertical="center" wrapText="1" indent="1"/>
    </xf>
    <xf numFmtId="0" fontId="12" fillId="19" borderId="2" xfId="0" applyFont="1" applyFill="1" applyBorder="1" applyAlignment="1">
      <alignment horizontal="center" vertical="center"/>
    </xf>
    <xf numFmtId="0" fontId="12" fillId="19" borderId="16" xfId="0" applyFont="1" applyFill="1" applyBorder="1" applyAlignment="1">
      <alignment horizontal="left" vertical="center" wrapText="1" indent="1"/>
    </xf>
    <xf numFmtId="0" fontId="12" fillId="19" borderId="22" xfId="0" applyFont="1" applyFill="1" applyBorder="1" applyAlignment="1">
      <alignment horizontal="left" vertical="center" wrapText="1" indent="1"/>
    </xf>
    <xf numFmtId="0" fontId="12" fillId="0" borderId="32" xfId="0" applyFont="1" applyBorder="1" applyAlignment="1">
      <alignment horizontal="center" vertical="center" wrapText="1"/>
    </xf>
    <xf numFmtId="0" fontId="0" fillId="47" borderId="20" xfId="0" applyFill="1" applyBorder="1" applyAlignment="1">
      <alignment horizontal="left" vertical="top" wrapText="1" indent="1"/>
    </xf>
    <xf numFmtId="0" fontId="0" fillId="47" borderId="21" xfId="0" applyFill="1" applyBorder="1" applyAlignment="1">
      <alignment horizontal="left" vertical="top" wrapText="1" indent="1"/>
    </xf>
    <xf numFmtId="0" fontId="12" fillId="42" borderId="35" xfId="0" applyFont="1" applyFill="1" applyBorder="1" applyAlignment="1">
      <alignment horizontal="center" wrapText="1"/>
    </xf>
    <xf numFmtId="0" fontId="12" fillId="42" borderId="39" xfId="0" applyFont="1" applyFill="1" applyBorder="1" applyAlignment="1">
      <alignment horizontal="center" wrapText="1"/>
    </xf>
    <xf numFmtId="0" fontId="12" fillId="42" borderId="32" xfId="0" applyFont="1" applyFill="1" applyBorder="1" applyAlignment="1">
      <alignment horizontal="center" wrapText="1"/>
    </xf>
    <xf numFmtId="0" fontId="0" fillId="20" borderId="58" xfId="0" applyFill="1" applyBorder="1" applyAlignment="1">
      <alignment horizontal="center" vertical="center" wrapText="1"/>
    </xf>
    <xf numFmtId="0" fontId="13" fillId="42" borderId="0" xfId="0" applyFont="1" applyFill="1" applyAlignment="1">
      <alignment wrapText="1"/>
    </xf>
    <xf numFmtId="0" fontId="0" fillId="0" borderId="30" xfId="0" applyBorder="1"/>
    <xf numFmtId="0" fontId="13" fillId="22" borderId="5" xfId="0" applyFont="1" applyFill="1" applyBorder="1" applyAlignment="1">
      <alignment wrapText="1"/>
    </xf>
    <xf numFmtId="0" fontId="13" fillId="26" borderId="5" xfId="0" applyFont="1" applyFill="1" applyBorder="1" applyAlignment="1">
      <alignment wrapText="1"/>
    </xf>
    <xf numFmtId="0" fontId="13" fillId="30" borderId="5" xfId="0" applyFont="1" applyFill="1" applyBorder="1" applyAlignment="1">
      <alignment wrapText="1"/>
    </xf>
    <xf numFmtId="0" fontId="13" fillId="34" borderId="5" xfId="0" applyFont="1" applyFill="1" applyBorder="1" applyAlignment="1">
      <alignment wrapText="1"/>
    </xf>
    <xf numFmtId="0" fontId="12" fillId="0" borderId="107" xfId="0" applyFont="1" applyBorder="1" applyAlignment="1">
      <alignment horizontal="center" wrapText="1"/>
    </xf>
    <xf numFmtId="0" fontId="12" fillId="0" borderId="109" xfId="0" applyFont="1" applyBorder="1" applyAlignment="1">
      <alignment horizontal="center" wrapText="1"/>
    </xf>
    <xf numFmtId="0" fontId="12" fillId="0" borderId="108" xfId="0" applyFont="1" applyBorder="1" applyAlignment="1">
      <alignment horizontal="center" wrapText="1"/>
    </xf>
    <xf numFmtId="0" fontId="12" fillId="39" borderId="110" xfId="0" applyFont="1" applyFill="1" applyBorder="1" applyAlignment="1">
      <alignment horizontal="center" vertical="center" wrapText="1"/>
    </xf>
    <xf numFmtId="0" fontId="0" fillId="19" borderId="111" xfId="0" applyFill="1" applyBorder="1" applyAlignment="1">
      <alignment horizontal="center" vertical="center"/>
    </xf>
    <xf numFmtId="0" fontId="0" fillId="19" borderId="112" xfId="0" applyFill="1" applyBorder="1" applyAlignment="1">
      <alignment horizontal="left" vertical="center" wrapText="1" indent="1"/>
    </xf>
    <xf numFmtId="0" fontId="0" fillId="19" borderId="113" xfId="0" applyFill="1" applyBorder="1" applyAlignment="1">
      <alignment horizontal="left" vertical="center" wrapText="1" indent="1"/>
    </xf>
    <xf numFmtId="0" fontId="0" fillId="0" borderId="106" xfId="0" applyBorder="1"/>
    <xf numFmtId="0" fontId="12" fillId="25" borderId="114" xfId="0" applyFont="1" applyFill="1" applyBorder="1" applyAlignment="1">
      <alignment wrapText="1"/>
    </xf>
    <xf numFmtId="0" fontId="12" fillId="29" borderId="114" xfId="0" applyFont="1" applyFill="1" applyBorder="1" applyAlignment="1">
      <alignment wrapText="1"/>
    </xf>
    <xf numFmtId="0" fontId="12" fillId="33" borderId="114" xfId="0" applyFont="1" applyFill="1" applyBorder="1" applyAlignment="1">
      <alignment wrapText="1"/>
    </xf>
    <xf numFmtId="0" fontId="12" fillId="37" borderId="114" xfId="0" applyFont="1" applyFill="1" applyBorder="1" applyAlignment="1">
      <alignment wrapText="1"/>
    </xf>
    <xf numFmtId="0" fontId="12" fillId="39" borderId="114" xfId="0" applyFont="1" applyFill="1" applyBorder="1" applyAlignment="1">
      <alignment vertical="center" wrapText="1"/>
    </xf>
    <xf numFmtId="0" fontId="12" fillId="25" borderId="114" xfId="0" applyFont="1" applyFill="1" applyBorder="1" applyAlignment="1">
      <alignment vertical="center" wrapText="1"/>
    </xf>
    <xf numFmtId="0" fontId="12" fillId="29" borderId="114" xfId="0" applyFont="1" applyFill="1" applyBorder="1" applyAlignment="1">
      <alignment vertical="center" wrapText="1"/>
    </xf>
    <xf numFmtId="0" fontId="12" fillId="33" borderId="114" xfId="0" applyFont="1" applyFill="1" applyBorder="1" applyAlignment="1">
      <alignment vertical="center" wrapText="1"/>
    </xf>
    <xf numFmtId="0" fontId="12" fillId="37" borderId="114" xfId="0" applyFont="1" applyFill="1" applyBorder="1" applyAlignment="1">
      <alignment vertical="center" wrapText="1"/>
    </xf>
    <xf numFmtId="0" fontId="0" fillId="20" borderId="115" xfId="0" applyFill="1" applyBorder="1" applyAlignment="1">
      <alignment horizontal="left" vertical="top" wrapText="1" indent="1"/>
    </xf>
    <xf numFmtId="0" fontId="12" fillId="39" borderId="114" xfId="0" applyFont="1" applyFill="1" applyBorder="1" applyAlignment="1">
      <alignment wrapText="1"/>
    </xf>
    <xf numFmtId="0" fontId="0" fillId="20" borderId="116" xfId="0" applyFill="1" applyBorder="1" applyAlignment="1">
      <alignment horizontal="left" vertical="top" wrapText="1" indent="1"/>
    </xf>
    <xf numFmtId="0" fontId="12" fillId="0" borderId="117" xfId="0" applyFont="1" applyBorder="1" applyAlignment="1">
      <alignment horizontal="center" wrapText="1"/>
    </xf>
    <xf numFmtId="0" fontId="12" fillId="0" borderId="7" xfId="0" applyFont="1" applyBorder="1" applyAlignment="1">
      <alignment horizontal="center" wrapText="1"/>
    </xf>
    <xf numFmtId="0" fontId="19" fillId="39" borderId="3" xfId="0" applyFont="1" applyFill="1" applyBorder="1" applyAlignment="1">
      <alignment vertical="center" wrapText="1"/>
    </xf>
    <xf numFmtId="0" fontId="19" fillId="19" borderId="2" xfId="0" applyFont="1" applyFill="1" applyBorder="1" applyAlignment="1">
      <alignment horizontal="center" vertical="center"/>
    </xf>
    <xf numFmtId="0" fontId="19" fillId="19" borderId="16" xfId="0" applyFont="1" applyFill="1" applyBorder="1" applyAlignment="1">
      <alignment horizontal="left" vertical="center" wrapText="1" indent="1"/>
    </xf>
    <xf numFmtId="0" fontId="19" fillId="19" borderId="22" xfId="0" applyFont="1" applyFill="1" applyBorder="1" applyAlignment="1">
      <alignment horizontal="left" vertical="center" wrapText="1" indent="1"/>
    </xf>
    <xf numFmtId="0" fontId="0" fillId="19" borderId="118" xfId="0" applyFill="1" applyBorder="1" applyAlignment="1">
      <alignment horizontal="left" vertical="center" wrapText="1" indent="1"/>
    </xf>
    <xf numFmtId="0" fontId="12" fillId="25" borderId="10" xfId="0" applyFont="1" applyFill="1" applyBorder="1" applyAlignment="1">
      <alignment wrapText="1"/>
    </xf>
    <xf numFmtId="0" fontId="12" fillId="25" borderId="47" xfId="0" applyFont="1" applyFill="1" applyBorder="1" applyAlignment="1">
      <alignment wrapText="1"/>
    </xf>
    <xf numFmtId="0" fontId="0" fillId="19" borderId="7" xfId="0" applyFill="1" applyBorder="1" applyAlignment="1">
      <alignment horizontal="left" vertical="center" wrapText="1" indent="1"/>
    </xf>
    <xf numFmtId="0" fontId="0" fillId="20" borderId="7" xfId="0" applyFill="1" applyBorder="1" applyAlignment="1">
      <alignment horizontal="left" vertical="top" wrapText="1" indent="1"/>
    </xf>
    <xf numFmtId="0" fontId="12" fillId="25" borderId="7" xfId="0" applyFont="1" applyFill="1" applyBorder="1" applyAlignment="1">
      <alignment wrapText="1"/>
    </xf>
    <xf numFmtId="0" fontId="0" fillId="19" borderId="7" xfId="0" applyFill="1" applyBorder="1" applyAlignment="1">
      <alignment horizontal="center" vertical="center"/>
    </xf>
    <xf numFmtId="0" fontId="0" fillId="19" borderId="101" xfId="0" applyFill="1" applyBorder="1" applyAlignment="1">
      <alignment horizontal="center" vertical="center"/>
    </xf>
    <xf numFmtId="0" fontId="0" fillId="19" borderId="64" xfId="0" applyFill="1" applyBorder="1" applyAlignment="1">
      <alignment horizontal="left" vertical="center" wrapText="1" indent="1"/>
    </xf>
    <xf numFmtId="0" fontId="15" fillId="36" borderId="122" xfId="0" applyFont="1" applyFill="1" applyBorder="1" applyAlignment="1">
      <alignment horizontal="center" vertical="center" wrapText="1"/>
    </xf>
    <xf numFmtId="0" fontId="0" fillId="20" borderId="123" xfId="0" applyFill="1" applyBorder="1" applyAlignment="1">
      <alignment horizontal="left" vertical="top" wrapText="1" indent="1"/>
    </xf>
    <xf numFmtId="0" fontId="0" fillId="2" borderId="8" xfId="0" applyFill="1" applyBorder="1" applyAlignment="1">
      <alignment vertical="center"/>
    </xf>
    <xf numFmtId="0" fontId="14" fillId="38" borderId="9" xfId="0" applyFont="1" applyFill="1" applyBorder="1" applyAlignment="1">
      <alignment horizontal="center" vertical="center" wrapText="1"/>
    </xf>
    <xf numFmtId="0" fontId="0" fillId="48" borderId="7" xfId="0" applyFill="1" applyBorder="1" applyAlignment="1">
      <alignment horizontal="center" vertical="center"/>
    </xf>
    <xf numFmtId="0" fontId="0" fillId="25" borderId="7" xfId="0" applyFill="1" applyBorder="1" applyAlignment="1">
      <alignment horizontal="center" vertical="center"/>
    </xf>
    <xf numFmtId="0" fontId="11" fillId="0" borderId="0" xfId="0" applyFont="1" applyAlignment="1">
      <alignment horizontal="center" vertical="center" wrapText="1"/>
    </xf>
    <xf numFmtId="0" fontId="0" fillId="49" borderId="7" xfId="0" applyFill="1" applyBorder="1"/>
    <xf numFmtId="0" fontId="12" fillId="33" borderId="7" xfId="0" applyFont="1" applyFill="1" applyBorder="1" applyAlignment="1">
      <alignment horizontal="center" vertical="center" wrapText="1"/>
    </xf>
    <xf numFmtId="0" fontId="0" fillId="33" borderId="7" xfId="0" applyFill="1" applyBorder="1"/>
    <xf numFmtId="0" fontId="0" fillId="49" borderId="7" xfId="0" applyFill="1" applyBorder="1" applyAlignment="1">
      <alignment horizontal="center" vertical="center"/>
    </xf>
    <xf numFmtId="0" fontId="0" fillId="33" borderId="7" xfId="0" applyFill="1" applyBorder="1" applyAlignment="1">
      <alignment horizontal="center" vertical="center"/>
    </xf>
    <xf numFmtId="0" fontId="23" fillId="33" borderId="7" xfId="0" applyFont="1" applyFill="1" applyBorder="1" applyAlignment="1">
      <alignment horizontal="center" vertical="center"/>
    </xf>
    <xf numFmtId="0" fontId="0" fillId="51" borderId="7" xfId="0" applyFill="1" applyBorder="1" applyAlignment="1">
      <alignment horizontal="center" vertical="center"/>
    </xf>
    <xf numFmtId="0" fontId="0" fillId="52" borderId="7" xfId="0" applyFill="1" applyBorder="1" applyAlignment="1">
      <alignment horizontal="center" vertical="center"/>
    </xf>
    <xf numFmtId="0" fontId="0" fillId="53" borderId="7" xfId="0" applyFill="1" applyBorder="1" applyAlignment="1">
      <alignment horizontal="center" vertical="center"/>
    </xf>
    <xf numFmtId="0" fontId="0" fillId="54" borderId="7" xfId="0" applyFill="1" applyBorder="1" applyAlignment="1">
      <alignment horizontal="center" vertical="center"/>
    </xf>
    <xf numFmtId="0" fontId="5" fillId="18" borderId="0" xfId="0" applyFont="1" applyFill="1" applyAlignment="1">
      <alignment horizontal="left" vertical="center"/>
    </xf>
    <xf numFmtId="0" fontId="3" fillId="2" borderId="0" xfId="0" applyFont="1" applyFill="1" applyAlignment="1">
      <alignment horizontal="center" vertical="center"/>
    </xf>
    <xf numFmtId="0" fontId="4" fillId="3" borderId="0" xfId="0" applyFont="1" applyFill="1" applyAlignment="1">
      <alignment horizontal="left" vertical="center"/>
    </xf>
    <xf numFmtId="0" fontId="5" fillId="4" borderId="0" xfId="0" applyFont="1" applyFill="1" applyAlignment="1">
      <alignment horizontal="left" vertical="center"/>
    </xf>
    <xf numFmtId="0" fontId="5" fillId="16" borderId="0" xfId="0" applyFont="1" applyFill="1" applyAlignment="1">
      <alignment horizontal="left" vertical="center"/>
    </xf>
    <xf numFmtId="0" fontId="5" fillId="17" borderId="0" xfId="0" applyFont="1" applyFill="1" applyAlignment="1">
      <alignment horizontal="left" vertical="center"/>
    </xf>
    <xf numFmtId="0" fontId="16" fillId="16" borderId="120" xfId="0" applyFont="1" applyFill="1" applyBorder="1" applyAlignment="1">
      <alignment horizontal="left" vertical="center"/>
    </xf>
    <xf numFmtId="0" fontId="16" fillId="16" borderId="121" xfId="0" applyFont="1" applyFill="1" applyBorder="1" applyAlignment="1">
      <alignment horizontal="left" vertical="center"/>
    </xf>
    <xf numFmtId="0" fontId="16" fillId="16" borderId="41" xfId="0" applyFont="1" applyFill="1" applyBorder="1" applyAlignment="1">
      <alignment horizontal="left" vertical="center"/>
    </xf>
    <xf numFmtId="0" fontId="16" fillId="17" borderId="119" xfId="0" applyFont="1" applyFill="1" applyBorder="1" applyAlignment="1">
      <alignment horizontal="left" vertical="center"/>
    </xf>
    <xf numFmtId="0" fontId="16" fillId="17" borderId="26" xfId="0" applyFont="1" applyFill="1" applyBorder="1" applyAlignment="1">
      <alignment horizontal="left" vertical="center"/>
    </xf>
    <xf numFmtId="0" fontId="12" fillId="0" borderId="0" xfId="0" applyFont="1" applyBorder="1" applyAlignment="1">
      <alignment horizontal="center" wrapText="1"/>
    </xf>
    <xf numFmtId="0" fontId="0" fillId="20" borderId="39" xfId="0" applyFill="1" applyBorder="1" applyAlignment="1">
      <alignment horizontal="left" vertical="top" wrapText="1" indent="1"/>
    </xf>
    <xf numFmtId="0" fontId="0" fillId="0" borderId="39" xfId="0" applyBorder="1"/>
    <xf numFmtId="0" fontId="0" fillId="0" borderId="39" xfId="0" applyBorder="1" applyAlignment="1">
      <alignment horizontal="center"/>
    </xf>
    <xf numFmtId="0" fontId="0" fillId="20" borderId="35" xfId="0" applyFill="1" applyBorder="1" applyAlignment="1">
      <alignment horizontal="left" vertical="top" wrapText="1" indent="1"/>
    </xf>
    <xf numFmtId="0" fontId="0" fillId="20" borderId="65" xfId="0" applyFill="1" applyBorder="1" applyAlignment="1">
      <alignment horizontal="center" vertical="center" wrapText="1"/>
    </xf>
    <xf numFmtId="0" fontId="0" fillId="0" borderId="35" xfId="0" applyBorder="1" applyAlignment="1">
      <alignment horizontal="center"/>
    </xf>
    <xf numFmtId="0" fontId="0" fillId="19" borderId="0" xfId="0" applyFill="1" applyBorder="1" applyAlignment="1">
      <alignment horizontal="center" vertical="center"/>
    </xf>
    <xf numFmtId="0" fontId="0" fillId="19" borderId="0" xfId="0" applyFill="1" applyBorder="1" applyAlignment="1">
      <alignment horizontal="left" vertical="center" wrapText="1" indent="1"/>
    </xf>
    <xf numFmtId="0" fontId="21" fillId="0" borderId="21" xfId="0" applyFont="1" applyBorder="1" applyAlignment="1">
      <alignment wrapText="1"/>
    </xf>
    <xf numFmtId="0" fontId="0" fillId="47" borderId="0" xfId="0" applyFill="1" applyBorder="1" applyAlignment="1">
      <alignment horizontal="left" vertical="top" wrapText="1" indent="1"/>
    </xf>
    <xf numFmtId="0" fontId="21" fillId="0" borderId="21" xfId="0" applyFont="1" applyBorder="1"/>
    <xf numFmtId="0" fontId="0" fillId="20" borderId="0" xfId="0" applyFill="1" applyBorder="1" applyAlignment="1">
      <alignment horizontal="left" vertical="top" wrapText="1" indent="1"/>
    </xf>
    <xf numFmtId="0" fontId="0" fillId="0" borderId="21" xfId="0" applyBorder="1"/>
    <xf numFmtId="0" fontId="0" fillId="20" borderId="106" xfId="0" applyFill="1" applyBorder="1" applyAlignment="1">
      <alignment horizontal="left" vertical="top" wrapText="1" indent="1"/>
    </xf>
    <xf numFmtId="0" fontId="0" fillId="0" borderId="24" xfId="0" applyBorder="1"/>
    <xf numFmtId="0" fontId="21" fillId="0" borderId="24" xfId="0" applyFont="1" applyBorder="1"/>
    <xf numFmtId="0" fontId="0" fillId="42" borderId="21" xfId="0" applyFill="1" applyBorder="1"/>
    <xf numFmtId="0" fontId="0" fillId="47" borderId="116" xfId="0" applyFill="1" applyBorder="1" applyAlignment="1">
      <alignment horizontal="left" vertical="top" wrapText="1" indent="1"/>
    </xf>
    <xf numFmtId="0" fontId="0" fillId="50" borderId="2" xfId="0" applyFill="1" applyBorder="1"/>
    <xf numFmtId="0" fontId="0" fillId="19" borderId="106" xfId="0" applyFill="1" applyBorder="1" applyAlignment="1">
      <alignment horizontal="center" vertical="center"/>
    </xf>
    <xf numFmtId="0" fontId="0" fillId="50" borderId="16" xfId="0" applyFill="1" applyBorder="1"/>
    <xf numFmtId="0" fontId="0" fillId="50" borderId="22" xfId="0" applyFill="1" applyBorder="1"/>
  </cellXfs>
  <cellStyles count="3">
    <cellStyle name="Normal" xfId="0" builtinId="0"/>
    <cellStyle name="Normal 2" xfId="1" xr:uid="{1DDE0E70-0F44-4D8D-8E60-6CBC9D8582F3}"/>
    <cellStyle name="Normal 3" xfId="2" xr:uid="{65C186D6-6A0B-4810-A113-E56DA7BFF14F}"/>
  </cellStyles>
  <dxfs count="0"/>
  <tableStyles count="0" defaultTableStyle="TableStyleMedium2" defaultPivotStyle="PivotStyleLight16"/>
  <colors>
    <indexedColors>
      <rgbColor rgb="FF000000"/>
      <rgbColor rgb="FFFFFFFF"/>
      <rgbColor rgb="FFFF0000"/>
      <rgbColor rgb="FF00FF00"/>
      <rgbColor rgb="FF0000FF"/>
      <rgbColor rgb="FFF0FFF4"/>
      <rgbColor rgb="FFFF00FF"/>
      <rgbColor rgb="FF00FFFF"/>
      <rgbColor rgb="FF800000"/>
      <rgbColor rgb="FF008000"/>
      <rgbColor rgb="FF000080"/>
      <rgbColor rgb="FFB7950B"/>
      <rgbColor rgb="FF800080"/>
      <rgbColor rgb="FF1E8449"/>
      <rgbColor rgb="FFCCCCCC"/>
      <rgbColor rgb="FF717D7E"/>
      <rgbColor rgb="FFF7F9FC"/>
      <rgbColor rgb="FF6C3483"/>
      <rgbColor rgb="FFFFFDE7"/>
      <rgbColor rgb="FFD6EAF8"/>
      <rgbColor rgb="FF660066"/>
      <rgbColor rgb="FFFF8080"/>
      <rgbColor rgb="FF2471A3"/>
      <rgbColor rgb="FFD5D8DC"/>
      <rgbColor rgb="FF000080"/>
      <rgbColor rgb="FFFF00FF"/>
      <rgbColor rgb="FFF8F9FA"/>
      <rgbColor rgb="FF00FFFF"/>
      <rgbColor rgb="FF800080"/>
      <rgbColor rgb="FF800000"/>
      <rgbColor rgb="FF008080"/>
      <rgbColor rgb="FF0000FF"/>
      <rgbColor rgb="FF00CCFF"/>
      <rgbColor rgb="FFEBF5FB"/>
      <rgbColor rgb="FFD5F5E3"/>
      <rgbColor rgb="FFFEF9E7"/>
      <rgbColor rgb="FFEEF2F7"/>
      <rgbColor rgb="FFF4ECF7"/>
      <rgbColor rgb="FFEEF6FF"/>
      <rgbColor rgb="FFFDEDEC"/>
      <rgbColor rgb="FF3366FF"/>
      <rgbColor rgb="FF33CCCC"/>
      <rgbColor rgb="FF99CC00"/>
      <rgbColor rgb="FFFFCC00"/>
      <rgbColor rgb="FFFF9900"/>
      <rgbColor rgb="FFFF6600"/>
      <rgbColor rgb="FF555555"/>
      <rgbColor rgb="FF999999"/>
      <rgbColor rgb="FF1A5276"/>
      <rgbColor rgb="FF1A9E7D"/>
      <rgbColor rgb="FF003300"/>
      <rgbColor rgb="FF333300"/>
      <rgbColor rgb="FFA04000"/>
      <rgbColor rgb="FF784212"/>
      <rgbColor rgb="FF2E4057"/>
      <rgbColor rgb="FF333333"/>
      <rgbColor rgb="00003366"/>
      <rgbColor rgb="00339966"/>
      <rgbColor rgb="00003300"/>
      <rgbColor rgb="00333300"/>
      <rgbColor rgb="00993300"/>
      <rgbColor rgb="00993366"/>
      <rgbColor rgb="00333399"/>
      <rgbColor rgb="00333333"/>
    </indexedColors>
    <mruColors>
      <color rgb="FFFFFDE7"/>
      <color rgb="FF000000"/>
      <color rgb="FF09C3A0"/>
      <color rgb="FF0BE7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Normal="100" workbookViewId="0"/>
  </sheetViews>
  <sheetFormatPr baseColWidth="10" defaultColWidth="8.6328125" defaultRowHeight="14.5" x14ac:dyDescent="0.35"/>
  <sheetData>
    <row r="1" spans="1:8" x14ac:dyDescent="0.35">
      <c r="A1" t="s">
        <v>0</v>
      </c>
      <c r="B1" t="s">
        <v>1</v>
      </c>
      <c r="C1" t="s">
        <v>2</v>
      </c>
      <c r="D1" t="s">
        <v>3</v>
      </c>
      <c r="E1" t="s">
        <v>4</v>
      </c>
      <c r="G1" t="s">
        <v>0</v>
      </c>
      <c r="H1" t="s">
        <v>5</v>
      </c>
    </row>
    <row r="2" spans="1:8" x14ac:dyDescent="0.35">
      <c r="A2" t="s">
        <v>6</v>
      </c>
      <c r="B2" t="s">
        <v>7</v>
      </c>
      <c r="C2" t="s">
        <v>8</v>
      </c>
      <c r="E2" t="s">
        <v>9</v>
      </c>
      <c r="G2" t="s">
        <v>6</v>
      </c>
      <c r="H2" t="s">
        <v>10</v>
      </c>
    </row>
    <row r="3" spans="1:8" x14ac:dyDescent="0.35">
      <c r="A3" t="s">
        <v>11</v>
      </c>
      <c r="B3" t="s">
        <v>12</v>
      </c>
      <c r="E3" t="s">
        <v>13</v>
      </c>
      <c r="G3" t="s">
        <v>11</v>
      </c>
      <c r="H3" t="s">
        <v>14</v>
      </c>
    </row>
    <row r="4" spans="1:8" x14ac:dyDescent="0.35">
      <c r="A4" t="s">
        <v>15</v>
      </c>
      <c r="B4" t="s">
        <v>16</v>
      </c>
      <c r="E4" t="s">
        <v>17</v>
      </c>
      <c r="G4" t="s">
        <v>15</v>
      </c>
      <c r="H4" t="s">
        <v>18</v>
      </c>
    </row>
    <row r="5" spans="1:8" x14ac:dyDescent="0.35">
      <c r="E5" t="s">
        <v>19</v>
      </c>
    </row>
    <row r="6" spans="1:8" x14ac:dyDescent="0.35">
      <c r="E6" t="s">
        <v>20</v>
      </c>
    </row>
    <row r="7" spans="1:8" x14ac:dyDescent="0.35">
      <c r="E7" t="s">
        <v>21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38"/>
  <sheetViews>
    <sheetView showGridLines="0" topLeftCell="E5" zoomScaleNormal="100" workbookViewId="0"/>
  </sheetViews>
  <sheetFormatPr baseColWidth="10" defaultColWidth="8.6328125" defaultRowHeight="14.5" x14ac:dyDescent="0.35"/>
  <cols>
    <col min="1" max="1" width="3" customWidth="1"/>
    <col min="2" max="2" width="20" customWidth="1"/>
    <col min="3" max="9" width="16" customWidth="1"/>
  </cols>
  <sheetData>
    <row r="1" spans="2:9" ht="33.75" customHeight="1" x14ac:dyDescent="0.35">
      <c r="B1" s="328" t="s">
        <v>22</v>
      </c>
      <c r="C1" s="328"/>
      <c r="D1" s="328"/>
      <c r="E1" s="328"/>
      <c r="F1" s="328"/>
      <c r="G1" s="328"/>
      <c r="H1" s="328"/>
      <c r="I1" s="328"/>
    </row>
    <row r="3" spans="2:9" ht="19.5" customHeight="1" x14ac:dyDescent="0.35">
      <c r="B3" s="329" t="s">
        <v>23</v>
      </c>
      <c r="C3" s="329"/>
      <c r="D3" s="329"/>
      <c r="E3" s="329"/>
      <c r="F3" s="329"/>
      <c r="G3" s="329"/>
      <c r="H3" s="329"/>
      <c r="I3" s="329"/>
    </row>
    <row r="5" spans="2:9" ht="24" customHeight="1" x14ac:dyDescent="0.35">
      <c r="B5" s="330" t="s">
        <v>24</v>
      </c>
      <c r="C5" s="330"/>
      <c r="D5" s="330"/>
      <c r="E5" s="330"/>
      <c r="F5" s="330"/>
      <c r="G5" s="330"/>
      <c r="H5" s="330"/>
      <c r="I5" s="330"/>
    </row>
    <row r="6" spans="2:9" ht="18" customHeight="1" x14ac:dyDescent="0.35">
      <c r="B6" s="1" t="s">
        <v>25</v>
      </c>
      <c r="C6" s="1" t="s">
        <v>5</v>
      </c>
      <c r="D6" s="1" t="s">
        <v>10</v>
      </c>
      <c r="E6" s="1" t="s">
        <v>14</v>
      </c>
      <c r="F6" s="1" t="s">
        <v>26</v>
      </c>
      <c r="G6" s="1" t="s">
        <v>27</v>
      </c>
      <c r="H6" s="1" t="s">
        <v>28</v>
      </c>
      <c r="I6" s="1"/>
    </row>
    <row r="7" spans="2:9" ht="18" customHeight="1" x14ac:dyDescent="0.35">
      <c r="B7" s="2" t="s">
        <v>29</v>
      </c>
      <c r="C7" s="3">
        <f>COUNTIF(Evaluation!K3:K202,"1. Reproduction")</f>
        <v>38</v>
      </c>
      <c r="D7" s="4">
        <f>COUNTIF(Evaluation!K3:K202,"2. Omissions")</f>
        <v>10</v>
      </c>
      <c r="E7" s="5">
        <f>COUNTIF(Evaluation!K3:K202,"3. Errors")</f>
        <v>16</v>
      </c>
      <c r="F7" s="6">
        <f>COUNTIF(Evaluation!K3:K202,"4. Creative Shifts")</f>
        <v>129</v>
      </c>
      <c r="G7" s="7">
        <f>COUNTIF(Evaluation!K3:K202,"&lt;&gt;")</f>
        <v>193</v>
      </c>
      <c r="H7" s="8">
        <f>IFERROR(G7/200,"")</f>
        <v>0.96499999999999997</v>
      </c>
    </row>
    <row r="8" spans="2:9" ht="18" customHeight="1" x14ac:dyDescent="0.35">
      <c r="B8" s="9" t="s">
        <v>30</v>
      </c>
      <c r="C8" s="3">
        <f>COUNTIF(Evaluation!Q3:Q202,"1. Reproduction")</f>
        <v>46</v>
      </c>
      <c r="D8" s="4">
        <f>COUNTIF(Evaluation!Q3:Q202,"2. Omissions")</f>
        <v>8</v>
      </c>
      <c r="E8" s="5">
        <f>COUNTIF(Evaluation!Q3:Q202,"3. Errors")</f>
        <v>15</v>
      </c>
      <c r="F8" s="6">
        <f>COUNTIF(Evaluation!Q3:Q202,"4. Creative Shifts")</f>
        <v>124</v>
      </c>
      <c r="G8" s="7">
        <f>COUNTIF(Evaluation!Q3:Q202,"&lt;&gt;")</f>
        <v>193</v>
      </c>
      <c r="H8" s="8">
        <f>IFERROR(G8/200,"")</f>
        <v>0.96499999999999997</v>
      </c>
    </row>
    <row r="9" spans="2:9" ht="18" customHeight="1" x14ac:dyDescent="0.35">
      <c r="B9" s="10" t="s">
        <v>31</v>
      </c>
      <c r="C9" s="3">
        <f>COUNTIF(Evaluation!W3:W202,"1. Reproduction")</f>
        <v>46</v>
      </c>
      <c r="D9" s="4">
        <f>COUNTIF(Evaluation!W3:W202,"2. Omissions")</f>
        <v>12</v>
      </c>
      <c r="E9" s="5">
        <f>COUNTIF(Evaluation!W3:W202,"3. Errors")</f>
        <v>13</v>
      </c>
      <c r="F9" s="6">
        <f>COUNTIF(Evaluation!W3:W202,"4. Creative Shifts")</f>
        <v>122</v>
      </c>
      <c r="G9" s="7">
        <f>COUNTIF(Evaluation!W3:W202,"&lt;&gt;")</f>
        <v>193</v>
      </c>
      <c r="H9" s="8">
        <f>IFERROR(G9/200,"")</f>
        <v>0.96499999999999997</v>
      </c>
    </row>
    <row r="10" spans="2:9" ht="18" customHeight="1" x14ac:dyDescent="0.35">
      <c r="B10" s="11" t="s">
        <v>32</v>
      </c>
      <c r="C10" s="3">
        <f>COUNTIF(Evaluation!AC3:AC202,"1. Reproduction")</f>
        <v>42</v>
      </c>
      <c r="D10" s="4">
        <f>COUNTIF(Evaluation!AC3:AC202,"2. Omissions")</f>
        <v>11</v>
      </c>
      <c r="E10" s="5">
        <f>COUNTIF(Evaluation!AC3:AC202,"3. Errors")</f>
        <v>12</v>
      </c>
      <c r="F10" s="6">
        <f>COUNTIF(Evaluation!AC3:AC202,"4. Creative Shifts")</f>
        <v>128</v>
      </c>
      <c r="G10" s="7">
        <f>COUNTIF(Evaluation!AC3:AC202,"&lt;&gt;")</f>
        <v>193</v>
      </c>
      <c r="H10" s="8">
        <f>IFERROR(G10/200,"")</f>
        <v>0.96499999999999997</v>
      </c>
    </row>
    <row r="11" spans="2:9" ht="18" customHeight="1" x14ac:dyDescent="0.35">
      <c r="B11" s="12" t="s">
        <v>33</v>
      </c>
      <c r="C11" s="3">
        <f>COUNTIF(Evaluation!AI3:AI202,"1. Reproduction")</f>
        <v>41</v>
      </c>
      <c r="D11" s="4">
        <f>COUNTIF(Evaluation!AI3:AI202,"2. Omissions")</f>
        <v>13</v>
      </c>
      <c r="E11" s="5">
        <f>COUNTIF(Evaluation!AI3:AI202,"3. Errors")</f>
        <v>14</v>
      </c>
      <c r="F11" s="6">
        <f>COUNTIF(Evaluation!AI3:AI202,"4. Creative Shifts")</f>
        <v>125</v>
      </c>
      <c r="G11" s="7">
        <f>COUNTIF(Evaluation!AI3:AI202,"&lt;&gt;")</f>
        <v>193</v>
      </c>
      <c r="H11" s="8">
        <f>IFERROR(G11/200,"")</f>
        <v>0.96499999999999997</v>
      </c>
    </row>
    <row r="14" spans="2:9" ht="24" customHeight="1" x14ac:dyDescent="0.35">
      <c r="B14" s="331" t="s">
        <v>34</v>
      </c>
      <c r="C14" s="331"/>
      <c r="D14" s="331"/>
      <c r="E14" s="331"/>
      <c r="F14" s="331"/>
      <c r="G14" s="331"/>
      <c r="H14" s="331"/>
      <c r="I14" s="331"/>
    </row>
    <row r="15" spans="2:9" ht="18" customHeight="1" x14ac:dyDescent="0.35">
      <c r="B15" s="1" t="s">
        <v>25</v>
      </c>
      <c r="C15" s="1" t="s">
        <v>5</v>
      </c>
      <c r="D15" s="1" t="s">
        <v>10</v>
      </c>
      <c r="E15" s="1" t="s">
        <v>14</v>
      </c>
      <c r="F15" s="1" t="s">
        <v>26</v>
      </c>
      <c r="G15" s="1" t="s">
        <v>27</v>
      </c>
      <c r="H15" s="1" t="s">
        <v>28</v>
      </c>
      <c r="I15" s="1"/>
    </row>
    <row r="16" spans="2:9" ht="18" customHeight="1" x14ac:dyDescent="0.35">
      <c r="B16" s="2" t="s">
        <v>29</v>
      </c>
      <c r="C16" s="3">
        <f>COUNTIF(Evaluation!AO3:AO202,"1. Reproduction")</f>
        <v>77</v>
      </c>
      <c r="D16" s="4">
        <f>COUNTIF(Evaluation!AO3:AO202,"2. Omissions")</f>
        <v>3</v>
      </c>
      <c r="E16" s="5">
        <f>COUNTIF(Evaluation!AO3:AO202,"3. Errors")</f>
        <v>21</v>
      </c>
      <c r="F16" s="6">
        <f>COUNTIF(Evaluation!AO3:AO202,"4. Creative Shifts")</f>
        <v>92</v>
      </c>
      <c r="G16" s="7">
        <f>COUNTIF(Evaluation!AO3:AO202,"&lt;&gt;")</f>
        <v>193</v>
      </c>
      <c r="H16" s="8">
        <f>IFERROR(G16/200,"")</f>
        <v>0.96499999999999997</v>
      </c>
    </row>
    <row r="17" spans="2:9" ht="18" customHeight="1" x14ac:dyDescent="0.35">
      <c r="B17" s="9" t="s">
        <v>30</v>
      </c>
      <c r="C17" s="3">
        <f>COUNTIF(Evaluation!AU3:AU202,"1. Reproduction")</f>
        <v>76</v>
      </c>
      <c r="D17" s="4">
        <f>COUNTIF(Evaluation!AU3:AU202,"2. Omissions")</f>
        <v>3</v>
      </c>
      <c r="E17" s="5">
        <f>COUNTIF(Evaluation!AU3:AU202,"3. Errors")</f>
        <v>17</v>
      </c>
      <c r="F17" s="6">
        <f>COUNTIF(Evaluation!AU3:AU202,"4. Creative Shifts")</f>
        <v>97</v>
      </c>
      <c r="G17" s="7">
        <f>COUNTIF(Evaluation!AU3:AU202,"&lt;&gt;")</f>
        <v>193</v>
      </c>
      <c r="H17" s="8">
        <f>IFERROR(G17/200,"")</f>
        <v>0.96499999999999997</v>
      </c>
    </row>
    <row r="18" spans="2:9" ht="18" customHeight="1" x14ac:dyDescent="0.35">
      <c r="B18" s="10" t="s">
        <v>31</v>
      </c>
      <c r="C18" s="3">
        <f>COUNTIF(Evaluation!BA3:BA202,"1. Reproduction")</f>
        <v>76</v>
      </c>
      <c r="D18" s="4">
        <f>COUNTIF(Evaluation!BA3:BA202,"2. Omissions")</f>
        <v>6</v>
      </c>
      <c r="E18" s="5">
        <f>COUNTIF(Evaluation!BA3:BA202,"3. Errors")</f>
        <v>17</v>
      </c>
      <c r="F18" s="6">
        <f>COUNTIF(Evaluation!BA3:BA202,"4. Creative Shifts")</f>
        <v>94</v>
      </c>
      <c r="G18" s="7">
        <f>COUNTIF(Evaluation!BA3:BA202,"&lt;&gt;")</f>
        <v>193</v>
      </c>
      <c r="H18" s="8">
        <f>IFERROR(G18/200,"")</f>
        <v>0.96499999999999997</v>
      </c>
    </row>
    <row r="19" spans="2:9" ht="18" customHeight="1" x14ac:dyDescent="0.35">
      <c r="B19" s="11" t="s">
        <v>32</v>
      </c>
      <c r="C19" s="3">
        <f>COUNTIF(Evaluation!BG3:BG202,"1. Reproduction")</f>
        <v>82</v>
      </c>
      <c r="D19" s="4">
        <f>COUNTIF(Evaluation!BG3:BG202,"2. Omissions")</f>
        <v>2</v>
      </c>
      <c r="E19" s="5">
        <f>COUNTIF(Evaluation!BG3:BG202,"3. Errors")</f>
        <v>18</v>
      </c>
      <c r="F19" s="6">
        <f>COUNTIF(Evaluation!BG3:BG202,"4. Creative Shifts")</f>
        <v>91</v>
      </c>
      <c r="G19" s="7">
        <f>COUNTIF(Evaluation!BG3:BG202,"&lt;&gt;")</f>
        <v>193</v>
      </c>
      <c r="H19" s="8">
        <f>IFERROR(G19/200,"")</f>
        <v>0.96499999999999997</v>
      </c>
    </row>
    <row r="20" spans="2:9" ht="18" customHeight="1" x14ac:dyDescent="0.35">
      <c r="B20" s="12" t="s">
        <v>33</v>
      </c>
      <c r="C20" s="3">
        <f>COUNTIF(Evaluation!BM3:BM202,"1. Reproduction")</f>
        <v>79</v>
      </c>
      <c r="D20" s="4">
        <f>COUNTIF(Evaluation!BM3:BM202,"2. Omissions")</f>
        <v>2</v>
      </c>
      <c r="E20" s="5">
        <f>COUNTIF(Evaluation!BM3:BM202,"3. Errors")</f>
        <v>20</v>
      </c>
      <c r="F20" s="6">
        <f>COUNTIF(Evaluation!BM3:BM202,"4. Creative Shifts")</f>
        <v>92</v>
      </c>
      <c r="G20" s="7">
        <f>COUNTIF(Evaluation!BM3:BM202,"&lt;&gt;")</f>
        <v>193</v>
      </c>
      <c r="H20" s="8">
        <f>IFERROR(G20/200,"")</f>
        <v>0.96499999999999997</v>
      </c>
    </row>
    <row r="23" spans="2:9" ht="24" customHeight="1" x14ac:dyDescent="0.35">
      <c r="B23" s="332" t="s">
        <v>35</v>
      </c>
      <c r="C23" s="332"/>
      <c r="D23" s="332"/>
      <c r="E23" s="332"/>
      <c r="F23" s="332"/>
      <c r="G23" s="332"/>
      <c r="H23" s="332"/>
      <c r="I23" s="332"/>
    </row>
    <row r="24" spans="2:9" ht="18" customHeight="1" x14ac:dyDescent="0.35">
      <c r="B24" s="1" t="s">
        <v>25</v>
      </c>
      <c r="C24" s="1" t="s">
        <v>5</v>
      </c>
      <c r="D24" s="1" t="s">
        <v>10</v>
      </c>
      <c r="E24" s="1" t="s">
        <v>14</v>
      </c>
      <c r="F24" s="1" t="s">
        <v>26</v>
      </c>
      <c r="G24" s="1" t="s">
        <v>27</v>
      </c>
      <c r="H24" s="1" t="s">
        <v>28</v>
      </c>
      <c r="I24" s="1"/>
    </row>
    <row r="25" spans="2:9" ht="18" customHeight="1" x14ac:dyDescent="0.35">
      <c r="B25" s="2" t="s">
        <v>29</v>
      </c>
      <c r="C25" s="3">
        <f>COUNTIF(Evaluation!BS3:BS202,"1. Reproduction")</f>
        <v>95</v>
      </c>
      <c r="D25" s="4">
        <f>COUNTIF(Evaluation!BS3:BS202,"2. Omissions")</f>
        <v>4</v>
      </c>
      <c r="E25" s="5">
        <f>COUNTIF(Evaluation!BS3:BS202,"3. Errors")</f>
        <v>12</v>
      </c>
      <c r="F25" s="6">
        <f>COUNTIF(Evaluation!BS3:BS202,"4. Creative Shifts")</f>
        <v>82</v>
      </c>
      <c r="G25" s="7">
        <f>COUNTIF(Evaluation!BS3:BS202,"&lt;&gt;")</f>
        <v>193</v>
      </c>
      <c r="H25" s="8">
        <f>IFERROR(G25/200,"")</f>
        <v>0.96499999999999997</v>
      </c>
    </row>
    <row r="26" spans="2:9" ht="18" customHeight="1" x14ac:dyDescent="0.35">
      <c r="B26" s="9" t="s">
        <v>30</v>
      </c>
      <c r="C26" s="3">
        <f>COUNTIF(Evaluation!BY3:BY202,"1. Reproduction")</f>
        <v>82</v>
      </c>
      <c r="D26" s="4">
        <f>COUNTIF(Evaluation!BY3:BY202,"2. Omissions")</f>
        <v>9</v>
      </c>
      <c r="E26" s="5">
        <f>COUNTIF(Evaluation!BY3:BY202,"3. Errors")</f>
        <v>12</v>
      </c>
      <c r="F26" s="6">
        <f>COUNTIF(Evaluation!BY3:BY202,"4. Creative Shifts")</f>
        <v>90</v>
      </c>
      <c r="G26" s="7">
        <f>COUNTIF(Evaluation!BY3:BY202,"&lt;&gt;")</f>
        <v>193</v>
      </c>
      <c r="H26" s="8">
        <f>IFERROR(G26/200,"")</f>
        <v>0.96499999999999997</v>
      </c>
    </row>
    <row r="27" spans="2:9" ht="18" customHeight="1" x14ac:dyDescent="0.35">
      <c r="B27" s="10" t="s">
        <v>31</v>
      </c>
      <c r="C27" s="3">
        <f>COUNTIF(Evaluation!CE3:CE202,"1. Reproduction")</f>
        <v>95</v>
      </c>
      <c r="D27" s="4">
        <f>COUNTIF(Evaluation!CE3:CE202,"2. Omissions")</f>
        <v>2</v>
      </c>
      <c r="E27" s="5">
        <f>COUNTIF(Evaluation!CE3:CE202,"3. Errors")</f>
        <v>8</v>
      </c>
      <c r="F27" s="6">
        <f>COUNTIF(Evaluation!CE3:CE202,"4. Creative Shifts")</f>
        <v>88</v>
      </c>
      <c r="G27" s="7">
        <f>COUNTIF(Evaluation!CE3:CE202,"&lt;&gt;")</f>
        <v>193</v>
      </c>
      <c r="H27" s="8">
        <f>IFERROR(G27/200,"")</f>
        <v>0.96499999999999997</v>
      </c>
    </row>
    <row r="28" spans="2:9" ht="18" customHeight="1" x14ac:dyDescent="0.35">
      <c r="B28" s="11" t="s">
        <v>32</v>
      </c>
      <c r="C28" s="3">
        <f>COUNTIF(Evaluation!CK3:CK202,"1. Reproduction")</f>
        <v>93</v>
      </c>
      <c r="D28" s="4">
        <f>COUNTIF(Evaluation!CK3:CK202,"2. Omissions")</f>
        <v>4</v>
      </c>
      <c r="E28" s="5">
        <f>COUNTIF(Evaluation!CK3:CK202,"3. Errors")</f>
        <v>11</v>
      </c>
      <c r="F28" s="6">
        <f>COUNTIF(Evaluation!CK3:CK202,"4. Creative Shifts")</f>
        <v>85</v>
      </c>
      <c r="G28" s="7">
        <f>COUNTIF(Evaluation!CK3:CK202,"&lt;&gt;")</f>
        <v>193</v>
      </c>
      <c r="H28" s="8">
        <f>IFERROR(G28/200,"")</f>
        <v>0.96499999999999997</v>
      </c>
    </row>
    <row r="29" spans="2:9" ht="18" customHeight="1" x14ac:dyDescent="0.35">
      <c r="B29" s="12" t="s">
        <v>33</v>
      </c>
      <c r="C29" s="3">
        <f>COUNTIF(Evaluation!CQ3:CQ202,"1. Reproduction")</f>
        <v>93</v>
      </c>
      <c r="D29" s="4">
        <f>COUNTIF(Evaluation!CQ3:CQ202,"2. Omissions")</f>
        <v>4</v>
      </c>
      <c r="E29" s="5">
        <f>COUNTIF(Evaluation!CQ3:CQ202,"3. Errors")</f>
        <v>9</v>
      </c>
      <c r="F29" s="6">
        <f>COUNTIF(Evaluation!CQ3:CQ202,"4. Creative Shifts")</f>
        <v>87</v>
      </c>
      <c r="G29" s="7">
        <f>COUNTIF(Evaluation!CQ3:CQ202,"&lt;&gt;")</f>
        <v>193</v>
      </c>
      <c r="H29" s="8">
        <f>IFERROR(G29/200,"")</f>
        <v>0.96499999999999997</v>
      </c>
    </row>
    <row r="32" spans="2:9" ht="24" customHeight="1" x14ac:dyDescent="0.35">
      <c r="B32" s="327" t="s">
        <v>36</v>
      </c>
      <c r="C32" s="327"/>
      <c r="D32" s="327"/>
      <c r="E32" s="327"/>
      <c r="F32" s="327"/>
      <c r="G32" s="327"/>
      <c r="H32" s="327"/>
      <c r="I32" s="327"/>
    </row>
    <row r="33" spans="2:9" ht="18" customHeight="1" x14ac:dyDescent="0.35">
      <c r="B33" s="1" t="s">
        <v>25</v>
      </c>
      <c r="C33" s="1" t="s">
        <v>5</v>
      </c>
      <c r="D33" s="1" t="s">
        <v>10</v>
      </c>
      <c r="E33" s="1" t="s">
        <v>14</v>
      </c>
      <c r="F33" s="1" t="s">
        <v>26</v>
      </c>
      <c r="G33" s="1" t="s">
        <v>27</v>
      </c>
      <c r="H33" s="1" t="s">
        <v>28</v>
      </c>
      <c r="I33" s="1"/>
    </row>
    <row r="34" spans="2:9" ht="18" customHeight="1" x14ac:dyDescent="0.35">
      <c r="B34" s="2" t="s">
        <v>29</v>
      </c>
      <c r="C34" s="3" t="e">
        <f>COUNTIF(Evaluation!#REF!,"1. Reproduction")</f>
        <v>#REF!</v>
      </c>
      <c r="D34" s="4" t="e">
        <f>COUNTIF(Evaluation!#REF!,"2. Omissions")</f>
        <v>#REF!</v>
      </c>
      <c r="E34" s="5" t="e">
        <f>COUNTIF(Evaluation!#REF!,"3. Errors")</f>
        <v>#REF!</v>
      </c>
      <c r="F34" s="6" t="e">
        <f>COUNTIF(Evaluation!#REF!,"4. Creative Shifts")</f>
        <v>#REF!</v>
      </c>
      <c r="G34" s="7" t="e">
        <f>COUNTIF(Evaluation!#REF!,"&lt;&gt;")</f>
        <v>#REF!</v>
      </c>
      <c r="H34" s="8" t="str">
        <f>IFERROR(G34/200,"")</f>
        <v/>
      </c>
    </row>
    <row r="35" spans="2:9" ht="18" customHeight="1" x14ac:dyDescent="0.35">
      <c r="B35" s="9" t="s">
        <v>30</v>
      </c>
      <c r="C35" s="3" t="e">
        <f>COUNTIF(Evaluation!#REF!,"1. Reproduction")</f>
        <v>#REF!</v>
      </c>
      <c r="D35" s="4" t="e">
        <f>COUNTIF(Evaluation!#REF!,"2. Omissions")</f>
        <v>#REF!</v>
      </c>
      <c r="E35" s="5" t="e">
        <f>COUNTIF(Evaluation!#REF!,"3. Errors")</f>
        <v>#REF!</v>
      </c>
      <c r="F35" s="6" t="e">
        <f>COUNTIF(Evaluation!#REF!,"4. Creative Shifts")</f>
        <v>#REF!</v>
      </c>
      <c r="G35" s="7" t="e">
        <f>COUNTIF(Evaluation!#REF!,"&lt;&gt;")</f>
        <v>#REF!</v>
      </c>
      <c r="H35" s="8" t="str">
        <f>IFERROR(G35/200,"")</f>
        <v/>
      </c>
    </row>
    <row r="36" spans="2:9" ht="18" customHeight="1" x14ac:dyDescent="0.35">
      <c r="B36" s="10" t="s">
        <v>31</v>
      </c>
      <c r="C36" s="3" t="e">
        <f>COUNTIF(Evaluation!#REF!,"1. Reproduction")</f>
        <v>#REF!</v>
      </c>
      <c r="D36" s="4" t="e">
        <f>COUNTIF(Evaluation!#REF!,"2. Omissions")</f>
        <v>#REF!</v>
      </c>
      <c r="E36" s="5" t="e">
        <f>COUNTIF(Evaluation!#REF!,"3. Errors")</f>
        <v>#REF!</v>
      </c>
      <c r="F36" s="6" t="e">
        <f>COUNTIF(Evaluation!#REF!,"4. Creative Shifts")</f>
        <v>#REF!</v>
      </c>
      <c r="G36" s="7" t="e">
        <f>COUNTIF(Evaluation!#REF!,"&lt;&gt;")</f>
        <v>#REF!</v>
      </c>
      <c r="H36" s="8" t="str">
        <f>IFERROR(G36/200,"")</f>
        <v/>
      </c>
    </row>
    <row r="37" spans="2:9" ht="18" customHeight="1" x14ac:dyDescent="0.35">
      <c r="B37" s="11" t="s">
        <v>32</v>
      </c>
      <c r="C37" s="3" t="e">
        <f>COUNTIF(Evaluation!#REF!,"1. Reproduction")</f>
        <v>#REF!</v>
      </c>
      <c r="D37" s="4" t="e">
        <f>COUNTIF(Evaluation!#REF!,"2. Omissions")</f>
        <v>#REF!</v>
      </c>
      <c r="E37" s="5" t="e">
        <f>COUNTIF(Evaluation!#REF!,"3. Errors")</f>
        <v>#REF!</v>
      </c>
      <c r="F37" s="6" t="e">
        <f>COUNTIF(Evaluation!#REF!,"4. Creative Shifts")</f>
        <v>#REF!</v>
      </c>
      <c r="G37" s="7" t="e">
        <f>COUNTIF(Evaluation!#REF!,"&lt;&gt;")</f>
        <v>#REF!</v>
      </c>
      <c r="H37" s="8" t="str">
        <f>IFERROR(G37/200,"")</f>
        <v/>
      </c>
    </row>
    <row r="38" spans="2:9" ht="18" customHeight="1" x14ac:dyDescent="0.35">
      <c r="B38" s="12" t="s">
        <v>33</v>
      </c>
      <c r="C38" s="3" t="e">
        <f>COUNTIF(Evaluation!#REF!,"1. Reproduction")</f>
        <v>#REF!</v>
      </c>
      <c r="D38" s="4" t="e">
        <f>COUNTIF(Evaluation!#REF!,"2. Omissions")</f>
        <v>#REF!</v>
      </c>
      <c r="E38" s="5" t="e">
        <f>COUNTIF(Evaluation!#REF!,"3. Errors")</f>
        <v>#REF!</v>
      </c>
      <c r="F38" s="6" t="e">
        <f>COUNTIF(Evaluation!#REF!,"4. Creative Shifts")</f>
        <v>#REF!</v>
      </c>
      <c r="G38" s="7" t="e">
        <f>COUNTIF(Evaluation!#REF!,"&lt;&gt;")</f>
        <v>#REF!</v>
      </c>
      <c r="H38" s="8" t="str">
        <f>IFERROR(G38/200,"")</f>
        <v/>
      </c>
    </row>
  </sheetData>
  <mergeCells count="6">
    <mergeCell ref="B32:I32"/>
    <mergeCell ref="B1:I1"/>
    <mergeCell ref="B3:I3"/>
    <mergeCell ref="B5:I5"/>
    <mergeCell ref="B14:I14"/>
    <mergeCell ref="B23:I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M1001"/>
  <sheetViews>
    <sheetView showGridLines="0" tabSelected="1" zoomScale="40" zoomScaleNormal="40" workbookViewId="0">
      <selection sqref="A1:A1048576"/>
    </sheetView>
  </sheetViews>
  <sheetFormatPr baseColWidth="10" defaultColWidth="8.6328125" defaultRowHeight="14.5" x14ac:dyDescent="0.35"/>
  <cols>
    <col min="1" max="1" width="86.54296875" customWidth="1"/>
    <col min="2" max="2" width="72.54296875" style="20" customWidth="1"/>
    <col min="3" max="3" width="104.26953125" customWidth="1"/>
    <col min="4" max="4" width="107.7265625" customWidth="1"/>
    <col min="5" max="5" width="24.90625" customWidth="1"/>
    <col min="6" max="9" width="24.81640625" customWidth="1"/>
    <col min="10" max="10" width="66.81640625" customWidth="1"/>
    <col min="11" max="11" width="18" customWidth="1"/>
    <col min="12" max="12" width="24" customWidth="1"/>
    <col min="13" max="13" width="24" style="88" customWidth="1"/>
    <col min="14" max="14" width="24" style="92" customWidth="1"/>
    <col min="15" max="15" width="20" customWidth="1"/>
    <col min="16" max="16" width="57.1796875" customWidth="1"/>
    <col min="17" max="17" width="18" customWidth="1"/>
    <col min="18" max="18" width="24" customWidth="1"/>
    <col min="19" max="20" width="24" style="92" customWidth="1"/>
    <col min="21" max="21" width="20" customWidth="1"/>
    <col min="22" max="22" width="48.6328125" style="16" customWidth="1"/>
    <col min="23" max="23" width="18" customWidth="1"/>
    <col min="24" max="24" width="24" customWidth="1"/>
    <col min="25" max="26" width="24" style="92" customWidth="1"/>
    <col min="27" max="27" width="20" customWidth="1"/>
    <col min="28" max="28" width="47.7265625" customWidth="1"/>
    <col min="29" max="29" width="18" customWidth="1"/>
    <col min="30" max="30" width="24" customWidth="1"/>
    <col min="31" max="32" width="24" style="92" customWidth="1"/>
    <col min="33" max="33" width="20" customWidth="1"/>
    <col min="34" max="34" width="33.26953125" style="16" customWidth="1"/>
    <col min="35" max="35" width="18" customWidth="1"/>
    <col min="36" max="36" width="24" customWidth="1"/>
    <col min="37" max="38" width="24" style="92" customWidth="1"/>
    <col min="39" max="39" width="20" customWidth="1"/>
    <col min="40" max="40" width="64" customWidth="1"/>
    <col min="41" max="41" width="18" customWidth="1"/>
    <col min="42" max="42" width="24" customWidth="1"/>
    <col min="43" max="44" width="24" style="92" customWidth="1"/>
    <col min="45" max="45" width="20" customWidth="1"/>
    <col min="46" max="46" width="55.6328125" customWidth="1"/>
    <col min="47" max="47" width="18" customWidth="1"/>
    <col min="48" max="48" width="24" customWidth="1"/>
    <col min="49" max="50" width="24" style="92" customWidth="1"/>
    <col min="51" max="51" width="20" customWidth="1"/>
    <col min="52" max="52" width="43.08984375" customWidth="1"/>
    <col min="53" max="53" width="18" customWidth="1"/>
    <col min="54" max="54" width="24" customWidth="1"/>
    <col min="55" max="56" width="24" style="92" customWidth="1"/>
    <col min="57" max="57" width="20" customWidth="1"/>
    <col min="58" max="58" width="40.36328125" customWidth="1"/>
    <col min="59" max="59" width="18" customWidth="1"/>
    <col min="60" max="60" width="24" customWidth="1"/>
    <col min="61" max="62" width="24" style="92" customWidth="1"/>
    <col min="63" max="63" width="20" customWidth="1"/>
    <col min="64" max="64" width="50.81640625" customWidth="1"/>
    <col min="65" max="65" width="18" customWidth="1"/>
    <col min="66" max="66" width="24" customWidth="1"/>
    <col min="67" max="68" width="24" style="92" customWidth="1"/>
    <col min="69" max="69" width="20" customWidth="1"/>
    <col min="70" max="70" width="44.54296875" customWidth="1"/>
    <col min="71" max="71" width="18" customWidth="1"/>
    <col min="72" max="72" width="24" customWidth="1"/>
    <col min="73" max="74" width="24" style="92" customWidth="1"/>
    <col min="75" max="75" width="20" customWidth="1"/>
    <col min="76" max="76" width="50.6328125" customWidth="1"/>
    <col min="77" max="77" width="18" customWidth="1"/>
    <col min="78" max="78" width="24" customWidth="1"/>
    <col min="79" max="80" width="24" style="92" customWidth="1"/>
    <col min="81" max="81" width="20" customWidth="1"/>
    <col min="82" max="82" width="53.6328125" customWidth="1"/>
    <col min="83" max="83" width="18" customWidth="1"/>
    <col min="84" max="84" width="24" customWidth="1"/>
    <col min="85" max="86" width="24" style="92" customWidth="1"/>
    <col min="87" max="87" width="20" customWidth="1"/>
    <col min="88" max="88" width="47" customWidth="1"/>
    <col min="89" max="89" width="18" customWidth="1"/>
    <col min="90" max="90" width="24" customWidth="1"/>
    <col min="91" max="92" width="24" style="92" customWidth="1"/>
    <col min="93" max="93" width="20" customWidth="1"/>
    <col min="94" max="94" width="53.36328125" customWidth="1"/>
    <col min="95" max="95" width="18" customWidth="1"/>
    <col min="96" max="96" width="24" customWidth="1"/>
    <col min="97" max="98" width="24" style="92" customWidth="1"/>
    <col min="99" max="99" width="20" customWidth="1"/>
  </cols>
  <sheetData>
    <row r="1" spans="1:195" ht="21.75" customHeight="1" thickBot="1" x14ac:dyDescent="0.4">
      <c r="A1" s="312"/>
      <c r="B1" s="33"/>
      <c r="C1" s="312"/>
      <c r="D1" s="32"/>
      <c r="E1" s="78"/>
      <c r="F1" s="78"/>
      <c r="G1" s="78"/>
      <c r="H1" s="78"/>
      <c r="I1" s="78"/>
      <c r="J1" s="28" t="s">
        <v>61</v>
      </c>
      <c r="K1" s="29"/>
      <c r="L1" s="79"/>
      <c r="M1" s="147"/>
      <c r="N1" s="89"/>
      <c r="O1" s="84"/>
      <c r="P1" s="29"/>
      <c r="Q1" s="29"/>
      <c r="R1" s="79"/>
      <c r="S1" s="89"/>
      <c r="T1" s="89"/>
      <c r="U1" s="84"/>
      <c r="V1" s="30"/>
      <c r="W1" s="29"/>
      <c r="X1" s="79"/>
      <c r="Y1" s="89"/>
      <c r="Z1" s="89"/>
      <c r="AA1" s="84"/>
      <c r="AB1" s="29"/>
      <c r="AC1" s="29"/>
      <c r="AD1" s="79"/>
      <c r="AE1" s="89"/>
      <c r="AF1" s="89"/>
      <c r="AG1" s="84"/>
      <c r="AH1" s="30"/>
      <c r="AI1" s="29"/>
      <c r="AJ1" s="79"/>
      <c r="AK1" s="89"/>
      <c r="AL1" s="89"/>
      <c r="AM1" s="110"/>
      <c r="AN1" s="333" t="s">
        <v>62</v>
      </c>
      <c r="AO1" s="334"/>
      <c r="AP1" s="334"/>
      <c r="AQ1" s="334"/>
      <c r="AR1" s="334"/>
      <c r="AS1" s="334"/>
      <c r="AT1" s="334"/>
      <c r="AU1" s="334"/>
      <c r="AV1" s="334"/>
      <c r="AW1" s="334"/>
      <c r="AX1" s="334"/>
      <c r="AY1" s="334"/>
      <c r="AZ1" s="334"/>
      <c r="BA1" s="334"/>
      <c r="BB1" s="334"/>
      <c r="BC1" s="334"/>
      <c r="BD1" s="334"/>
      <c r="BE1" s="334"/>
      <c r="BF1" s="334"/>
      <c r="BG1" s="334"/>
      <c r="BH1" s="334"/>
      <c r="BI1" s="334"/>
      <c r="BJ1" s="334"/>
      <c r="BK1" s="334"/>
      <c r="BL1" s="334"/>
      <c r="BM1" s="334"/>
      <c r="BN1" s="334"/>
      <c r="BO1" s="334"/>
      <c r="BP1" s="334"/>
      <c r="BQ1" s="335"/>
      <c r="BR1" s="336" t="s">
        <v>68</v>
      </c>
      <c r="BS1" s="337"/>
      <c r="BT1" s="337"/>
      <c r="BU1" s="337"/>
      <c r="BV1" s="337"/>
      <c r="BW1" s="337"/>
      <c r="BX1" s="337"/>
      <c r="BY1" s="337"/>
      <c r="BZ1" s="337"/>
      <c r="CA1" s="337"/>
      <c r="CB1" s="337"/>
      <c r="CC1" s="337"/>
      <c r="CD1" s="337"/>
      <c r="CE1" s="337"/>
      <c r="CF1" s="337"/>
      <c r="CG1" s="337"/>
      <c r="CH1" s="337"/>
      <c r="CI1" s="337"/>
      <c r="CJ1" s="337"/>
      <c r="CK1" s="337"/>
      <c r="CL1" s="337"/>
      <c r="CM1" s="337"/>
      <c r="CN1" s="337"/>
      <c r="CO1" s="337"/>
      <c r="CP1" s="337"/>
      <c r="CQ1" s="337"/>
      <c r="CR1" s="337"/>
      <c r="CS1" s="337"/>
      <c r="CT1" s="337"/>
      <c r="CU1" s="337"/>
    </row>
    <row r="2" spans="1:195" s="39" customFormat="1" ht="39.75" customHeight="1" thickBot="1" x14ac:dyDescent="0.4">
      <c r="A2" s="313" t="s">
        <v>52</v>
      </c>
      <c r="B2" s="313" t="s">
        <v>54</v>
      </c>
      <c r="C2" s="313" t="s">
        <v>55</v>
      </c>
      <c r="D2" s="172" t="s">
        <v>54</v>
      </c>
      <c r="E2" s="316" t="s">
        <v>3857</v>
      </c>
      <c r="F2" s="140" t="s">
        <v>3369</v>
      </c>
      <c r="G2" s="141" t="s">
        <v>3858</v>
      </c>
      <c r="H2" s="141" t="s">
        <v>3826</v>
      </c>
      <c r="I2" s="140" t="s">
        <v>3583</v>
      </c>
      <c r="J2" s="180" t="s">
        <v>56</v>
      </c>
      <c r="K2" s="181" t="s">
        <v>37</v>
      </c>
      <c r="L2" s="182" t="s">
        <v>38</v>
      </c>
      <c r="M2" s="148" t="s">
        <v>3574</v>
      </c>
      <c r="N2" s="183" t="s">
        <v>3575</v>
      </c>
      <c r="O2" s="85" t="s">
        <v>39</v>
      </c>
      <c r="P2" s="48" t="s">
        <v>57</v>
      </c>
      <c r="Q2" s="37" t="s">
        <v>40</v>
      </c>
      <c r="R2" s="93" t="s">
        <v>41</v>
      </c>
      <c r="S2" s="95" t="s">
        <v>3574</v>
      </c>
      <c r="T2" s="95"/>
      <c r="U2" s="94" t="s">
        <v>42</v>
      </c>
      <c r="V2" s="51" t="s">
        <v>58</v>
      </c>
      <c r="W2" s="34" t="s">
        <v>43</v>
      </c>
      <c r="X2" s="96" t="s">
        <v>44</v>
      </c>
      <c r="Y2" s="98" t="s">
        <v>3574</v>
      </c>
      <c r="Z2" s="98" t="s">
        <v>3575</v>
      </c>
      <c r="AA2" s="97" t="s">
        <v>45</v>
      </c>
      <c r="AB2" s="53" t="s">
        <v>59</v>
      </c>
      <c r="AC2" s="35" t="s">
        <v>46</v>
      </c>
      <c r="AD2" s="99" t="s">
        <v>47</v>
      </c>
      <c r="AE2" s="101" t="s">
        <v>3574</v>
      </c>
      <c r="AF2" s="101" t="s">
        <v>3575</v>
      </c>
      <c r="AG2" s="100" t="s">
        <v>48</v>
      </c>
      <c r="AH2" s="55" t="s">
        <v>60</v>
      </c>
      <c r="AI2" s="38" t="s">
        <v>49</v>
      </c>
      <c r="AJ2" s="102" t="s">
        <v>50</v>
      </c>
      <c r="AK2" s="106" t="s">
        <v>3574</v>
      </c>
      <c r="AL2" s="106" t="s">
        <v>3575</v>
      </c>
      <c r="AM2" s="103" t="s">
        <v>51</v>
      </c>
      <c r="AN2" s="111" t="s">
        <v>63</v>
      </c>
      <c r="AO2" s="112" t="s">
        <v>37</v>
      </c>
      <c r="AP2" s="113" t="s">
        <v>38</v>
      </c>
      <c r="AQ2" s="114" t="s">
        <v>3574</v>
      </c>
      <c r="AR2" s="114" t="s">
        <v>3575</v>
      </c>
      <c r="AS2" s="115" t="s">
        <v>39</v>
      </c>
      <c r="AT2" s="116" t="s">
        <v>64</v>
      </c>
      <c r="AU2" s="117" t="s">
        <v>40</v>
      </c>
      <c r="AV2" s="118" t="s">
        <v>41</v>
      </c>
      <c r="AW2" s="119" t="s">
        <v>3574</v>
      </c>
      <c r="AX2" s="119" t="s">
        <v>3575</v>
      </c>
      <c r="AY2" s="120" t="s">
        <v>42</v>
      </c>
      <c r="AZ2" s="121" t="s">
        <v>65</v>
      </c>
      <c r="BA2" s="122" t="s">
        <v>43</v>
      </c>
      <c r="BB2" s="123" t="s">
        <v>44</v>
      </c>
      <c r="BC2" s="124" t="s">
        <v>3574</v>
      </c>
      <c r="BD2" s="124" t="s">
        <v>3575</v>
      </c>
      <c r="BE2" s="125" t="s">
        <v>45</v>
      </c>
      <c r="BF2" s="126" t="s">
        <v>66</v>
      </c>
      <c r="BG2" s="127" t="s">
        <v>46</v>
      </c>
      <c r="BH2" s="128" t="s">
        <v>47</v>
      </c>
      <c r="BI2" s="129" t="s">
        <v>3574</v>
      </c>
      <c r="BJ2" s="129" t="s">
        <v>3575</v>
      </c>
      <c r="BK2" s="130" t="s">
        <v>48</v>
      </c>
      <c r="BL2" s="131" t="s">
        <v>67</v>
      </c>
      <c r="BM2" s="132" t="s">
        <v>49</v>
      </c>
      <c r="BN2" s="133" t="s">
        <v>50</v>
      </c>
      <c r="BO2" s="109" t="s">
        <v>3574</v>
      </c>
      <c r="BP2" s="109" t="s">
        <v>3575</v>
      </c>
      <c r="BQ2" s="134" t="s">
        <v>51</v>
      </c>
      <c r="BR2" s="69" t="s">
        <v>2577</v>
      </c>
      <c r="BS2" s="70" t="s">
        <v>37</v>
      </c>
      <c r="BT2" s="80" t="s">
        <v>38</v>
      </c>
      <c r="BU2" s="90" t="s">
        <v>3574</v>
      </c>
      <c r="BV2" s="90" t="s">
        <v>3575</v>
      </c>
      <c r="BW2" s="85" t="s">
        <v>39</v>
      </c>
      <c r="BX2" s="48" t="s">
        <v>2578</v>
      </c>
      <c r="BY2" s="37" t="s">
        <v>30</v>
      </c>
      <c r="BZ2" s="93" t="s">
        <v>41</v>
      </c>
      <c r="CA2" s="95" t="s">
        <v>3574</v>
      </c>
      <c r="CB2" s="95" t="s">
        <v>3575</v>
      </c>
      <c r="CC2" s="94" t="s">
        <v>42</v>
      </c>
      <c r="CD2" s="51" t="s">
        <v>2579</v>
      </c>
      <c r="CE2" s="34" t="s">
        <v>43</v>
      </c>
      <c r="CF2" s="96" t="s">
        <v>44</v>
      </c>
      <c r="CG2" s="98" t="s">
        <v>3574</v>
      </c>
      <c r="CH2" s="98" t="s">
        <v>3575</v>
      </c>
      <c r="CI2" s="97" t="s">
        <v>45</v>
      </c>
      <c r="CJ2" s="53" t="s">
        <v>2580</v>
      </c>
      <c r="CK2" s="35" t="s">
        <v>46</v>
      </c>
      <c r="CL2" s="99" t="s">
        <v>47</v>
      </c>
      <c r="CM2" s="101" t="s">
        <v>3574</v>
      </c>
      <c r="CN2" s="101" t="s">
        <v>3575</v>
      </c>
      <c r="CO2" s="100" t="s">
        <v>48</v>
      </c>
      <c r="CP2" s="67" t="s">
        <v>2581</v>
      </c>
      <c r="CQ2" s="36" t="s">
        <v>49</v>
      </c>
      <c r="CR2" s="108" t="s">
        <v>50</v>
      </c>
      <c r="CS2" s="109" t="s">
        <v>3574</v>
      </c>
      <c r="CT2" s="109" t="s">
        <v>3575</v>
      </c>
      <c r="CU2" s="310" t="s">
        <v>51</v>
      </c>
      <c r="CV2" s="20"/>
      <c r="CW2" s="20"/>
      <c r="CX2" s="20"/>
      <c r="CY2" s="20"/>
      <c r="CZ2" s="20"/>
      <c r="DA2" s="20"/>
      <c r="DB2" s="20"/>
      <c r="DC2" s="20"/>
      <c r="DD2" s="20"/>
      <c r="DE2" s="20"/>
      <c r="DF2" s="20"/>
      <c r="DG2" s="20"/>
      <c r="DH2" s="20"/>
      <c r="DI2" s="20"/>
      <c r="DJ2" s="20"/>
      <c r="DK2" s="20"/>
      <c r="DL2" s="20"/>
      <c r="DM2" s="20"/>
      <c r="DN2" s="20"/>
      <c r="DO2" s="20"/>
      <c r="DP2" s="20"/>
      <c r="DQ2" s="20"/>
      <c r="DR2" s="20"/>
      <c r="DS2" s="20"/>
      <c r="DT2" s="20"/>
      <c r="DU2" s="20"/>
      <c r="DV2" s="20"/>
      <c r="DW2" s="20"/>
      <c r="DX2" s="20"/>
      <c r="DY2" s="20"/>
      <c r="DZ2" s="20"/>
      <c r="EA2" s="20"/>
      <c r="EB2" s="20"/>
      <c r="EC2" s="20"/>
      <c r="ED2" s="20"/>
      <c r="EE2" s="20"/>
      <c r="EF2" s="20"/>
      <c r="EG2" s="20"/>
      <c r="EH2" s="20"/>
      <c r="EI2" s="20"/>
      <c r="EJ2" s="20"/>
      <c r="EK2" s="20"/>
      <c r="EL2" s="20"/>
      <c r="EM2" s="20"/>
      <c r="EN2" s="20"/>
      <c r="EO2" s="20"/>
      <c r="EP2" s="20"/>
      <c r="EQ2" s="20"/>
      <c r="ER2" s="20"/>
      <c r="ES2" s="20"/>
      <c r="ET2" s="20"/>
      <c r="EU2" s="20"/>
      <c r="EV2" s="20"/>
      <c r="EW2" s="20"/>
      <c r="EX2" s="20"/>
      <c r="EY2" s="20"/>
      <c r="EZ2" s="20"/>
      <c r="FA2" s="20"/>
      <c r="FB2" s="20"/>
      <c r="FC2" s="20"/>
      <c r="FD2" s="20"/>
      <c r="FE2" s="20"/>
      <c r="FF2" s="20"/>
      <c r="FG2" s="20"/>
      <c r="FH2" s="20"/>
      <c r="FI2" s="20"/>
      <c r="FJ2" s="20"/>
      <c r="FK2" s="20"/>
      <c r="FL2" s="20"/>
      <c r="FM2" s="20"/>
      <c r="FN2" s="20"/>
      <c r="FO2" s="20"/>
      <c r="FP2" s="20"/>
      <c r="FQ2" s="20"/>
      <c r="FR2" s="20"/>
      <c r="FS2" s="20"/>
      <c r="FT2" s="20"/>
      <c r="FU2" s="20"/>
      <c r="FV2" s="20"/>
      <c r="FW2" s="20"/>
      <c r="FX2" s="20"/>
      <c r="FY2" s="20"/>
      <c r="FZ2" s="20"/>
      <c r="GA2" s="20"/>
      <c r="GB2" s="20"/>
      <c r="GC2" s="20"/>
      <c r="GD2" s="20"/>
      <c r="GE2" s="20"/>
      <c r="GF2" s="20"/>
      <c r="GG2" s="20"/>
      <c r="GH2" s="20"/>
      <c r="GI2" s="20"/>
      <c r="GJ2" s="20"/>
      <c r="GK2" s="20"/>
      <c r="GL2" s="20"/>
      <c r="GM2" s="20"/>
    </row>
    <row r="3" spans="1:195" ht="42" customHeight="1" thickBot="1" x14ac:dyDescent="0.4">
      <c r="A3" s="40" t="s">
        <v>53</v>
      </c>
      <c r="B3" s="40" t="s">
        <v>229</v>
      </c>
      <c r="C3" s="135" t="s">
        <v>428</v>
      </c>
      <c r="D3" s="173" t="s">
        <v>3370</v>
      </c>
      <c r="E3" s="314" t="s">
        <v>3855</v>
      </c>
      <c r="F3" s="315" t="s">
        <v>3371</v>
      </c>
      <c r="G3" s="315" t="s">
        <v>3859</v>
      </c>
      <c r="H3" s="174"/>
      <c r="I3" s="179"/>
      <c r="J3" s="185" t="s">
        <v>609</v>
      </c>
      <c r="K3" s="186" t="s">
        <v>15</v>
      </c>
      <c r="L3" s="187" t="s">
        <v>4</v>
      </c>
      <c r="M3" s="184" t="s">
        <v>3576</v>
      </c>
      <c r="N3" s="188"/>
      <c r="O3" s="158" t="s">
        <v>3556</v>
      </c>
      <c r="P3" s="49" t="s">
        <v>809</v>
      </c>
      <c r="Q3" s="31" t="s">
        <v>15</v>
      </c>
      <c r="R3" s="81" t="s">
        <v>4</v>
      </c>
      <c r="S3" s="91" t="s">
        <v>3576</v>
      </c>
      <c r="T3" s="91"/>
      <c r="U3" s="86" t="s">
        <v>3556</v>
      </c>
      <c r="V3" s="52" t="s">
        <v>1006</v>
      </c>
      <c r="W3" s="31" t="s">
        <v>15</v>
      </c>
      <c r="X3" s="81" t="s">
        <v>4</v>
      </c>
      <c r="Y3" s="91" t="s">
        <v>3576</v>
      </c>
      <c r="Z3" s="91"/>
      <c r="AA3" s="86"/>
      <c r="AB3" s="19" t="s">
        <v>1206</v>
      </c>
      <c r="AC3" s="31" t="s">
        <v>15</v>
      </c>
      <c r="AD3" s="81" t="s">
        <v>4</v>
      </c>
      <c r="AE3" s="91" t="s">
        <v>3576</v>
      </c>
      <c r="AF3" s="91"/>
      <c r="AG3" s="86"/>
      <c r="AH3" s="56" t="s">
        <v>1405</v>
      </c>
      <c r="AI3" s="31" t="s">
        <v>15</v>
      </c>
      <c r="AJ3" s="81" t="s">
        <v>4</v>
      </c>
      <c r="AK3" s="91" t="s">
        <v>3576</v>
      </c>
      <c r="AL3" s="91"/>
      <c r="AM3" s="104"/>
      <c r="AN3" s="23" t="s">
        <v>1603</v>
      </c>
      <c r="AO3" s="31" t="s">
        <v>15</v>
      </c>
      <c r="AP3" s="81" t="s">
        <v>4</v>
      </c>
      <c r="AQ3" s="91" t="s">
        <v>3576</v>
      </c>
      <c r="AR3" s="91"/>
      <c r="AS3" s="86" t="s">
        <v>3556</v>
      </c>
      <c r="AT3" s="21" t="s">
        <v>1802</v>
      </c>
      <c r="AU3" s="31" t="s">
        <v>15</v>
      </c>
      <c r="AV3" s="81" t="s">
        <v>4</v>
      </c>
      <c r="AW3" s="91" t="s">
        <v>3576</v>
      </c>
      <c r="AX3" s="91"/>
      <c r="AY3" s="86" t="s">
        <v>3556</v>
      </c>
      <c r="AZ3" s="22" t="s">
        <v>1999</v>
      </c>
      <c r="BA3" s="31" t="s">
        <v>15</v>
      </c>
      <c r="BB3" s="81" t="s">
        <v>4</v>
      </c>
      <c r="BC3" s="91" t="s">
        <v>3577</v>
      </c>
      <c r="BD3" s="91"/>
      <c r="BE3" s="86" t="s">
        <v>3556</v>
      </c>
      <c r="BF3" s="24" t="s">
        <v>2195</v>
      </c>
      <c r="BG3" s="31" t="s">
        <v>15</v>
      </c>
      <c r="BH3" s="81" t="s">
        <v>20</v>
      </c>
      <c r="BI3" s="91" t="s">
        <v>3576</v>
      </c>
      <c r="BJ3" s="91"/>
      <c r="BK3" s="86" t="s">
        <v>3556</v>
      </c>
      <c r="BL3" s="27" t="s">
        <v>2383</v>
      </c>
      <c r="BM3" s="31" t="s">
        <v>15</v>
      </c>
      <c r="BN3" s="81" t="s">
        <v>4</v>
      </c>
      <c r="BO3" s="91" t="s">
        <v>3577</v>
      </c>
      <c r="BP3" s="91"/>
      <c r="BQ3" s="104" t="s">
        <v>3556</v>
      </c>
      <c r="BR3" s="71" t="s">
        <v>2582</v>
      </c>
      <c r="BS3" s="31" t="s">
        <v>15</v>
      </c>
      <c r="BT3" s="81" t="s">
        <v>4</v>
      </c>
      <c r="BU3" s="91" t="s">
        <v>3576</v>
      </c>
      <c r="BV3" s="91"/>
      <c r="BW3" s="86" t="s">
        <v>3556</v>
      </c>
      <c r="BX3" s="73" t="s">
        <v>2776</v>
      </c>
      <c r="BY3" s="31" t="s">
        <v>15</v>
      </c>
      <c r="BZ3" s="81" t="s">
        <v>4</v>
      </c>
      <c r="CA3" s="91" t="s">
        <v>3576</v>
      </c>
      <c r="CB3" s="91"/>
      <c r="CC3" s="263" t="s">
        <v>3556</v>
      </c>
      <c r="CD3" s="74" t="s">
        <v>2948</v>
      </c>
      <c r="CE3" s="31" t="s">
        <v>15</v>
      </c>
      <c r="CF3" s="81" t="s">
        <v>4</v>
      </c>
      <c r="CG3" s="91" t="s">
        <v>3576</v>
      </c>
      <c r="CH3" s="91"/>
      <c r="CI3" s="86" t="s">
        <v>3556</v>
      </c>
      <c r="CJ3" s="76" t="s">
        <v>2582</v>
      </c>
      <c r="CK3" s="31" t="s">
        <v>15</v>
      </c>
      <c r="CL3" s="81" t="s">
        <v>4</v>
      </c>
      <c r="CM3" s="91" t="s">
        <v>3576</v>
      </c>
      <c r="CN3" s="91"/>
      <c r="CO3" s="86" t="s">
        <v>3556</v>
      </c>
      <c r="CP3" s="77" t="s">
        <v>3261</v>
      </c>
      <c r="CQ3" s="31" t="s">
        <v>15</v>
      </c>
      <c r="CR3" s="81" t="s">
        <v>4</v>
      </c>
      <c r="CS3" s="91" t="s">
        <v>3576</v>
      </c>
      <c r="CT3" s="91"/>
      <c r="CU3" s="104" t="s">
        <v>3556</v>
      </c>
    </row>
    <row r="4" spans="1:195" ht="108.5" customHeight="1" thickBot="1" x14ac:dyDescent="0.4">
      <c r="A4" s="40" t="s">
        <v>53</v>
      </c>
      <c r="B4" s="40" t="s">
        <v>237</v>
      </c>
      <c r="C4" s="135" t="s">
        <v>436</v>
      </c>
      <c r="D4" s="173" t="s">
        <v>3381</v>
      </c>
      <c r="E4" s="323" t="s">
        <v>3869</v>
      </c>
      <c r="F4" s="324" t="s">
        <v>3372</v>
      </c>
      <c r="G4" s="324" t="s">
        <v>3871</v>
      </c>
      <c r="H4" s="175" t="s">
        <v>3589</v>
      </c>
      <c r="I4" s="175" t="s">
        <v>3559</v>
      </c>
      <c r="J4" s="194" t="s">
        <v>616</v>
      </c>
      <c r="K4" s="199" t="s">
        <v>15</v>
      </c>
      <c r="L4" s="198" t="s">
        <v>20</v>
      </c>
      <c r="M4" s="168" t="s">
        <v>3576</v>
      </c>
      <c r="N4" s="168"/>
      <c r="O4" s="189"/>
      <c r="P4" s="156" t="s">
        <v>816</v>
      </c>
      <c r="Q4" s="13" t="s">
        <v>15</v>
      </c>
      <c r="R4" s="82" t="s">
        <v>19</v>
      </c>
      <c r="S4" s="91" t="s">
        <v>3577</v>
      </c>
      <c r="T4" s="91"/>
      <c r="U4" s="87" t="s">
        <v>3559</v>
      </c>
      <c r="V4" s="52" t="s">
        <v>1014</v>
      </c>
      <c r="W4" s="13" t="s">
        <v>15</v>
      </c>
      <c r="X4" s="82" t="s">
        <v>19</v>
      </c>
      <c r="Y4" s="91" t="s">
        <v>3577</v>
      </c>
      <c r="Z4" s="91"/>
      <c r="AA4" s="87" t="s">
        <v>3559</v>
      </c>
      <c r="AB4" s="19" t="s">
        <v>1214</v>
      </c>
      <c r="AC4" s="13" t="s">
        <v>15</v>
      </c>
      <c r="AD4" s="82" t="s">
        <v>19</v>
      </c>
      <c r="AE4" s="91" t="s">
        <v>3577</v>
      </c>
      <c r="AF4" s="91"/>
      <c r="AG4" s="87" t="s">
        <v>3559</v>
      </c>
      <c r="AH4" s="56" t="s">
        <v>1413</v>
      </c>
      <c r="AI4" s="13" t="s">
        <v>15</v>
      </c>
      <c r="AJ4" s="82" t="s">
        <v>19</v>
      </c>
      <c r="AK4" s="91" t="s">
        <v>3577</v>
      </c>
      <c r="AL4" s="91"/>
      <c r="AM4" s="105" t="s">
        <v>3559</v>
      </c>
      <c r="AN4" s="23" t="s">
        <v>1611</v>
      </c>
      <c r="AO4" s="13" t="s">
        <v>15</v>
      </c>
      <c r="AP4" s="82" t="s">
        <v>19</v>
      </c>
      <c r="AQ4" s="91" t="s">
        <v>3577</v>
      </c>
      <c r="AR4" s="91"/>
      <c r="AS4" s="86" t="s">
        <v>3559</v>
      </c>
      <c r="AT4" s="21" t="s">
        <v>1810</v>
      </c>
      <c r="AU4" s="13" t="s">
        <v>15</v>
      </c>
      <c r="AV4" s="82" t="s">
        <v>19</v>
      </c>
      <c r="AW4" s="91" t="s">
        <v>3577</v>
      </c>
      <c r="AX4" s="91"/>
      <c r="AY4" s="86" t="s">
        <v>3559</v>
      </c>
      <c r="AZ4" s="22" t="s">
        <v>2007</v>
      </c>
      <c r="BA4" s="13" t="s">
        <v>15</v>
      </c>
      <c r="BB4" s="82" t="s">
        <v>20</v>
      </c>
      <c r="BC4" s="91" t="s">
        <v>3577</v>
      </c>
      <c r="BD4" s="91"/>
      <c r="BE4" s="86"/>
      <c r="BF4" s="24" t="s">
        <v>2203</v>
      </c>
      <c r="BG4" s="13" t="s">
        <v>15</v>
      </c>
      <c r="BH4" s="82" t="s">
        <v>13</v>
      </c>
      <c r="BI4" s="91" t="s">
        <v>3577</v>
      </c>
      <c r="BJ4" s="91"/>
      <c r="BK4" s="86"/>
      <c r="BL4" s="27" t="s">
        <v>2391</v>
      </c>
      <c r="BM4" s="13" t="s">
        <v>15</v>
      </c>
      <c r="BN4" s="82" t="s">
        <v>19</v>
      </c>
      <c r="BO4" s="91" t="s">
        <v>3577</v>
      </c>
      <c r="BP4" s="91"/>
      <c r="BQ4" s="86"/>
      <c r="BR4" s="72" t="s">
        <v>2589</v>
      </c>
      <c r="BS4" s="13" t="s">
        <v>0</v>
      </c>
      <c r="BT4" s="82" t="s">
        <v>12</v>
      </c>
      <c r="BU4" s="91" t="s">
        <v>3577</v>
      </c>
      <c r="BV4" s="91"/>
      <c r="BW4" s="86" t="s">
        <v>3562</v>
      </c>
      <c r="BX4" s="49" t="s">
        <v>2782</v>
      </c>
      <c r="BY4" s="13" t="s">
        <v>0</v>
      </c>
      <c r="BZ4" s="82" t="s">
        <v>12</v>
      </c>
      <c r="CA4" s="91" t="s">
        <v>3577</v>
      </c>
      <c r="CB4" s="91"/>
      <c r="CC4" s="263" t="s">
        <v>3559</v>
      </c>
      <c r="CD4" s="52" t="s">
        <v>2956</v>
      </c>
      <c r="CE4" s="13" t="s">
        <v>0</v>
      </c>
      <c r="CF4" s="82" t="s">
        <v>12</v>
      </c>
      <c r="CG4" s="91" t="s">
        <v>3577</v>
      </c>
      <c r="CH4" s="91"/>
      <c r="CI4" s="86" t="s">
        <v>3559</v>
      </c>
      <c r="CJ4" s="19" t="s">
        <v>3130</v>
      </c>
      <c r="CK4" s="13" t="s">
        <v>0</v>
      </c>
      <c r="CL4" s="82" t="s">
        <v>12</v>
      </c>
      <c r="CM4" s="91" t="s">
        <v>3577</v>
      </c>
      <c r="CN4" s="91"/>
      <c r="CO4" s="86" t="s">
        <v>3559</v>
      </c>
      <c r="CP4" s="56" t="s">
        <v>3268</v>
      </c>
      <c r="CQ4" s="13" t="s">
        <v>0</v>
      </c>
      <c r="CR4" s="82" t="s">
        <v>12</v>
      </c>
      <c r="CS4" s="91" t="s">
        <v>3577</v>
      </c>
      <c r="CT4" s="91"/>
      <c r="CU4" s="86" t="s">
        <v>3559</v>
      </c>
    </row>
    <row r="5" spans="1:195" ht="42" customHeight="1" thickBot="1" x14ac:dyDescent="0.4">
      <c r="A5" s="40" t="s">
        <v>53</v>
      </c>
      <c r="B5" s="40" t="s">
        <v>256</v>
      </c>
      <c r="C5" s="135" t="s">
        <v>455</v>
      </c>
      <c r="D5" s="173" t="s">
        <v>3404</v>
      </c>
      <c r="E5" s="314" t="s">
        <v>3855</v>
      </c>
      <c r="F5" s="315" t="s">
        <v>3371</v>
      </c>
      <c r="G5" s="315" t="s">
        <v>3859</v>
      </c>
      <c r="H5" s="175" t="s">
        <v>3610</v>
      </c>
      <c r="I5" s="176" t="s">
        <v>3559</v>
      </c>
      <c r="J5" s="196" t="s">
        <v>635</v>
      </c>
      <c r="K5" s="199" t="s">
        <v>15</v>
      </c>
      <c r="L5" s="198" t="s">
        <v>4</v>
      </c>
      <c r="M5" s="200" t="s">
        <v>3576</v>
      </c>
      <c r="N5" s="200"/>
      <c r="O5" s="190"/>
      <c r="P5" s="156" t="s">
        <v>836</v>
      </c>
      <c r="Q5" s="13" t="s">
        <v>15</v>
      </c>
      <c r="R5" s="82" t="s">
        <v>4</v>
      </c>
      <c r="S5" s="91" t="s">
        <v>3576</v>
      </c>
      <c r="T5" s="91"/>
      <c r="U5" s="87"/>
      <c r="V5" s="52" t="s">
        <v>1034</v>
      </c>
      <c r="W5" s="13" t="s">
        <v>15</v>
      </c>
      <c r="X5" s="82" t="s">
        <v>4</v>
      </c>
      <c r="Y5" s="91" t="s">
        <v>3576</v>
      </c>
      <c r="Z5" s="91"/>
      <c r="AA5" s="87"/>
      <c r="AB5" s="19" t="s">
        <v>1234</v>
      </c>
      <c r="AC5" s="13" t="s">
        <v>15</v>
      </c>
      <c r="AD5" s="82" t="s">
        <v>4</v>
      </c>
      <c r="AE5" s="91" t="s">
        <v>3576</v>
      </c>
      <c r="AF5" s="91"/>
      <c r="AG5" s="87"/>
      <c r="AH5" s="56" t="s">
        <v>1433</v>
      </c>
      <c r="AI5" s="13" t="s">
        <v>11</v>
      </c>
      <c r="AJ5" s="82"/>
      <c r="AK5" s="91" t="s">
        <v>3576</v>
      </c>
      <c r="AL5" s="91"/>
      <c r="AM5" s="105"/>
      <c r="AN5" s="23" t="s">
        <v>1631</v>
      </c>
      <c r="AO5" s="13" t="s">
        <v>15</v>
      </c>
      <c r="AP5" s="82" t="s">
        <v>4</v>
      </c>
      <c r="AQ5" s="91" t="s">
        <v>3576</v>
      </c>
      <c r="AR5" s="91"/>
      <c r="AS5" s="87"/>
      <c r="AT5" s="21" t="s">
        <v>1829</v>
      </c>
      <c r="AU5" s="13" t="s">
        <v>11</v>
      </c>
      <c r="AV5" s="82"/>
      <c r="AW5" s="91" t="s">
        <v>3576</v>
      </c>
      <c r="AX5" s="91"/>
      <c r="AY5" s="87"/>
      <c r="AZ5" s="22" t="s">
        <v>2026</v>
      </c>
      <c r="BA5" s="13" t="s">
        <v>11</v>
      </c>
      <c r="BB5" s="82"/>
      <c r="BC5" s="91" t="s">
        <v>3576</v>
      </c>
      <c r="BD5" s="91"/>
      <c r="BE5" s="87"/>
      <c r="BF5" s="24" t="s">
        <v>2223</v>
      </c>
      <c r="BG5" s="13" t="s">
        <v>11</v>
      </c>
      <c r="BH5" s="82"/>
      <c r="BI5" s="91" t="s">
        <v>3576</v>
      </c>
      <c r="BJ5" s="91"/>
      <c r="BK5" s="87"/>
      <c r="BL5" s="27" t="s">
        <v>2411</v>
      </c>
      <c r="BM5" s="13" t="s">
        <v>15</v>
      </c>
      <c r="BN5" s="82" t="s">
        <v>4</v>
      </c>
      <c r="BO5" s="91" t="s">
        <v>3576</v>
      </c>
      <c r="BP5" s="91"/>
      <c r="BQ5" s="105"/>
      <c r="BR5" s="72" t="s">
        <v>2608</v>
      </c>
      <c r="BS5" s="13" t="s">
        <v>15</v>
      </c>
      <c r="BT5" s="82" t="s">
        <v>4</v>
      </c>
      <c r="BU5" s="91" t="s">
        <v>3576</v>
      </c>
      <c r="BV5" s="91"/>
      <c r="BW5" s="87"/>
      <c r="BX5" s="49" t="s">
        <v>2800</v>
      </c>
      <c r="BY5" s="13" t="s">
        <v>15</v>
      </c>
      <c r="BZ5" s="82" t="s">
        <v>4</v>
      </c>
      <c r="CA5" s="91" t="s">
        <v>3576</v>
      </c>
      <c r="CB5" s="91"/>
      <c r="CC5" s="264"/>
      <c r="CD5" s="52" t="s">
        <v>2974</v>
      </c>
      <c r="CE5" s="13" t="s">
        <v>15</v>
      </c>
      <c r="CF5" s="82" t="s">
        <v>4</v>
      </c>
      <c r="CG5" s="91" t="s">
        <v>3576</v>
      </c>
      <c r="CH5" s="91"/>
      <c r="CI5" s="87"/>
      <c r="CJ5" s="19" t="s">
        <v>3144</v>
      </c>
      <c r="CK5" s="13" t="s">
        <v>15</v>
      </c>
      <c r="CL5" s="82" t="s">
        <v>4</v>
      </c>
      <c r="CM5" s="91" t="s">
        <v>3576</v>
      </c>
      <c r="CN5" s="91"/>
      <c r="CO5" s="87"/>
      <c r="CP5" s="56" t="s">
        <v>3144</v>
      </c>
      <c r="CQ5" s="13" t="s">
        <v>15</v>
      </c>
      <c r="CR5" s="82" t="s">
        <v>4</v>
      </c>
      <c r="CS5" s="91" t="s">
        <v>3576</v>
      </c>
      <c r="CT5" s="91"/>
      <c r="CU5" s="105"/>
    </row>
    <row r="6" spans="1:195" ht="79.5" customHeight="1" thickBot="1" x14ac:dyDescent="0.4">
      <c r="A6" s="40" t="s">
        <v>53</v>
      </c>
      <c r="B6" s="40" t="s">
        <v>271</v>
      </c>
      <c r="C6" s="135" t="s">
        <v>471</v>
      </c>
      <c r="D6" s="173" t="s">
        <v>3418</v>
      </c>
      <c r="E6" s="323" t="s">
        <v>3869</v>
      </c>
      <c r="F6" s="324" t="s">
        <v>3372</v>
      </c>
      <c r="G6" s="324" t="s">
        <v>3871</v>
      </c>
      <c r="H6" s="175" t="s">
        <v>3802</v>
      </c>
      <c r="I6" s="192" t="s">
        <v>3559</v>
      </c>
      <c r="J6" s="194" t="s">
        <v>651</v>
      </c>
      <c r="K6" s="208" t="s">
        <v>15</v>
      </c>
      <c r="L6" s="198" t="s">
        <v>19</v>
      </c>
      <c r="M6" s="168" t="s">
        <v>3577</v>
      </c>
      <c r="N6" s="204"/>
      <c r="O6" s="86"/>
      <c r="P6" s="49" t="s">
        <v>651</v>
      </c>
      <c r="Q6" s="13" t="s">
        <v>15</v>
      </c>
      <c r="R6" s="82" t="s">
        <v>19</v>
      </c>
      <c r="S6" s="91" t="s">
        <v>3577</v>
      </c>
      <c r="T6" s="91"/>
      <c r="U6" s="87"/>
      <c r="V6" s="52" t="s">
        <v>651</v>
      </c>
      <c r="W6" s="13" t="s">
        <v>15</v>
      </c>
      <c r="X6" s="82" t="s">
        <v>19</v>
      </c>
      <c r="Y6" s="91" t="s">
        <v>3577</v>
      </c>
      <c r="Z6" s="91"/>
      <c r="AA6" s="87"/>
      <c r="AB6" s="19" t="s">
        <v>1250</v>
      </c>
      <c r="AC6" s="13" t="s">
        <v>15</v>
      </c>
      <c r="AD6" s="82" t="s">
        <v>19</v>
      </c>
      <c r="AE6" s="91" t="s">
        <v>3577</v>
      </c>
      <c r="AF6" s="91"/>
      <c r="AG6" s="87"/>
      <c r="AH6" s="56" t="s">
        <v>1449</v>
      </c>
      <c r="AI6" s="13" t="s">
        <v>15</v>
      </c>
      <c r="AJ6" s="82" t="s">
        <v>19</v>
      </c>
      <c r="AK6" s="91" t="s">
        <v>3577</v>
      </c>
      <c r="AL6" s="91"/>
      <c r="AM6" s="105"/>
      <c r="AN6" s="23" t="s">
        <v>1646</v>
      </c>
      <c r="AO6" s="13" t="s">
        <v>0</v>
      </c>
      <c r="AP6" s="82" t="s">
        <v>12</v>
      </c>
      <c r="AQ6" s="91" t="s">
        <v>3576</v>
      </c>
      <c r="AR6" s="91"/>
      <c r="AS6" s="87"/>
      <c r="AT6" s="21" t="s">
        <v>1844</v>
      </c>
      <c r="AU6" s="13" t="s">
        <v>15</v>
      </c>
      <c r="AV6" s="82" t="s">
        <v>19</v>
      </c>
      <c r="AW6" s="91" t="s">
        <v>3577</v>
      </c>
      <c r="AX6" s="91"/>
      <c r="AY6" s="87"/>
      <c r="AZ6" s="22" t="s">
        <v>2042</v>
      </c>
      <c r="BA6" s="13" t="s">
        <v>15</v>
      </c>
      <c r="BB6" s="82" t="s">
        <v>19</v>
      </c>
      <c r="BC6" s="91" t="s">
        <v>3577</v>
      </c>
      <c r="BD6" s="91"/>
      <c r="BE6" s="87"/>
      <c r="BF6" s="24" t="s">
        <v>1646</v>
      </c>
      <c r="BG6" s="13" t="s">
        <v>0</v>
      </c>
      <c r="BH6" s="82" t="s">
        <v>12</v>
      </c>
      <c r="BI6" s="91" t="s">
        <v>3576</v>
      </c>
      <c r="BJ6" s="91"/>
      <c r="BK6" s="87"/>
      <c r="BL6" s="27" t="s">
        <v>2425</v>
      </c>
      <c r="BM6" s="13" t="s">
        <v>15</v>
      </c>
      <c r="BN6" s="82" t="s">
        <v>19</v>
      </c>
      <c r="BO6" s="91" t="s">
        <v>3577</v>
      </c>
      <c r="BP6" s="91"/>
      <c r="BQ6" s="105"/>
      <c r="BR6" s="72" t="s">
        <v>2621</v>
      </c>
      <c r="BS6" s="13" t="s">
        <v>15</v>
      </c>
      <c r="BT6" s="82" t="s">
        <v>19</v>
      </c>
      <c r="BU6" s="91" t="s">
        <v>3577</v>
      </c>
      <c r="BV6" s="91"/>
      <c r="BW6" s="87"/>
      <c r="BX6" s="49" t="s">
        <v>2815</v>
      </c>
      <c r="BY6" s="13" t="s">
        <v>11</v>
      </c>
      <c r="BZ6" s="82"/>
      <c r="CA6" s="91" t="s">
        <v>3576</v>
      </c>
      <c r="CB6" s="91"/>
      <c r="CC6" s="264"/>
      <c r="CD6" s="52" t="s">
        <v>2989</v>
      </c>
      <c r="CE6" s="13" t="s">
        <v>15</v>
      </c>
      <c r="CF6" s="82" t="s">
        <v>19</v>
      </c>
      <c r="CG6" s="91" t="s">
        <v>3577</v>
      </c>
      <c r="CH6" s="91"/>
      <c r="CI6" s="87"/>
      <c r="CJ6" s="19" t="s">
        <v>2425</v>
      </c>
      <c r="CK6" s="13" t="s">
        <v>15</v>
      </c>
      <c r="CL6" s="82" t="s">
        <v>19</v>
      </c>
      <c r="CM6" s="91" t="s">
        <v>3577</v>
      </c>
      <c r="CN6" s="91"/>
      <c r="CO6" s="87"/>
      <c r="CP6" s="56" t="s">
        <v>2425</v>
      </c>
      <c r="CQ6" s="13" t="s">
        <v>15</v>
      </c>
      <c r="CR6" s="82" t="s">
        <v>19</v>
      </c>
      <c r="CS6" s="91" t="s">
        <v>3577</v>
      </c>
      <c r="CT6" s="91"/>
      <c r="CU6" s="105"/>
    </row>
    <row r="7" spans="1:195" ht="42" customHeight="1" thickBot="1" x14ac:dyDescent="0.4">
      <c r="A7" s="40" t="s">
        <v>53</v>
      </c>
      <c r="B7" s="40" t="s">
        <v>272</v>
      </c>
      <c r="C7" s="40" t="s">
        <v>472</v>
      </c>
      <c r="D7" s="166" t="s">
        <v>3419</v>
      </c>
      <c r="E7" s="323" t="s">
        <v>3869</v>
      </c>
      <c r="F7" s="324" t="s">
        <v>3372</v>
      </c>
      <c r="G7" s="324" t="s">
        <v>3871</v>
      </c>
      <c r="H7" s="177" t="s">
        <v>3802</v>
      </c>
      <c r="I7" s="173" t="s">
        <v>3559</v>
      </c>
      <c r="J7" s="194" t="s">
        <v>652</v>
      </c>
      <c r="K7" s="229" t="s">
        <v>15</v>
      </c>
      <c r="L7" s="257" t="s">
        <v>19</v>
      </c>
      <c r="M7" s="245" t="s">
        <v>3577</v>
      </c>
      <c r="N7" s="258"/>
      <c r="O7" s="87"/>
      <c r="P7" s="49" t="s">
        <v>852</v>
      </c>
      <c r="Q7" s="13" t="s">
        <v>15</v>
      </c>
      <c r="R7" s="82" t="s">
        <v>19</v>
      </c>
      <c r="S7" s="91" t="s">
        <v>3577</v>
      </c>
      <c r="T7" s="91"/>
      <c r="U7" s="87"/>
      <c r="V7" s="52" t="s">
        <v>1050</v>
      </c>
      <c r="W7" s="13" t="s">
        <v>15</v>
      </c>
      <c r="X7" s="82" t="s">
        <v>19</v>
      </c>
      <c r="Y7" s="91" t="s">
        <v>3577</v>
      </c>
      <c r="Z7" s="91"/>
      <c r="AA7" s="87"/>
      <c r="AB7" s="19" t="s">
        <v>1251</v>
      </c>
      <c r="AC7" s="13" t="s">
        <v>15</v>
      </c>
      <c r="AD7" s="82" t="s">
        <v>19</v>
      </c>
      <c r="AE7" s="91" t="s">
        <v>3577</v>
      </c>
      <c r="AF7" s="91"/>
      <c r="AG7" s="87"/>
      <c r="AH7" s="56" t="s">
        <v>852</v>
      </c>
      <c r="AI7" s="13" t="s">
        <v>15</v>
      </c>
      <c r="AJ7" s="82" t="s">
        <v>19</v>
      </c>
      <c r="AK7" s="91" t="s">
        <v>3577</v>
      </c>
      <c r="AL7" s="91"/>
      <c r="AM7" s="105"/>
      <c r="AN7" s="23" t="s">
        <v>1647</v>
      </c>
      <c r="AO7" s="13" t="s">
        <v>15</v>
      </c>
      <c r="AP7" s="82" t="s">
        <v>19</v>
      </c>
      <c r="AQ7" s="91" t="s">
        <v>3577</v>
      </c>
      <c r="AR7" s="91"/>
      <c r="AS7" s="87"/>
      <c r="AT7" s="21" t="s">
        <v>1647</v>
      </c>
      <c r="AU7" s="13" t="s">
        <v>15</v>
      </c>
      <c r="AV7" s="82" t="s">
        <v>19</v>
      </c>
      <c r="AW7" s="91" t="s">
        <v>3577</v>
      </c>
      <c r="AX7" s="91"/>
      <c r="AY7" s="87"/>
      <c r="AZ7" s="22" t="s">
        <v>2043</v>
      </c>
      <c r="BA7" s="13" t="s">
        <v>15</v>
      </c>
      <c r="BB7" s="82" t="s">
        <v>19</v>
      </c>
      <c r="BC7" s="91" t="s">
        <v>3577</v>
      </c>
      <c r="BD7" s="91"/>
      <c r="BE7" s="87"/>
      <c r="BF7" s="24" t="s">
        <v>1647</v>
      </c>
      <c r="BG7" s="13" t="s">
        <v>15</v>
      </c>
      <c r="BH7" s="82" t="s">
        <v>19</v>
      </c>
      <c r="BI7" s="91" t="s">
        <v>3577</v>
      </c>
      <c r="BJ7" s="91"/>
      <c r="BK7" s="87"/>
      <c r="BL7" s="27" t="s">
        <v>2426</v>
      </c>
      <c r="BM7" s="13" t="s">
        <v>15</v>
      </c>
      <c r="BN7" s="82" t="s">
        <v>19</v>
      </c>
      <c r="BO7" s="91" t="s">
        <v>3577</v>
      </c>
      <c r="BP7" s="91"/>
      <c r="BQ7" s="105"/>
      <c r="BR7" s="72" t="s">
        <v>2622</v>
      </c>
      <c r="BS7" s="13" t="s">
        <v>15</v>
      </c>
      <c r="BT7" s="82" t="s">
        <v>19</v>
      </c>
      <c r="BU7" s="91" t="s">
        <v>3577</v>
      </c>
      <c r="BV7" s="91"/>
      <c r="BW7" s="87"/>
      <c r="BX7" s="49" t="s">
        <v>2816</v>
      </c>
      <c r="BY7" s="13" t="s">
        <v>15</v>
      </c>
      <c r="BZ7" s="82" t="s">
        <v>19</v>
      </c>
      <c r="CA7" s="91" t="s">
        <v>3577</v>
      </c>
      <c r="CB7" s="91"/>
      <c r="CC7" s="264"/>
      <c r="CD7" s="52" t="s">
        <v>2622</v>
      </c>
      <c r="CE7" s="13" t="s">
        <v>15</v>
      </c>
      <c r="CF7" s="82" t="s">
        <v>19</v>
      </c>
      <c r="CG7" s="91" t="s">
        <v>3577</v>
      </c>
      <c r="CH7" s="91"/>
      <c r="CI7" s="87"/>
      <c r="CJ7" s="19" t="s">
        <v>2622</v>
      </c>
      <c r="CK7" s="13" t="s">
        <v>15</v>
      </c>
      <c r="CL7" s="82" t="s">
        <v>19</v>
      </c>
      <c r="CM7" s="91" t="s">
        <v>3577</v>
      </c>
      <c r="CN7" s="91"/>
      <c r="CO7" s="87"/>
      <c r="CP7" s="56" t="s">
        <v>2622</v>
      </c>
      <c r="CQ7" s="13" t="s">
        <v>15</v>
      </c>
      <c r="CR7" s="82" t="s">
        <v>19</v>
      </c>
      <c r="CS7" s="91" t="s">
        <v>3577</v>
      </c>
      <c r="CT7" s="91"/>
      <c r="CU7" s="105"/>
    </row>
    <row r="8" spans="1:195" ht="42" customHeight="1" thickBot="1" x14ac:dyDescent="0.4">
      <c r="A8" s="40" t="s">
        <v>53</v>
      </c>
      <c r="B8" s="40" t="s">
        <v>274</v>
      </c>
      <c r="C8" s="135" t="s">
        <v>474</v>
      </c>
      <c r="D8" s="221" t="s">
        <v>3421</v>
      </c>
      <c r="E8" s="314" t="s">
        <v>3855</v>
      </c>
      <c r="F8" s="315" t="s">
        <v>3387</v>
      </c>
      <c r="G8" s="315" t="s">
        <v>3861</v>
      </c>
      <c r="H8" s="206" t="s">
        <v>3633</v>
      </c>
      <c r="I8" s="206"/>
      <c r="J8" s="209" t="s">
        <v>654</v>
      </c>
      <c r="K8" s="345" t="s">
        <v>11</v>
      </c>
      <c r="L8" s="212"/>
      <c r="M8" s="217" t="s">
        <v>3576</v>
      </c>
      <c r="N8" s="201"/>
      <c r="O8" s="87"/>
      <c r="P8" s="49" t="s">
        <v>853</v>
      </c>
      <c r="Q8" s="13" t="s">
        <v>15</v>
      </c>
      <c r="R8" s="82" t="s">
        <v>9</v>
      </c>
      <c r="S8" s="91" t="s">
        <v>3576</v>
      </c>
      <c r="T8" s="91"/>
      <c r="U8" s="87"/>
      <c r="V8" s="52" t="s">
        <v>1052</v>
      </c>
      <c r="W8" s="13" t="s">
        <v>15</v>
      </c>
      <c r="X8" s="82" t="s">
        <v>9</v>
      </c>
      <c r="Y8" s="91" t="s">
        <v>3576</v>
      </c>
      <c r="Z8" s="91"/>
      <c r="AA8" s="87"/>
      <c r="AB8" s="19" t="s">
        <v>1253</v>
      </c>
      <c r="AC8" s="13" t="s">
        <v>15</v>
      </c>
      <c r="AD8" s="82" t="s">
        <v>9</v>
      </c>
      <c r="AE8" s="91" t="s">
        <v>3576</v>
      </c>
      <c r="AF8" s="91"/>
      <c r="AG8" s="87"/>
      <c r="AH8" s="56" t="s">
        <v>1450</v>
      </c>
      <c r="AI8" s="13" t="s">
        <v>15</v>
      </c>
      <c r="AJ8" s="82" t="s">
        <v>9</v>
      </c>
      <c r="AK8" s="91" t="s">
        <v>3576</v>
      </c>
      <c r="AL8" s="91"/>
      <c r="AM8" s="105"/>
      <c r="AN8" s="23" t="s">
        <v>1649</v>
      </c>
      <c r="AO8" s="13" t="s">
        <v>15</v>
      </c>
      <c r="AP8" s="82" t="s">
        <v>9</v>
      </c>
      <c r="AQ8" s="91" t="s">
        <v>3576</v>
      </c>
      <c r="AR8" s="91"/>
      <c r="AS8" s="87"/>
      <c r="AT8" s="21" t="s">
        <v>1846</v>
      </c>
      <c r="AU8" s="13" t="s">
        <v>11</v>
      </c>
      <c r="AV8" s="82"/>
      <c r="AW8" s="91" t="s">
        <v>3576</v>
      </c>
      <c r="AX8" s="91"/>
      <c r="AY8" s="87"/>
      <c r="AZ8" s="22" t="s">
        <v>2044</v>
      </c>
      <c r="BA8" s="13" t="s">
        <v>15</v>
      </c>
      <c r="BB8" s="82" t="s">
        <v>9</v>
      </c>
      <c r="BC8" s="91" t="s">
        <v>3576</v>
      </c>
      <c r="BD8" s="91"/>
      <c r="BE8" s="87"/>
      <c r="BF8" s="24" t="s">
        <v>2238</v>
      </c>
      <c r="BG8" s="13" t="s">
        <v>15</v>
      </c>
      <c r="BH8" s="82" t="s">
        <v>9</v>
      </c>
      <c r="BI8" s="91" t="s">
        <v>3576</v>
      </c>
      <c r="BJ8" s="91"/>
      <c r="BK8" s="350"/>
      <c r="BL8" s="27" t="s">
        <v>2427</v>
      </c>
      <c r="BM8" s="13" t="s">
        <v>11</v>
      </c>
      <c r="BN8" s="82"/>
      <c r="BO8" s="91" t="s">
        <v>3576</v>
      </c>
      <c r="BP8" s="91"/>
      <c r="BQ8" s="350"/>
      <c r="BR8" s="72" t="s">
        <v>2623</v>
      </c>
      <c r="BS8" s="13" t="s">
        <v>15</v>
      </c>
      <c r="BT8" s="82" t="s">
        <v>9</v>
      </c>
      <c r="BU8" s="91" t="s">
        <v>3576</v>
      </c>
      <c r="BV8" s="91"/>
      <c r="BW8" s="87"/>
      <c r="BX8" s="49" t="s">
        <v>2818</v>
      </c>
      <c r="BY8" s="13" t="s">
        <v>15</v>
      </c>
      <c r="BZ8" s="82" t="s">
        <v>9</v>
      </c>
      <c r="CA8" s="91" t="s">
        <v>3576</v>
      </c>
      <c r="CB8" s="91"/>
      <c r="CC8" s="348"/>
      <c r="CD8" s="52" t="s">
        <v>2991</v>
      </c>
      <c r="CE8" s="13" t="s">
        <v>15</v>
      </c>
      <c r="CF8" s="82" t="s">
        <v>9</v>
      </c>
      <c r="CG8" s="91" t="s">
        <v>3576</v>
      </c>
      <c r="CH8" s="91"/>
      <c r="CI8" s="87"/>
      <c r="CJ8" s="19" t="s">
        <v>3152</v>
      </c>
      <c r="CK8" s="13" t="s">
        <v>15</v>
      </c>
      <c r="CL8" s="82" t="s">
        <v>9</v>
      </c>
      <c r="CM8" s="91" t="s">
        <v>3576</v>
      </c>
      <c r="CN8" s="91"/>
      <c r="CO8" s="87"/>
      <c r="CP8" s="56" t="s">
        <v>3290</v>
      </c>
      <c r="CQ8" s="13" t="s">
        <v>15</v>
      </c>
      <c r="CR8" s="82" t="s">
        <v>9</v>
      </c>
      <c r="CS8" s="91" t="s">
        <v>3576</v>
      </c>
      <c r="CT8" s="91"/>
      <c r="CU8" s="105"/>
    </row>
    <row r="9" spans="1:195" ht="57" customHeight="1" thickBot="1" x14ac:dyDescent="0.4">
      <c r="A9" s="40" t="s">
        <v>53</v>
      </c>
      <c r="B9" s="40" t="s">
        <v>301</v>
      </c>
      <c r="C9" s="135" t="s">
        <v>501</v>
      </c>
      <c r="D9" s="175" t="s">
        <v>3448</v>
      </c>
      <c r="E9" s="314" t="s">
        <v>3855</v>
      </c>
      <c r="F9" s="315" t="s">
        <v>3445</v>
      </c>
      <c r="G9" s="315" t="s">
        <v>3860</v>
      </c>
      <c r="H9" s="173"/>
      <c r="I9" s="173"/>
      <c r="J9" s="194" t="s">
        <v>682</v>
      </c>
      <c r="K9" s="208" t="s">
        <v>6</v>
      </c>
      <c r="L9" s="168" t="s">
        <v>8</v>
      </c>
      <c r="M9" s="168" t="s">
        <v>3576</v>
      </c>
      <c r="N9" s="200"/>
      <c r="O9" s="350"/>
      <c r="P9" s="49" t="s">
        <v>881</v>
      </c>
      <c r="Q9" s="13" t="s">
        <v>15</v>
      </c>
      <c r="R9" s="82" t="s">
        <v>4</v>
      </c>
      <c r="S9" s="91" t="s">
        <v>3576</v>
      </c>
      <c r="T9" s="91"/>
      <c r="U9" s="87"/>
      <c r="V9" s="52" t="s">
        <v>1080</v>
      </c>
      <c r="W9" s="13" t="s">
        <v>15</v>
      </c>
      <c r="X9" s="82" t="s">
        <v>4</v>
      </c>
      <c r="Y9" s="91" t="s">
        <v>3576</v>
      </c>
      <c r="Z9" s="91"/>
      <c r="AA9" s="87"/>
      <c r="AB9" s="19" t="s">
        <v>1281</v>
      </c>
      <c r="AC9" s="13" t="s">
        <v>15</v>
      </c>
      <c r="AD9" s="82" t="s">
        <v>4</v>
      </c>
      <c r="AE9" s="91" t="s">
        <v>3576</v>
      </c>
      <c r="AF9" s="91"/>
      <c r="AG9" s="87"/>
      <c r="AH9" s="56" t="s">
        <v>1477</v>
      </c>
      <c r="AI9" s="13" t="s">
        <v>15</v>
      </c>
      <c r="AJ9" s="82" t="s">
        <v>20</v>
      </c>
      <c r="AK9" s="91" t="s">
        <v>3576</v>
      </c>
      <c r="AL9" s="91"/>
      <c r="AM9" s="105"/>
      <c r="AN9" s="23" t="s">
        <v>1677</v>
      </c>
      <c r="AO9" s="13" t="s">
        <v>0</v>
      </c>
      <c r="AP9" s="82" t="s">
        <v>12</v>
      </c>
      <c r="AQ9" s="91" t="s">
        <v>3577</v>
      </c>
      <c r="AR9" s="91"/>
      <c r="AS9" s="87"/>
      <c r="AT9" s="21" t="s">
        <v>1874</v>
      </c>
      <c r="AU9" s="13" t="s">
        <v>0</v>
      </c>
      <c r="AV9" s="82" t="s">
        <v>12</v>
      </c>
      <c r="AW9" s="91" t="s">
        <v>3577</v>
      </c>
      <c r="AX9" s="91"/>
      <c r="AY9" s="350"/>
      <c r="AZ9" s="22" t="s">
        <v>2071</v>
      </c>
      <c r="BA9" s="13" t="s">
        <v>0</v>
      </c>
      <c r="BB9" s="82" t="s">
        <v>12</v>
      </c>
      <c r="BC9" s="91" t="s">
        <v>3577</v>
      </c>
      <c r="BD9" s="91"/>
      <c r="BE9" s="87"/>
      <c r="BF9" s="24" t="s">
        <v>2266</v>
      </c>
      <c r="BG9" s="13" t="s">
        <v>0</v>
      </c>
      <c r="BH9" s="82" t="s">
        <v>12</v>
      </c>
      <c r="BI9" s="91" t="s">
        <v>3577</v>
      </c>
      <c r="BJ9" s="91"/>
      <c r="BK9" s="87"/>
      <c r="BL9" s="27" t="s">
        <v>2453</v>
      </c>
      <c r="BM9" s="13" t="s">
        <v>0</v>
      </c>
      <c r="BN9" s="82" t="s">
        <v>12</v>
      </c>
      <c r="BO9" s="91" t="s">
        <v>3577</v>
      </c>
      <c r="BP9" s="91"/>
      <c r="BQ9" s="105"/>
      <c r="BR9" s="72" t="s">
        <v>2651</v>
      </c>
      <c r="BS9" s="13" t="s">
        <v>0</v>
      </c>
      <c r="BT9" s="82" t="s">
        <v>12</v>
      </c>
      <c r="BU9" s="91" t="s">
        <v>3577</v>
      </c>
      <c r="BV9" s="91"/>
      <c r="BW9" s="87"/>
      <c r="BX9" s="49" t="s">
        <v>2840</v>
      </c>
      <c r="BY9" s="13" t="s">
        <v>0</v>
      </c>
      <c r="BZ9" s="82" t="s">
        <v>12</v>
      </c>
      <c r="CA9" s="91" t="s">
        <v>3577</v>
      </c>
      <c r="CB9" s="91"/>
      <c r="CC9" s="264"/>
      <c r="CD9" s="52" t="s">
        <v>3015</v>
      </c>
      <c r="CE9" s="13" t="s">
        <v>0</v>
      </c>
      <c r="CF9" s="82" t="s">
        <v>12</v>
      </c>
      <c r="CG9" s="91" t="s">
        <v>3577</v>
      </c>
      <c r="CH9" s="91"/>
      <c r="CI9" s="87"/>
      <c r="CJ9" s="19" t="s">
        <v>3175</v>
      </c>
      <c r="CK9" s="13" t="s">
        <v>0</v>
      </c>
      <c r="CL9" s="82" t="s">
        <v>12</v>
      </c>
      <c r="CM9" s="91" t="s">
        <v>3577</v>
      </c>
      <c r="CN9" s="91"/>
      <c r="CO9" s="87"/>
      <c r="CP9" s="56" t="s">
        <v>3303</v>
      </c>
      <c r="CQ9" s="13" t="s">
        <v>0</v>
      </c>
      <c r="CR9" s="82" t="s">
        <v>12</v>
      </c>
      <c r="CS9" s="91" t="s">
        <v>3577</v>
      </c>
      <c r="CT9" s="91"/>
      <c r="CU9" s="311"/>
    </row>
    <row r="10" spans="1:195" ht="86.5" customHeight="1" thickBot="1" x14ac:dyDescent="0.4">
      <c r="A10" s="40" t="s">
        <v>53</v>
      </c>
      <c r="B10" s="40" t="s">
        <v>305</v>
      </c>
      <c r="C10" s="135" t="s">
        <v>505</v>
      </c>
      <c r="D10" s="175" t="s">
        <v>3451</v>
      </c>
      <c r="E10" s="314" t="s">
        <v>3855</v>
      </c>
      <c r="F10" s="315" t="s">
        <v>3371</v>
      </c>
      <c r="G10" s="315" t="s">
        <v>3859</v>
      </c>
      <c r="H10" s="175" t="s">
        <v>3665</v>
      </c>
      <c r="I10" s="192" t="s">
        <v>3555</v>
      </c>
      <c r="J10" s="194" t="s">
        <v>686</v>
      </c>
      <c r="K10" s="208" t="s">
        <v>11</v>
      </c>
      <c r="L10" s="168"/>
      <c r="M10" s="168" t="s">
        <v>3576</v>
      </c>
      <c r="N10" s="168"/>
      <c r="O10" s="87"/>
      <c r="P10" s="49" t="s">
        <v>885</v>
      </c>
      <c r="Q10" s="13" t="s">
        <v>15</v>
      </c>
      <c r="R10" s="82" t="s">
        <v>4</v>
      </c>
      <c r="S10" s="91" t="s">
        <v>3576</v>
      </c>
      <c r="T10" s="91"/>
      <c r="U10" s="87"/>
      <c r="V10" s="52" t="s">
        <v>1084</v>
      </c>
      <c r="W10" s="13" t="s">
        <v>11</v>
      </c>
      <c r="X10" s="82"/>
      <c r="Y10" s="91" t="s">
        <v>3576</v>
      </c>
      <c r="Z10" s="91"/>
      <c r="AA10" s="87"/>
      <c r="AB10" s="19" t="s">
        <v>1285</v>
      </c>
      <c r="AC10" s="13" t="s">
        <v>11</v>
      </c>
      <c r="AD10" s="82"/>
      <c r="AE10" s="91" t="s">
        <v>3576</v>
      </c>
      <c r="AF10" s="91"/>
      <c r="AG10" s="87"/>
      <c r="AH10" s="56" t="s">
        <v>1481</v>
      </c>
      <c r="AI10" s="13" t="s">
        <v>11</v>
      </c>
      <c r="AJ10" s="82"/>
      <c r="AK10" s="91" t="s">
        <v>3576</v>
      </c>
      <c r="AL10" s="91"/>
      <c r="AM10" s="105"/>
      <c r="AN10" s="23" t="s">
        <v>1681</v>
      </c>
      <c r="AO10" s="13" t="s">
        <v>11</v>
      </c>
      <c r="AP10" s="82"/>
      <c r="AQ10" s="91" t="s">
        <v>3576</v>
      </c>
      <c r="AR10" s="91"/>
      <c r="AS10" s="87"/>
      <c r="AT10" s="21" t="s">
        <v>1878</v>
      </c>
      <c r="AU10" s="13" t="s">
        <v>11</v>
      </c>
      <c r="AV10" s="82"/>
      <c r="AW10" s="91" t="s">
        <v>3576</v>
      </c>
      <c r="AX10" s="91"/>
      <c r="AY10" s="87"/>
      <c r="AZ10" s="22" t="s">
        <v>2074</v>
      </c>
      <c r="BA10" s="13" t="s">
        <v>15</v>
      </c>
      <c r="BB10" s="82" t="s">
        <v>4</v>
      </c>
      <c r="BC10" s="91" t="s">
        <v>3576</v>
      </c>
      <c r="BD10" s="91"/>
      <c r="BE10" s="87"/>
      <c r="BF10" s="24" t="s">
        <v>2270</v>
      </c>
      <c r="BG10" s="13" t="s">
        <v>0</v>
      </c>
      <c r="BH10" s="82" t="s">
        <v>1</v>
      </c>
      <c r="BI10" s="91" t="s">
        <v>3576</v>
      </c>
      <c r="BJ10" s="91"/>
      <c r="BK10" s="87"/>
      <c r="BL10" s="27" t="s">
        <v>2457</v>
      </c>
      <c r="BM10" s="13" t="s">
        <v>15</v>
      </c>
      <c r="BN10" s="82" t="s">
        <v>4</v>
      </c>
      <c r="BO10" s="91" t="s">
        <v>3576</v>
      </c>
      <c r="BP10" s="91"/>
      <c r="BQ10" s="105"/>
      <c r="BR10" s="72" t="s">
        <v>2655</v>
      </c>
      <c r="BS10" s="13" t="s">
        <v>15</v>
      </c>
      <c r="BT10" s="82" t="s">
        <v>4</v>
      </c>
      <c r="BU10" s="91" t="s">
        <v>3576</v>
      </c>
      <c r="BV10" s="91"/>
      <c r="BW10" s="87"/>
      <c r="BX10" s="49" t="s">
        <v>2844</v>
      </c>
      <c r="BY10" s="13" t="s">
        <v>15</v>
      </c>
      <c r="BZ10" s="82" t="s">
        <v>4</v>
      </c>
      <c r="CA10" s="91" t="s">
        <v>3576</v>
      </c>
      <c r="CB10" s="91"/>
      <c r="CC10" s="87"/>
      <c r="CD10" s="52" t="s">
        <v>3019</v>
      </c>
      <c r="CE10" s="13" t="s">
        <v>15</v>
      </c>
      <c r="CF10" s="82" t="s">
        <v>4</v>
      </c>
      <c r="CG10" s="91" t="s">
        <v>3576</v>
      </c>
      <c r="CH10" s="91"/>
      <c r="CI10" s="87"/>
      <c r="CJ10" s="19" t="s">
        <v>3178</v>
      </c>
      <c r="CK10" s="13" t="s">
        <v>11</v>
      </c>
      <c r="CL10" s="82"/>
      <c r="CM10" s="91" t="s">
        <v>3576</v>
      </c>
      <c r="CN10" s="91"/>
      <c r="CO10" s="87"/>
      <c r="CP10" s="56" t="s">
        <v>3306</v>
      </c>
      <c r="CQ10" s="13" t="s">
        <v>15</v>
      </c>
      <c r="CR10" s="82" t="s">
        <v>4</v>
      </c>
      <c r="CS10" s="91" t="s">
        <v>3576</v>
      </c>
      <c r="CT10" s="91"/>
      <c r="CU10" s="105"/>
    </row>
    <row r="11" spans="1:195" ht="54.5" customHeight="1" thickBot="1" x14ac:dyDescent="0.4">
      <c r="A11" s="40" t="s">
        <v>53</v>
      </c>
      <c r="B11" s="40" t="s">
        <v>306</v>
      </c>
      <c r="C11" s="135" t="s">
        <v>506</v>
      </c>
      <c r="D11" s="177" t="s">
        <v>3452</v>
      </c>
      <c r="E11" s="314" t="s">
        <v>3855</v>
      </c>
      <c r="F11" s="315" t="s">
        <v>3371</v>
      </c>
      <c r="G11" s="315" t="s">
        <v>3859</v>
      </c>
      <c r="H11" s="175" t="s">
        <v>3666</v>
      </c>
      <c r="I11" s="175" t="s">
        <v>3559</v>
      </c>
      <c r="J11" s="194" t="s">
        <v>687</v>
      </c>
      <c r="K11" s="208" t="s">
        <v>15</v>
      </c>
      <c r="L11" s="168" t="s">
        <v>9</v>
      </c>
      <c r="M11" s="197" t="s">
        <v>3576</v>
      </c>
      <c r="N11" s="197"/>
      <c r="O11" s="87"/>
      <c r="P11" s="49" t="s">
        <v>886</v>
      </c>
      <c r="Q11" s="13" t="s">
        <v>15</v>
      </c>
      <c r="R11" s="82" t="s">
        <v>9</v>
      </c>
      <c r="S11" s="91" t="s">
        <v>3576</v>
      </c>
      <c r="T11" s="91"/>
      <c r="U11" s="87"/>
      <c r="V11" s="52" t="s">
        <v>1085</v>
      </c>
      <c r="W11" s="13" t="s">
        <v>15</v>
      </c>
      <c r="X11" s="82" t="s">
        <v>9</v>
      </c>
      <c r="Y11" s="91" t="s">
        <v>3576</v>
      </c>
      <c r="Z11" s="91"/>
      <c r="AA11" s="87"/>
      <c r="AB11" s="19" t="s">
        <v>1286</v>
      </c>
      <c r="AC11" s="13" t="s">
        <v>15</v>
      </c>
      <c r="AD11" s="82" t="s">
        <v>9</v>
      </c>
      <c r="AE11" s="91" t="s">
        <v>3576</v>
      </c>
      <c r="AF11" s="91"/>
      <c r="AG11" s="87"/>
      <c r="AH11" s="56" t="s">
        <v>1482</v>
      </c>
      <c r="AI11" s="13" t="s">
        <v>15</v>
      </c>
      <c r="AJ11" s="82" t="s">
        <v>9</v>
      </c>
      <c r="AK11" s="91" t="s">
        <v>3576</v>
      </c>
      <c r="AL11" s="91"/>
      <c r="AM11" s="105"/>
      <c r="AN11" s="23" t="s">
        <v>3720</v>
      </c>
      <c r="AO11" s="13" t="s">
        <v>15</v>
      </c>
      <c r="AP11" s="82" t="s">
        <v>9</v>
      </c>
      <c r="AQ11" s="91" t="s">
        <v>3576</v>
      </c>
      <c r="AR11" s="91"/>
      <c r="AS11" s="87"/>
      <c r="AT11" s="21" t="s">
        <v>1879</v>
      </c>
      <c r="AU11" s="13" t="s">
        <v>15</v>
      </c>
      <c r="AV11" s="82" t="s">
        <v>9</v>
      </c>
      <c r="AW11" s="91" t="s">
        <v>3576</v>
      </c>
      <c r="AX11" s="91"/>
      <c r="AY11" s="87"/>
      <c r="AZ11" s="22" t="s">
        <v>2075</v>
      </c>
      <c r="BA11" s="13" t="s">
        <v>15</v>
      </c>
      <c r="BB11" s="82" t="s">
        <v>9</v>
      </c>
      <c r="BC11" s="91" t="s">
        <v>3576</v>
      </c>
      <c r="BD11" s="91"/>
      <c r="BE11" s="87"/>
      <c r="BF11" s="24" t="s">
        <v>2271</v>
      </c>
      <c r="BG11" s="13" t="s">
        <v>0</v>
      </c>
      <c r="BH11" s="82" t="s">
        <v>12</v>
      </c>
      <c r="BI11" s="91" t="s">
        <v>3577</v>
      </c>
      <c r="BJ11" s="91"/>
      <c r="BK11" s="87"/>
      <c r="BL11" s="27" t="s">
        <v>2458</v>
      </c>
      <c r="BM11" s="13" t="s">
        <v>15</v>
      </c>
      <c r="BN11" s="82" t="s">
        <v>9</v>
      </c>
      <c r="BO11" s="91" t="s">
        <v>3576</v>
      </c>
      <c r="BP11" s="91"/>
      <c r="BQ11" s="105"/>
      <c r="BR11" s="72" t="s">
        <v>2656</v>
      </c>
      <c r="BS11" s="13" t="s">
        <v>0</v>
      </c>
      <c r="BT11" s="82" t="s">
        <v>12</v>
      </c>
      <c r="BU11" s="91" t="s">
        <v>3577</v>
      </c>
      <c r="BV11" s="91"/>
      <c r="BW11" s="87"/>
      <c r="BX11" s="49" t="s">
        <v>2845</v>
      </c>
      <c r="BY11" s="13" t="s">
        <v>0</v>
      </c>
      <c r="BZ11" s="82" t="s">
        <v>12</v>
      </c>
      <c r="CA11" s="91" t="s">
        <v>3577</v>
      </c>
      <c r="CB11" s="91"/>
      <c r="CC11" s="87"/>
      <c r="CD11" s="52" t="s">
        <v>3020</v>
      </c>
      <c r="CE11" s="13" t="s">
        <v>15</v>
      </c>
      <c r="CF11" s="82" t="s">
        <v>9</v>
      </c>
      <c r="CG11" s="91" t="s">
        <v>3576</v>
      </c>
      <c r="CH11" s="91"/>
      <c r="CI11" s="87"/>
      <c r="CJ11" s="19" t="s">
        <v>3020</v>
      </c>
      <c r="CK11" s="13" t="s">
        <v>15</v>
      </c>
      <c r="CL11" s="82" t="s">
        <v>9</v>
      </c>
      <c r="CM11" s="91" t="s">
        <v>3576</v>
      </c>
      <c r="CN11" s="91"/>
      <c r="CO11" s="87"/>
      <c r="CP11" s="56" t="s">
        <v>3179</v>
      </c>
      <c r="CQ11" s="13" t="s">
        <v>15</v>
      </c>
      <c r="CR11" s="82" t="s">
        <v>9</v>
      </c>
      <c r="CS11" s="91" t="s">
        <v>3576</v>
      </c>
      <c r="CT11" s="91"/>
      <c r="CU11" s="105"/>
    </row>
    <row r="12" spans="1:195" ht="92" customHeight="1" thickBot="1" x14ac:dyDescent="0.4">
      <c r="A12" s="40" t="s">
        <v>53</v>
      </c>
      <c r="B12" s="40" t="s">
        <v>309</v>
      </c>
      <c r="C12" s="135" t="s">
        <v>509</v>
      </c>
      <c r="D12" s="173" t="s">
        <v>3455</v>
      </c>
      <c r="E12" s="314" t="s">
        <v>3855</v>
      </c>
      <c r="F12" s="315" t="s">
        <v>3387</v>
      </c>
      <c r="G12" s="315" t="s">
        <v>3861</v>
      </c>
      <c r="H12" s="193" t="s">
        <v>3669</v>
      </c>
      <c r="I12" s="175" t="s">
        <v>3559</v>
      </c>
      <c r="J12" s="194" t="s">
        <v>690</v>
      </c>
      <c r="K12" s="208" t="s">
        <v>15</v>
      </c>
      <c r="L12" s="168" t="s">
        <v>9</v>
      </c>
      <c r="M12" s="168" t="s">
        <v>3576</v>
      </c>
      <c r="N12" s="168"/>
      <c r="O12" s="87"/>
      <c r="P12" s="49" t="s">
        <v>889</v>
      </c>
      <c r="Q12" s="13" t="s">
        <v>11</v>
      </c>
      <c r="R12" s="82"/>
      <c r="S12" s="91" t="s">
        <v>3576</v>
      </c>
      <c r="T12" s="91"/>
      <c r="U12" s="87"/>
      <c r="V12" s="52" t="s">
        <v>1088</v>
      </c>
      <c r="W12" s="13" t="s">
        <v>15</v>
      </c>
      <c r="X12" s="82" t="s">
        <v>9</v>
      </c>
      <c r="Y12" s="91" t="s">
        <v>3576</v>
      </c>
      <c r="Z12" s="91"/>
      <c r="AA12" s="87"/>
      <c r="AB12" s="19" t="s">
        <v>1288</v>
      </c>
      <c r="AC12" s="13" t="s">
        <v>15</v>
      </c>
      <c r="AD12" s="82" t="s">
        <v>9</v>
      </c>
      <c r="AE12" s="91" t="s">
        <v>3576</v>
      </c>
      <c r="AF12" s="91"/>
      <c r="AG12" s="87"/>
      <c r="AH12" s="56" t="s">
        <v>1485</v>
      </c>
      <c r="AI12" s="13" t="s">
        <v>15</v>
      </c>
      <c r="AJ12" s="82" t="s">
        <v>9</v>
      </c>
      <c r="AK12" s="91" t="s">
        <v>3576</v>
      </c>
      <c r="AL12" s="91"/>
      <c r="AM12" s="105"/>
      <c r="AN12" s="23" t="s">
        <v>1684</v>
      </c>
      <c r="AO12" s="13" t="s">
        <v>11</v>
      </c>
      <c r="AP12" s="82"/>
      <c r="AQ12" s="91" t="s">
        <v>3576</v>
      </c>
      <c r="AR12" s="91"/>
      <c r="AS12" s="87"/>
      <c r="AT12" s="21" t="s">
        <v>1882</v>
      </c>
      <c r="AU12" s="13" t="s">
        <v>11</v>
      </c>
      <c r="AV12" s="82"/>
      <c r="AW12" s="91" t="s">
        <v>3576</v>
      </c>
      <c r="AX12" s="91"/>
      <c r="AY12" s="87"/>
      <c r="AZ12" s="22" t="s">
        <v>2078</v>
      </c>
      <c r="BA12" s="13" t="s">
        <v>15</v>
      </c>
      <c r="BB12" s="82" t="s">
        <v>9</v>
      </c>
      <c r="BC12" s="91" t="s">
        <v>3576</v>
      </c>
      <c r="BD12" s="91"/>
      <c r="BE12" s="350"/>
      <c r="BF12" s="24" t="s">
        <v>2274</v>
      </c>
      <c r="BG12" s="13" t="s">
        <v>11</v>
      </c>
      <c r="BH12" s="82"/>
      <c r="BI12" s="91" t="s">
        <v>3576</v>
      </c>
      <c r="BJ12" s="91"/>
      <c r="BK12" s="87"/>
      <c r="BL12" s="27" t="s">
        <v>2461</v>
      </c>
      <c r="BM12" s="13" t="s">
        <v>11</v>
      </c>
      <c r="BN12" s="82"/>
      <c r="BO12" s="91" t="s">
        <v>3576</v>
      </c>
      <c r="BP12" s="91"/>
      <c r="BQ12" s="105"/>
      <c r="BR12" s="72" t="s">
        <v>2658</v>
      </c>
      <c r="BS12" s="13" t="s">
        <v>11</v>
      </c>
      <c r="BT12" s="82"/>
      <c r="BU12" s="91" t="s">
        <v>3576</v>
      </c>
      <c r="BV12" s="91"/>
      <c r="BW12" s="87"/>
      <c r="BX12" s="49" t="s">
        <v>3670</v>
      </c>
      <c r="BY12" s="13" t="s">
        <v>11</v>
      </c>
      <c r="BZ12" s="82"/>
      <c r="CA12" s="91" t="s">
        <v>3576</v>
      </c>
      <c r="CB12" s="91"/>
      <c r="CC12" s="87"/>
      <c r="CD12" s="52" t="s">
        <v>3022</v>
      </c>
      <c r="CE12" s="13" t="s">
        <v>11</v>
      </c>
      <c r="CF12" s="82"/>
      <c r="CG12" s="91" t="s">
        <v>3576</v>
      </c>
      <c r="CH12" s="91"/>
      <c r="CI12" s="87"/>
      <c r="CJ12" s="19" t="s">
        <v>3182</v>
      </c>
      <c r="CK12" s="13" t="s">
        <v>11</v>
      </c>
      <c r="CL12" s="82"/>
      <c r="CM12" s="91" t="s">
        <v>3576</v>
      </c>
      <c r="CN12" s="91"/>
      <c r="CO12" s="87"/>
      <c r="CP12" s="56" t="s">
        <v>3308</v>
      </c>
      <c r="CQ12" s="13" t="s">
        <v>11</v>
      </c>
      <c r="CR12" s="82"/>
      <c r="CS12" s="91" t="s">
        <v>3576</v>
      </c>
      <c r="CT12" s="91"/>
      <c r="CU12" s="105"/>
    </row>
    <row r="13" spans="1:195" ht="78.5" customHeight="1" thickBot="1" x14ac:dyDescent="0.4">
      <c r="A13" s="40" t="s">
        <v>53</v>
      </c>
      <c r="B13" s="40" t="s">
        <v>311</v>
      </c>
      <c r="C13" s="135" t="s">
        <v>511</v>
      </c>
      <c r="D13" s="173" t="s">
        <v>3457</v>
      </c>
      <c r="E13" s="314" t="s">
        <v>3855</v>
      </c>
      <c r="F13" s="315" t="s">
        <v>3390</v>
      </c>
      <c r="G13" s="315" t="s">
        <v>3862</v>
      </c>
      <c r="H13" s="175" t="s">
        <v>3673</v>
      </c>
      <c r="I13" s="175" t="s">
        <v>3559</v>
      </c>
      <c r="J13" s="194" t="s">
        <v>692</v>
      </c>
      <c r="K13" s="199" t="s">
        <v>15</v>
      </c>
      <c r="L13" s="168" t="s">
        <v>4</v>
      </c>
      <c r="M13" s="168" t="s">
        <v>3576</v>
      </c>
      <c r="N13" s="168"/>
      <c r="O13" s="87"/>
      <c r="P13" s="49" t="s">
        <v>891</v>
      </c>
      <c r="Q13" s="13" t="s">
        <v>15</v>
      </c>
      <c r="R13" s="82" t="s">
        <v>4</v>
      </c>
      <c r="S13" s="91" t="s">
        <v>3576</v>
      </c>
      <c r="T13" s="91"/>
      <c r="U13" s="87"/>
      <c r="V13" s="52" t="s">
        <v>1090</v>
      </c>
      <c r="W13" s="13" t="s">
        <v>15</v>
      </c>
      <c r="X13" s="82" t="s">
        <v>4</v>
      </c>
      <c r="Y13" s="91" t="s">
        <v>3576</v>
      </c>
      <c r="Z13" s="91"/>
      <c r="AA13" s="87"/>
      <c r="AB13" s="19" t="s">
        <v>1290</v>
      </c>
      <c r="AC13" s="13" t="s">
        <v>15</v>
      </c>
      <c r="AD13" s="82" t="s">
        <v>4</v>
      </c>
      <c r="AE13" s="91" t="s">
        <v>3576</v>
      </c>
      <c r="AF13" s="91"/>
      <c r="AG13" s="87"/>
      <c r="AH13" s="56" t="s">
        <v>1487</v>
      </c>
      <c r="AI13" s="13" t="s">
        <v>15</v>
      </c>
      <c r="AJ13" s="82" t="s">
        <v>4</v>
      </c>
      <c r="AK13" s="91" t="s">
        <v>3576</v>
      </c>
      <c r="AL13" s="91"/>
      <c r="AM13" s="105"/>
      <c r="AN13" s="23" t="s">
        <v>1686</v>
      </c>
      <c r="AO13" s="13" t="s">
        <v>15</v>
      </c>
      <c r="AP13" s="82" t="s">
        <v>9</v>
      </c>
      <c r="AQ13" s="91" t="s">
        <v>3576</v>
      </c>
      <c r="AR13" s="91"/>
      <c r="AS13" s="350"/>
      <c r="AT13" s="21" t="s">
        <v>1884</v>
      </c>
      <c r="AU13" s="13" t="s">
        <v>15</v>
      </c>
      <c r="AV13" s="82" t="s">
        <v>9</v>
      </c>
      <c r="AW13" s="91" t="s">
        <v>3576</v>
      </c>
      <c r="AX13" s="91"/>
      <c r="AY13" s="350"/>
      <c r="AZ13" s="22" t="s">
        <v>2080</v>
      </c>
      <c r="BA13" s="13" t="s">
        <v>15</v>
      </c>
      <c r="BB13" s="82" t="s">
        <v>4</v>
      </c>
      <c r="BC13" s="91" t="s">
        <v>3576</v>
      </c>
      <c r="BD13" s="91"/>
      <c r="BE13" s="350"/>
      <c r="BF13" s="24" t="s">
        <v>2276</v>
      </c>
      <c r="BG13" s="13" t="s">
        <v>15</v>
      </c>
      <c r="BH13" s="82" t="s">
        <v>9</v>
      </c>
      <c r="BI13" s="91" t="s">
        <v>3576</v>
      </c>
      <c r="BJ13" s="91"/>
      <c r="BK13" s="87"/>
      <c r="BL13" s="27" t="s">
        <v>2463</v>
      </c>
      <c r="BM13" s="13" t="s">
        <v>15</v>
      </c>
      <c r="BN13" s="82" t="s">
        <v>9</v>
      </c>
      <c r="BO13" s="91" t="s">
        <v>3576</v>
      </c>
      <c r="BP13" s="91"/>
      <c r="BQ13" s="105"/>
      <c r="BR13" s="72" t="s">
        <v>2660</v>
      </c>
      <c r="BS13" s="13" t="s">
        <v>15</v>
      </c>
      <c r="BT13" s="82" t="s">
        <v>9</v>
      </c>
      <c r="BU13" s="91" t="s">
        <v>3576</v>
      </c>
      <c r="BV13" s="91"/>
      <c r="BW13" s="87"/>
      <c r="BX13" s="49" t="s">
        <v>2848</v>
      </c>
      <c r="BY13" s="13" t="s">
        <v>15</v>
      </c>
      <c r="BZ13" s="82" t="s">
        <v>20</v>
      </c>
      <c r="CA13" s="91" t="s">
        <v>3576</v>
      </c>
      <c r="CB13" s="91"/>
      <c r="CC13" s="87"/>
      <c r="CD13" s="52" t="s">
        <v>3024</v>
      </c>
      <c r="CE13" s="13" t="s">
        <v>15</v>
      </c>
      <c r="CF13" s="82" t="s">
        <v>9</v>
      </c>
      <c r="CG13" s="91" t="s">
        <v>3576</v>
      </c>
      <c r="CH13" s="91"/>
      <c r="CI13" s="87"/>
      <c r="CJ13" s="19" t="s">
        <v>2660</v>
      </c>
      <c r="CK13" s="13" t="s">
        <v>15</v>
      </c>
      <c r="CL13" s="82" t="s">
        <v>9</v>
      </c>
      <c r="CM13" s="91" t="s">
        <v>3576</v>
      </c>
      <c r="CN13" s="91"/>
      <c r="CO13" s="87"/>
      <c r="CP13" s="56" t="s">
        <v>2660</v>
      </c>
      <c r="CQ13" s="13" t="s">
        <v>15</v>
      </c>
      <c r="CR13" s="82" t="s">
        <v>9</v>
      </c>
      <c r="CS13" s="91" t="s">
        <v>3576</v>
      </c>
      <c r="CT13" s="91"/>
      <c r="CU13" s="105"/>
    </row>
    <row r="14" spans="1:195" ht="100" customHeight="1" thickBot="1" x14ac:dyDescent="0.4">
      <c r="A14" s="40" t="s">
        <v>53</v>
      </c>
      <c r="B14" s="40" t="s">
        <v>312</v>
      </c>
      <c r="C14" s="135" t="s">
        <v>313</v>
      </c>
      <c r="D14" s="173" t="s">
        <v>3458</v>
      </c>
      <c r="E14" s="314" t="s">
        <v>3855</v>
      </c>
      <c r="F14" s="315" t="s">
        <v>3390</v>
      </c>
      <c r="G14" s="315" t="s">
        <v>3862</v>
      </c>
      <c r="H14" s="175"/>
      <c r="I14" s="175"/>
      <c r="J14" s="194" t="s">
        <v>693</v>
      </c>
      <c r="K14" s="208" t="s">
        <v>15</v>
      </c>
      <c r="L14" s="168" t="s">
        <v>4</v>
      </c>
      <c r="M14" s="168" t="s">
        <v>3576</v>
      </c>
      <c r="N14" s="200"/>
      <c r="O14" s="87"/>
      <c r="P14" s="49" t="s">
        <v>892</v>
      </c>
      <c r="Q14" s="13" t="s">
        <v>15</v>
      </c>
      <c r="R14" s="82" t="s">
        <v>4</v>
      </c>
      <c r="S14" s="91" t="s">
        <v>3576</v>
      </c>
      <c r="T14" s="91"/>
      <c r="U14" s="87"/>
      <c r="V14" s="52" t="s">
        <v>1091</v>
      </c>
      <c r="W14" s="13" t="s">
        <v>15</v>
      </c>
      <c r="X14" s="82" t="s">
        <v>4</v>
      </c>
      <c r="Y14" s="91" t="s">
        <v>3576</v>
      </c>
      <c r="Z14" s="91"/>
      <c r="AA14" s="87"/>
      <c r="AB14" s="19" t="s">
        <v>1291</v>
      </c>
      <c r="AC14" s="13" t="s">
        <v>15</v>
      </c>
      <c r="AD14" s="82" t="s">
        <v>4</v>
      </c>
      <c r="AE14" s="91" t="s">
        <v>3576</v>
      </c>
      <c r="AF14" s="91"/>
      <c r="AG14" s="87"/>
      <c r="AH14" s="56" t="s">
        <v>1488</v>
      </c>
      <c r="AI14" s="13" t="s">
        <v>15</v>
      </c>
      <c r="AJ14" s="82" t="s">
        <v>4</v>
      </c>
      <c r="AK14" s="91" t="s">
        <v>3576</v>
      </c>
      <c r="AL14" s="91"/>
      <c r="AM14" s="105"/>
      <c r="AN14" s="23" t="s">
        <v>1687</v>
      </c>
      <c r="AO14" s="13" t="s">
        <v>11</v>
      </c>
      <c r="AP14" s="82"/>
      <c r="AQ14" s="91" t="s">
        <v>3576</v>
      </c>
      <c r="AR14" s="91"/>
      <c r="AS14" s="87"/>
      <c r="AT14" s="21" t="s">
        <v>1885</v>
      </c>
      <c r="AU14" s="13" t="s">
        <v>11</v>
      </c>
      <c r="AV14" s="82"/>
      <c r="AW14" s="91" t="s">
        <v>3576</v>
      </c>
      <c r="AX14" s="91"/>
      <c r="AY14" s="87"/>
      <c r="AZ14" s="22" t="s">
        <v>2081</v>
      </c>
      <c r="BA14" s="13" t="s">
        <v>11</v>
      </c>
      <c r="BB14" s="82"/>
      <c r="BC14" s="91" t="s">
        <v>3576</v>
      </c>
      <c r="BD14" s="91"/>
      <c r="BE14" s="87"/>
      <c r="BF14" s="24" t="s">
        <v>2277</v>
      </c>
      <c r="BG14" s="13" t="s">
        <v>11</v>
      </c>
      <c r="BH14" s="82"/>
      <c r="BI14" s="91" t="s">
        <v>3576</v>
      </c>
      <c r="BJ14" s="91"/>
      <c r="BK14" s="87"/>
      <c r="BL14" s="27" t="s">
        <v>2464</v>
      </c>
      <c r="BM14" s="13" t="s">
        <v>11</v>
      </c>
      <c r="BN14" s="82"/>
      <c r="BO14" s="91" t="s">
        <v>3576</v>
      </c>
      <c r="BP14" s="91"/>
      <c r="BQ14" s="105"/>
      <c r="BR14" s="72" t="s">
        <v>2661</v>
      </c>
      <c r="BS14" s="13" t="s">
        <v>15</v>
      </c>
      <c r="BT14" s="82" t="s">
        <v>20</v>
      </c>
      <c r="BU14" s="91" t="s">
        <v>3576</v>
      </c>
      <c r="BV14" s="91"/>
      <c r="BW14" s="87"/>
      <c r="BX14" s="49" t="s">
        <v>2849</v>
      </c>
      <c r="BY14" s="13" t="s">
        <v>11</v>
      </c>
      <c r="BZ14" s="82"/>
      <c r="CA14" s="91" t="s">
        <v>3576</v>
      </c>
      <c r="CB14" s="91"/>
      <c r="CC14" s="87"/>
      <c r="CD14" s="52" t="s">
        <v>3025</v>
      </c>
      <c r="CE14" s="13" t="s">
        <v>15</v>
      </c>
      <c r="CF14" s="82" t="s">
        <v>20</v>
      </c>
      <c r="CG14" s="91" t="s">
        <v>3576</v>
      </c>
      <c r="CH14" s="91"/>
      <c r="CI14" s="87"/>
      <c r="CJ14" s="19" t="s">
        <v>3025</v>
      </c>
      <c r="CK14" s="13" t="s">
        <v>15</v>
      </c>
      <c r="CL14" s="82" t="s">
        <v>20</v>
      </c>
      <c r="CM14" s="91" t="s">
        <v>3576</v>
      </c>
      <c r="CN14" s="91"/>
      <c r="CO14" s="87"/>
      <c r="CP14" s="56" t="s">
        <v>3025</v>
      </c>
      <c r="CQ14" s="13" t="s">
        <v>15</v>
      </c>
      <c r="CR14" s="82" t="s">
        <v>20</v>
      </c>
      <c r="CS14" s="91" t="s">
        <v>3576</v>
      </c>
      <c r="CT14" s="91"/>
      <c r="CU14" s="105"/>
    </row>
    <row r="15" spans="1:195" ht="75.5" customHeight="1" thickBot="1" x14ac:dyDescent="0.4">
      <c r="A15" s="40" t="s">
        <v>53</v>
      </c>
      <c r="B15" s="40" t="s">
        <v>315</v>
      </c>
      <c r="C15" s="135" t="s">
        <v>514</v>
      </c>
      <c r="D15" s="173" t="s">
        <v>3460</v>
      </c>
      <c r="E15" s="314" t="s">
        <v>3855</v>
      </c>
      <c r="F15" s="315" t="s">
        <v>3423</v>
      </c>
      <c r="G15" s="315" t="s">
        <v>3865</v>
      </c>
      <c r="H15" s="193" t="s">
        <v>3677</v>
      </c>
      <c r="I15" s="173" t="s">
        <v>3559</v>
      </c>
      <c r="J15" s="194" t="s">
        <v>696</v>
      </c>
      <c r="K15" s="210" t="s">
        <v>15</v>
      </c>
      <c r="L15" s="168" t="s">
        <v>4</v>
      </c>
      <c r="M15" s="168" t="s">
        <v>3576</v>
      </c>
      <c r="N15" s="168"/>
      <c r="O15" s="348"/>
      <c r="P15" s="49" t="s">
        <v>895</v>
      </c>
      <c r="Q15" s="13" t="s">
        <v>0</v>
      </c>
      <c r="R15" s="82" t="s">
        <v>1</v>
      </c>
      <c r="S15" s="91" t="s">
        <v>3576</v>
      </c>
      <c r="T15" s="91"/>
      <c r="U15" s="87"/>
      <c r="V15" s="52" t="s">
        <v>1094</v>
      </c>
      <c r="W15" s="13" t="s">
        <v>0</v>
      </c>
      <c r="X15" s="82" t="s">
        <v>1</v>
      </c>
      <c r="Y15" s="91" t="s">
        <v>3576</v>
      </c>
      <c r="Z15" s="91"/>
      <c r="AA15" s="87"/>
      <c r="AB15" s="19" t="s">
        <v>1294</v>
      </c>
      <c r="AC15" s="13" t="s">
        <v>15</v>
      </c>
      <c r="AD15" s="82" t="s">
        <v>4</v>
      </c>
      <c r="AE15" s="91" t="s">
        <v>3576</v>
      </c>
      <c r="AF15" s="91"/>
      <c r="AG15" s="87"/>
      <c r="AH15" s="56" t="s">
        <v>1491</v>
      </c>
      <c r="AI15" s="13" t="s">
        <v>15</v>
      </c>
      <c r="AJ15" s="82" t="s">
        <v>4</v>
      </c>
      <c r="AK15" s="91" t="s">
        <v>3576</v>
      </c>
      <c r="AL15" s="91"/>
      <c r="AM15" s="105"/>
      <c r="AN15" s="23" t="s">
        <v>1690</v>
      </c>
      <c r="AO15" s="13" t="s">
        <v>0</v>
      </c>
      <c r="AP15" s="82" t="s">
        <v>1</v>
      </c>
      <c r="AQ15" s="91" t="s">
        <v>3576</v>
      </c>
      <c r="AR15" s="91"/>
      <c r="AS15" s="87"/>
      <c r="AT15" s="21" t="s">
        <v>1888</v>
      </c>
      <c r="AU15" s="13" t="s">
        <v>0</v>
      </c>
      <c r="AV15" s="82" t="s">
        <v>1</v>
      </c>
      <c r="AW15" s="91" t="s">
        <v>3576</v>
      </c>
      <c r="AX15" s="91"/>
      <c r="AY15" s="87"/>
      <c r="AZ15" s="22" t="s">
        <v>2084</v>
      </c>
      <c r="BA15" s="13" t="s">
        <v>0</v>
      </c>
      <c r="BB15" s="82" t="s">
        <v>1</v>
      </c>
      <c r="BC15" s="91" t="s">
        <v>3576</v>
      </c>
      <c r="BD15" s="91"/>
      <c r="BE15" s="87"/>
      <c r="BF15" s="24" t="s">
        <v>1690</v>
      </c>
      <c r="BG15" s="13" t="s">
        <v>0</v>
      </c>
      <c r="BH15" s="82" t="s">
        <v>1</v>
      </c>
      <c r="BI15" s="91" t="s">
        <v>3576</v>
      </c>
      <c r="BJ15" s="91"/>
      <c r="BK15" s="87"/>
      <c r="BL15" s="27" t="s">
        <v>2467</v>
      </c>
      <c r="BM15" s="13" t="s">
        <v>0</v>
      </c>
      <c r="BN15" s="82" t="s">
        <v>1</v>
      </c>
      <c r="BO15" s="91" t="s">
        <v>3576</v>
      </c>
      <c r="BP15" s="91"/>
      <c r="BQ15" s="105"/>
      <c r="BR15" s="72" t="s">
        <v>2664</v>
      </c>
      <c r="BS15" s="13" t="s">
        <v>0</v>
      </c>
      <c r="BT15" s="82" t="s">
        <v>1</v>
      </c>
      <c r="BU15" s="91" t="s">
        <v>3576</v>
      </c>
      <c r="BV15" s="91"/>
      <c r="BW15" s="87"/>
      <c r="BX15" s="49" t="s">
        <v>2852</v>
      </c>
      <c r="BY15" s="13" t="s">
        <v>0</v>
      </c>
      <c r="BZ15" s="82" t="s">
        <v>1</v>
      </c>
      <c r="CA15" s="91" t="s">
        <v>3576</v>
      </c>
      <c r="CB15" s="91"/>
      <c r="CC15" s="87"/>
      <c r="CD15" s="52" t="s">
        <v>3028</v>
      </c>
      <c r="CE15" s="13" t="s">
        <v>0</v>
      </c>
      <c r="CF15" s="82" t="s">
        <v>1</v>
      </c>
      <c r="CG15" s="91" t="s">
        <v>3576</v>
      </c>
      <c r="CH15" s="91"/>
      <c r="CI15" s="87"/>
      <c r="CJ15" s="19" t="s">
        <v>3184</v>
      </c>
      <c r="CK15" s="13" t="s">
        <v>0</v>
      </c>
      <c r="CL15" s="82" t="s">
        <v>1</v>
      </c>
      <c r="CM15" s="91" t="s">
        <v>3576</v>
      </c>
      <c r="CN15" s="91"/>
      <c r="CO15" s="87"/>
      <c r="CP15" s="56" t="s">
        <v>2664</v>
      </c>
      <c r="CQ15" s="13" t="s">
        <v>0</v>
      </c>
      <c r="CR15" s="82" t="s">
        <v>1</v>
      </c>
      <c r="CS15" s="91" t="s">
        <v>3576</v>
      </c>
      <c r="CT15" s="91"/>
      <c r="CU15" s="105"/>
    </row>
    <row r="16" spans="1:195" ht="95.5" customHeight="1" thickBot="1" x14ac:dyDescent="0.4">
      <c r="A16" s="40" t="s">
        <v>53</v>
      </c>
      <c r="B16" s="40" t="s">
        <v>326</v>
      </c>
      <c r="C16" s="135" t="s">
        <v>524</v>
      </c>
      <c r="D16" s="173" t="s">
        <v>3470</v>
      </c>
      <c r="E16" s="323" t="s">
        <v>3869</v>
      </c>
      <c r="F16" s="324" t="s">
        <v>3392</v>
      </c>
      <c r="G16" s="324" t="s">
        <v>3870</v>
      </c>
      <c r="H16" s="175" t="s">
        <v>3705</v>
      </c>
      <c r="I16" s="175" t="s">
        <v>3672</v>
      </c>
      <c r="J16" s="223" t="s">
        <v>707</v>
      </c>
      <c r="K16" s="210" t="s">
        <v>6</v>
      </c>
      <c r="L16" s="168" t="s">
        <v>8</v>
      </c>
      <c r="M16" s="168" t="s">
        <v>3576</v>
      </c>
      <c r="N16" s="168"/>
      <c r="O16" s="350"/>
      <c r="P16" s="49" t="s">
        <v>906</v>
      </c>
      <c r="Q16" s="13" t="s">
        <v>6</v>
      </c>
      <c r="R16" s="82" t="s">
        <v>8</v>
      </c>
      <c r="S16" s="91" t="s">
        <v>3576</v>
      </c>
      <c r="T16" s="91"/>
      <c r="U16" s="87"/>
      <c r="V16" s="52" t="s">
        <v>1105</v>
      </c>
      <c r="W16" s="13" t="s">
        <v>6</v>
      </c>
      <c r="X16" s="82" t="s">
        <v>8</v>
      </c>
      <c r="Y16" s="91" t="s">
        <v>3576</v>
      </c>
      <c r="Z16" s="91"/>
      <c r="AA16" s="350"/>
      <c r="AB16" s="19" t="s">
        <v>1305</v>
      </c>
      <c r="AC16" s="13" t="s">
        <v>6</v>
      </c>
      <c r="AD16" s="82" t="s">
        <v>8</v>
      </c>
      <c r="AE16" s="91" t="s">
        <v>3576</v>
      </c>
      <c r="AF16" s="91"/>
      <c r="AG16" s="87"/>
      <c r="AH16" s="56" t="s">
        <v>1502</v>
      </c>
      <c r="AI16" s="13" t="s">
        <v>6</v>
      </c>
      <c r="AJ16" s="82" t="s">
        <v>8</v>
      </c>
      <c r="AK16" s="91" t="s">
        <v>3576</v>
      </c>
      <c r="AL16" s="91"/>
      <c r="AM16" s="105"/>
      <c r="AN16" s="23" t="s">
        <v>1700</v>
      </c>
      <c r="AO16" s="13" t="s">
        <v>6</v>
      </c>
      <c r="AP16" s="82" t="s">
        <v>8</v>
      </c>
      <c r="AQ16" s="91" t="s">
        <v>3576</v>
      </c>
      <c r="AR16" s="91"/>
      <c r="AS16" s="350"/>
      <c r="AT16" s="21" t="s">
        <v>1899</v>
      </c>
      <c r="AU16" s="13" t="s">
        <v>15</v>
      </c>
      <c r="AV16" s="82" t="s">
        <v>19</v>
      </c>
      <c r="AW16" s="91" t="s">
        <v>3577</v>
      </c>
      <c r="AX16" s="91"/>
      <c r="AY16" s="350"/>
      <c r="AZ16" s="22" t="s">
        <v>2095</v>
      </c>
      <c r="BA16" s="13" t="s">
        <v>6</v>
      </c>
      <c r="BB16" s="82" t="s">
        <v>8</v>
      </c>
      <c r="BC16" s="91" t="s">
        <v>3576</v>
      </c>
      <c r="BD16" s="91"/>
      <c r="BE16" s="87"/>
      <c r="BF16" s="24" t="s">
        <v>2286</v>
      </c>
      <c r="BG16" s="13" t="s">
        <v>6</v>
      </c>
      <c r="BH16" s="82" t="s">
        <v>8</v>
      </c>
      <c r="BI16" s="91" t="s">
        <v>3576</v>
      </c>
      <c r="BJ16" s="91"/>
      <c r="BK16" s="87"/>
      <c r="BL16" s="27" t="s">
        <v>2477</v>
      </c>
      <c r="BM16" s="13" t="s">
        <v>15</v>
      </c>
      <c r="BN16" s="82" t="s">
        <v>19</v>
      </c>
      <c r="BO16" s="91" t="s">
        <v>3577</v>
      </c>
      <c r="BP16" s="91"/>
      <c r="BQ16" s="105"/>
      <c r="BR16" s="72" t="s">
        <v>2674</v>
      </c>
      <c r="BS16" s="13" t="s">
        <v>6</v>
      </c>
      <c r="BT16" s="82" t="s">
        <v>8</v>
      </c>
      <c r="BU16" s="91" t="s">
        <v>3576</v>
      </c>
      <c r="BV16" s="91"/>
      <c r="BW16" s="350"/>
      <c r="BX16" s="49" t="s">
        <v>2862</v>
      </c>
      <c r="BY16" s="13" t="s">
        <v>6</v>
      </c>
      <c r="BZ16" s="82" t="s">
        <v>8</v>
      </c>
      <c r="CA16" s="91" t="s">
        <v>3576</v>
      </c>
      <c r="CB16" s="91"/>
      <c r="CC16" s="87"/>
      <c r="CD16" s="52" t="s">
        <v>2674</v>
      </c>
      <c r="CE16" s="13" t="s">
        <v>6</v>
      </c>
      <c r="CF16" s="82" t="s">
        <v>8</v>
      </c>
      <c r="CG16" s="91" t="s">
        <v>3576</v>
      </c>
      <c r="CH16" s="91"/>
      <c r="CI16" s="87"/>
      <c r="CJ16" s="19" t="s">
        <v>3192</v>
      </c>
      <c r="CK16" s="13" t="s">
        <v>6</v>
      </c>
      <c r="CL16" s="82" t="s">
        <v>8</v>
      </c>
      <c r="CM16" s="91" t="s">
        <v>3576</v>
      </c>
      <c r="CN16" s="91"/>
      <c r="CO16" s="87"/>
      <c r="CP16" s="56" t="s">
        <v>3192</v>
      </c>
      <c r="CQ16" s="13" t="s">
        <v>6</v>
      </c>
      <c r="CR16" s="82" t="s">
        <v>8</v>
      </c>
      <c r="CS16" s="91" t="s">
        <v>3576</v>
      </c>
      <c r="CT16" s="91"/>
      <c r="CU16" s="105"/>
    </row>
    <row r="17" spans="1:99" ht="42" customHeight="1" thickBot="1" x14ac:dyDescent="0.4">
      <c r="A17" s="40" t="s">
        <v>53</v>
      </c>
      <c r="B17" s="40" t="s">
        <v>329</v>
      </c>
      <c r="C17" s="135" t="s">
        <v>527</v>
      </c>
      <c r="D17" s="173" t="s">
        <v>3473</v>
      </c>
      <c r="E17" s="323" t="s">
        <v>3869</v>
      </c>
      <c r="F17" s="324" t="s">
        <v>3392</v>
      </c>
      <c r="G17" s="324" t="s">
        <v>3870</v>
      </c>
      <c r="H17" s="175"/>
      <c r="I17" s="175"/>
      <c r="J17" s="194" t="s">
        <v>710</v>
      </c>
      <c r="K17" s="199" t="s">
        <v>15</v>
      </c>
      <c r="L17" s="168" t="s">
        <v>20</v>
      </c>
      <c r="M17" s="168" t="s">
        <v>3577</v>
      </c>
      <c r="N17" s="168"/>
      <c r="O17" s="87"/>
      <c r="P17" s="49" t="s">
        <v>909</v>
      </c>
      <c r="Q17" s="13" t="s">
        <v>15</v>
      </c>
      <c r="R17" s="82" t="s">
        <v>20</v>
      </c>
      <c r="S17" s="91" t="s">
        <v>3577</v>
      </c>
      <c r="T17" s="91"/>
      <c r="U17" s="87"/>
      <c r="V17" s="52" t="s">
        <v>1108</v>
      </c>
      <c r="W17" s="13" t="s">
        <v>15</v>
      </c>
      <c r="X17" s="82" t="s">
        <v>20</v>
      </c>
      <c r="Y17" s="91" t="s">
        <v>3577</v>
      </c>
      <c r="Z17" s="91"/>
      <c r="AA17" s="87"/>
      <c r="AB17" s="19" t="s">
        <v>1307</v>
      </c>
      <c r="AC17" s="13" t="s">
        <v>15</v>
      </c>
      <c r="AD17" s="82" t="s">
        <v>20</v>
      </c>
      <c r="AE17" s="91" t="s">
        <v>3577</v>
      </c>
      <c r="AF17" s="91"/>
      <c r="AG17" s="87"/>
      <c r="AH17" s="56" t="s">
        <v>1504</v>
      </c>
      <c r="AI17" s="13" t="s">
        <v>15</v>
      </c>
      <c r="AJ17" s="82" t="s">
        <v>20</v>
      </c>
      <c r="AK17" s="91" t="s">
        <v>3577</v>
      </c>
      <c r="AL17" s="91"/>
      <c r="AM17" s="87"/>
      <c r="AN17" s="23" t="s">
        <v>1703</v>
      </c>
      <c r="AO17" s="13" t="s">
        <v>0</v>
      </c>
      <c r="AP17" s="82" t="s">
        <v>12</v>
      </c>
      <c r="AQ17" s="91" t="s">
        <v>3577</v>
      </c>
      <c r="AR17" s="91"/>
      <c r="AS17" s="87"/>
      <c r="AT17" s="21" t="s">
        <v>1902</v>
      </c>
      <c r="AU17" s="13" t="s">
        <v>0</v>
      </c>
      <c r="AV17" s="82" t="s">
        <v>12</v>
      </c>
      <c r="AW17" s="91" t="s">
        <v>3577</v>
      </c>
      <c r="AX17" s="91"/>
      <c r="AY17" s="87"/>
      <c r="AZ17" s="22" t="s">
        <v>1902</v>
      </c>
      <c r="BA17" s="13" t="s">
        <v>0</v>
      </c>
      <c r="BB17" s="82" t="s">
        <v>12</v>
      </c>
      <c r="BC17" s="91" t="s">
        <v>3577</v>
      </c>
      <c r="BD17" s="91"/>
      <c r="BE17" s="350"/>
      <c r="BF17" s="24" t="s">
        <v>2289</v>
      </c>
      <c r="BG17" s="13" t="s">
        <v>0</v>
      </c>
      <c r="BH17" s="82" t="s">
        <v>12</v>
      </c>
      <c r="BI17" s="91" t="s">
        <v>3577</v>
      </c>
      <c r="BJ17" s="91"/>
      <c r="BK17" s="350"/>
      <c r="BL17" s="27" t="s">
        <v>2479</v>
      </c>
      <c r="BM17" s="13" t="s">
        <v>0</v>
      </c>
      <c r="BN17" s="82" t="s">
        <v>12</v>
      </c>
      <c r="BO17" s="91" t="s">
        <v>3577</v>
      </c>
      <c r="BP17" s="91"/>
      <c r="BQ17" s="105"/>
      <c r="BR17" s="72" t="s">
        <v>2677</v>
      </c>
      <c r="BS17" s="13" t="s">
        <v>0</v>
      </c>
      <c r="BT17" s="82" t="s">
        <v>12</v>
      </c>
      <c r="BU17" s="91" t="s">
        <v>3577</v>
      </c>
      <c r="BV17" s="91"/>
      <c r="BW17" s="87"/>
      <c r="BX17" s="49" t="s">
        <v>2865</v>
      </c>
      <c r="BY17" s="13" t="s">
        <v>15</v>
      </c>
      <c r="BZ17" s="82" t="s">
        <v>20</v>
      </c>
      <c r="CA17" s="91" t="s">
        <v>3577</v>
      </c>
      <c r="CB17" s="91"/>
      <c r="CC17" s="87"/>
      <c r="CD17" s="52" t="s">
        <v>2677</v>
      </c>
      <c r="CE17" s="13" t="s">
        <v>0</v>
      </c>
      <c r="CF17" s="82" t="s">
        <v>12</v>
      </c>
      <c r="CG17" s="91" t="s">
        <v>3577</v>
      </c>
      <c r="CH17" s="91"/>
      <c r="CI17" s="87"/>
      <c r="CJ17" s="19" t="s">
        <v>2677</v>
      </c>
      <c r="CK17" s="13" t="s">
        <v>0</v>
      </c>
      <c r="CL17" s="82" t="s">
        <v>12</v>
      </c>
      <c r="CM17" s="91" t="s">
        <v>3577</v>
      </c>
      <c r="CN17" s="91"/>
      <c r="CO17" s="87"/>
      <c r="CP17" s="56" t="s">
        <v>2677</v>
      </c>
      <c r="CQ17" s="13" t="s">
        <v>0</v>
      </c>
      <c r="CR17" s="82" t="s">
        <v>12</v>
      </c>
      <c r="CS17" s="91" t="s">
        <v>3577</v>
      </c>
      <c r="CT17" s="91"/>
      <c r="CU17" s="105"/>
    </row>
    <row r="18" spans="1:99" ht="82" customHeight="1" thickBot="1" x14ac:dyDescent="0.4">
      <c r="A18" s="40" t="s">
        <v>53</v>
      </c>
      <c r="B18" s="40" t="s">
        <v>330</v>
      </c>
      <c r="C18" s="135" t="s">
        <v>528</v>
      </c>
      <c r="D18" s="173" t="s">
        <v>3474</v>
      </c>
      <c r="E18" s="314" t="s">
        <v>3855</v>
      </c>
      <c r="F18" s="315" t="s">
        <v>3437</v>
      </c>
      <c r="G18" s="315" t="s">
        <v>3864</v>
      </c>
      <c r="H18" s="175" t="s">
        <v>3727</v>
      </c>
      <c r="I18" s="175" t="s">
        <v>3568</v>
      </c>
      <c r="J18" s="194" t="s">
        <v>711</v>
      </c>
      <c r="K18" s="199" t="s">
        <v>15</v>
      </c>
      <c r="L18" s="230" t="s">
        <v>9</v>
      </c>
      <c r="M18" s="168" t="s">
        <v>3576</v>
      </c>
      <c r="N18" s="197"/>
      <c r="O18" s="87"/>
      <c r="P18" s="49" t="s">
        <v>910</v>
      </c>
      <c r="Q18" s="13" t="s">
        <v>15</v>
      </c>
      <c r="R18" s="82" t="s">
        <v>9</v>
      </c>
      <c r="S18" s="91" t="s">
        <v>3576</v>
      </c>
      <c r="T18" s="91"/>
      <c r="U18" s="87"/>
      <c r="V18" s="52" t="s">
        <v>1109</v>
      </c>
      <c r="W18" s="13" t="s">
        <v>11</v>
      </c>
      <c r="X18" s="82"/>
      <c r="Y18" s="91" t="s">
        <v>3576</v>
      </c>
      <c r="Z18" s="91"/>
      <c r="AA18" s="87"/>
      <c r="AB18" s="19" t="s">
        <v>1308</v>
      </c>
      <c r="AC18" s="13" t="s">
        <v>15</v>
      </c>
      <c r="AD18" s="82" t="s">
        <v>9</v>
      </c>
      <c r="AE18" s="91" t="s">
        <v>3576</v>
      </c>
      <c r="AF18" s="91"/>
      <c r="AG18" s="87"/>
      <c r="AH18" s="56" t="s">
        <v>1505</v>
      </c>
      <c r="AI18" s="13" t="s">
        <v>15</v>
      </c>
      <c r="AJ18" s="82" t="s">
        <v>9</v>
      </c>
      <c r="AK18" s="91" t="s">
        <v>3576</v>
      </c>
      <c r="AL18" s="91"/>
      <c r="AM18" s="105"/>
      <c r="AN18" s="23" t="s">
        <v>1704</v>
      </c>
      <c r="AO18" s="13" t="s">
        <v>0</v>
      </c>
      <c r="AP18" s="82" t="s">
        <v>1</v>
      </c>
      <c r="AQ18" s="91" t="s">
        <v>3577</v>
      </c>
      <c r="AR18" s="91"/>
      <c r="AS18" s="87"/>
      <c r="AT18" s="21" t="s">
        <v>1903</v>
      </c>
      <c r="AU18" s="13" t="s">
        <v>0</v>
      </c>
      <c r="AV18" s="82" t="s">
        <v>1</v>
      </c>
      <c r="AW18" s="91" t="s">
        <v>3577</v>
      </c>
      <c r="AX18" s="91"/>
      <c r="AY18" s="87"/>
      <c r="AZ18" s="22" t="s">
        <v>2098</v>
      </c>
      <c r="BA18" s="13" t="s">
        <v>0</v>
      </c>
      <c r="BB18" s="82" t="s">
        <v>1</v>
      </c>
      <c r="BC18" s="91" t="s">
        <v>3577</v>
      </c>
      <c r="BD18" s="91"/>
      <c r="BE18" s="87"/>
      <c r="BF18" s="24" t="s">
        <v>2290</v>
      </c>
      <c r="BG18" s="13" t="s">
        <v>0</v>
      </c>
      <c r="BH18" s="82" t="s">
        <v>1</v>
      </c>
      <c r="BI18" s="91" t="s">
        <v>3577</v>
      </c>
      <c r="BJ18" s="91"/>
      <c r="BK18" s="87"/>
      <c r="BL18" s="27" t="s">
        <v>2480</v>
      </c>
      <c r="BM18" s="13" t="s">
        <v>0</v>
      </c>
      <c r="BN18" s="82" t="s">
        <v>1</v>
      </c>
      <c r="BO18" s="91" t="s">
        <v>3577</v>
      </c>
      <c r="BP18" s="91"/>
      <c r="BQ18" s="105"/>
      <c r="BR18" s="72" t="s">
        <v>2678</v>
      </c>
      <c r="BS18" s="13" t="s">
        <v>0</v>
      </c>
      <c r="BT18" s="82" t="s">
        <v>12</v>
      </c>
      <c r="BU18" s="91" t="s">
        <v>3577</v>
      </c>
      <c r="BV18" s="91"/>
      <c r="BW18" s="87"/>
      <c r="BX18" s="49" t="s">
        <v>2866</v>
      </c>
      <c r="BY18" s="13" t="s">
        <v>0</v>
      </c>
      <c r="BZ18" s="82" t="s">
        <v>12</v>
      </c>
      <c r="CA18" s="91" t="s">
        <v>3577</v>
      </c>
      <c r="CB18" s="91"/>
      <c r="CC18" s="87"/>
      <c r="CD18" s="52" t="s">
        <v>3040</v>
      </c>
      <c r="CE18" s="13" t="s">
        <v>0</v>
      </c>
      <c r="CF18" s="82" t="s">
        <v>1</v>
      </c>
      <c r="CG18" s="91" t="s">
        <v>3577</v>
      </c>
      <c r="CH18" s="91"/>
      <c r="CI18" s="87"/>
      <c r="CJ18" s="19" t="s">
        <v>3194</v>
      </c>
      <c r="CK18" s="13" t="s">
        <v>0</v>
      </c>
      <c r="CL18" s="82" t="s">
        <v>12</v>
      </c>
      <c r="CM18" s="91" t="s">
        <v>3577</v>
      </c>
      <c r="CN18" s="91"/>
      <c r="CO18" s="87"/>
      <c r="CP18" s="56" t="s">
        <v>3321</v>
      </c>
      <c r="CQ18" s="13" t="s">
        <v>0</v>
      </c>
      <c r="CR18" s="82" t="s">
        <v>1</v>
      </c>
      <c r="CS18" s="91" t="s">
        <v>3577</v>
      </c>
      <c r="CT18" s="91"/>
      <c r="CU18" s="105"/>
    </row>
    <row r="19" spans="1:99" ht="64.5" customHeight="1" thickBot="1" x14ac:dyDescent="0.4">
      <c r="A19" s="40" t="s">
        <v>53</v>
      </c>
      <c r="B19" s="40" t="s">
        <v>334</v>
      </c>
      <c r="C19" s="135" t="s">
        <v>532</v>
      </c>
      <c r="D19" s="221" t="s">
        <v>3478</v>
      </c>
      <c r="E19" s="323" t="s">
        <v>3869</v>
      </c>
      <c r="F19" s="324" t="s">
        <v>3465</v>
      </c>
      <c r="G19" s="324" t="s">
        <v>3872</v>
      </c>
      <c r="H19" s="221"/>
      <c r="I19" s="221"/>
      <c r="J19" s="226" t="s">
        <v>715</v>
      </c>
      <c r="K19" s="308" t="s">
        <v>0</v>
      </c>
      <c r="L19" s="187" t="s">
        <v>12</v>
      </c>
      <c r="M19" s="217" t="s">
        <v>3577</v>
      </c>
      <c r="N19" s="217"/>
      <c r="O19" s="87"/>
      <c r="P19" s="49" t="s">
        <v>914</v>
      </c>
      <c r="Q19" s="13" t="s">
        <v>15</v>
      </c>
      <c r="R19" s="82" t="s">
        <v>13</v>
      </c>
      <c r="S19" s="91" t="s">
        <v>3577</v>
      </c>
      <c r="T19" s="91"/>
      <c r="U19" s="87"/>
      <c r="V19" s="52" t="s">
        <v>1113</v>
      </c>
      <c r="W19" s="13" t="s">
        <v>0</v>
      </c>
      <c r="X19" s="82" t="s">
        <v>12</v>
      </c>
      <c r="Y19" s="91" t="s">
        <v>3577</v>
      </c>
      <c r="Z19" s="91"/>
      <c r="AA19" s="87"/>
      <c r="AB19" s="19" t="s">
        <v>1312</v>
      </c>
      <c r="AC19" s="13" t="s">
        <v>0</v>
      </c>
      <c r="AD19" s="82" t="s">
        <v>12</v>
      </c>
      <c r="AE19" s="91" t="s">
        <v>3577</v>
      </c>
      <c r="AF19" s="91"/>
      <c r="AG19" s="87"/>
      <c r="AH19" s="56" t="s">
        <v>1509</v>
      </c>
      <c r="AI19" s="13" t="s">
        <v>0</v>
      </c>
      <c r="AJ19" s="82" t="s">
        <v>12</v>
      </c>
      <c r="AK19" s="91" t="s">
        <v>3577</v>
      </c>
      <c r="AL19" s="91"/>
      <c r="AM19" s="105"/>
      <c r="AN19" s="23" t="s">
        <v>1708</v>
      </c>
      <c r="AO19" s="13" t="s">
        <v>0</v>
      </c>
      <c r="AP19" s="82" t="s">
        <v>12</v>
      </c>
      <c r="AQ19" s="91" t="s">
        <v>3577</v>
      </c>
      <c r="AR19" s="91"/>
      <c r="AS19" s="87"/>
      <c r="AT19" s="21" t="s">
        <v>1907</v>
      </c>
      <c r="AU19" s="13" t="s">
        <v>0</v>
      </c>
      <c r="AV19" s="82" t="s">
        <v>12</v>
      </c>
      <c r="AW19" s="91" t="s">
        <v>3577</v>
      </c>
      <c r="AX19" s="91"/>
      <c r="AY19" s="87"/>
      <c r="AZ19" s="22" t="s">
        <v>2102</v>
      </c>
      <c r="BA19" s="13" t="s">
        <v>0</v>
      </c>
      <c r="BB19" s="82" t="s">
        <v>12</v>
      </c>
      <c r="BC19" s="91" t="s">
        <v>3577</v>
      </c>
      <c r="BD19" s="91"/>
      <c r="BE19" s="87"/>
      <c r="BF19" s="24" t="s">
        <v>2294</v>
      </c>
      <c r="BG19" s="13" t="s">
        <v>15</v>
      </c>
      <c r="BH19" s="82" t="s">
        <v>4</v>
      </c>
      <c r="BI19" s="91" t="s">
        <v>3576</v>
      </c>
      <c r="BJ19" s="91"/>
      <c r="BK19" s="87"/>
      <c r="BL19" s="27" t="s">
        <v>2484</v>
      </c>
      <c r="BM19" s="13" t="s">
        <v>15</v>
      </c>
      <c r="BN19" s="82" t="s">
        <v>4</v>
      </c>
      <c r="BO19" s="91" t="s">
        <v>3576</v>
      </c>
      <c r="BP19" s="91"/>
      <c r="BQ19" s="105"/>
      <c r="BR19" s="72" t="s">
        <v>2682</v>
      </c>
      <c r="BS19" s="13" t="s">
        <v>0</v>
      </c>
      <c r="BT19" s="82" t="s">
        <v>12</v>
      </c>
      <c r="BU19" s="91" t="s">
        <v>3577</v>
      </c>
      <c r="BV19" s="91"/>
      <c r="BW19" s="87"/>
      <c r="BX19" s="49" t="s">
        <v>2869</v>
      </c>
      <c r="BY19" s="13" t="s">
        <v>15</v>
      </c>
      <c r="BZ19" s="82" t="s">
        <v>4</v>
      </c>
      <c r="CA19" s="91" t="s">
        <v>3576</v>
      </c>
      <c r="CB19" s="91"/>
      <c r="CC19" s="87"/>
      <c r="CD19" s="52" t="s">
        <v>3044</v>
      </c>
      <c r="CE19" s="13" t="s">
        <v>0</v>
      </c>
      <c r="CF19" s="82" t="s">
        <v>12</v>
      </c>
      <c r="CG19" s="91" t="s">
        <v>3577</v>
      </c>
      <c r="CH19" s="91"/>
      <c r="CI19" s="87"/>
      <c r="CJ19" s="19" t="s">
        <v>3195</v>
      </c>
      <c r="CK19" s="13" t="s">
        <v>0</v>
      </c>
      <c r="CL19" s="82" t="s">
        <v>12</v>
      </c>
      <c r="CM19" s="91" t="s">
        <v>3577</v>
      </c>
      <c r="CN19" s="91"/>
      <c r="CO19" s="87"/>
      <c r="CP19" s="56" t="s">
        <v>3322</v>
      </c>
      <c r="CQ19" s="13" t="s">
        <v>0</v>
      </c>
      <c r="CR19" s="82" t="s">
        <v>12</v>
      </c>
      <c r="CS19" s="91" t="s">
        <v>3577</v>
      </c>
      <c r="CT19" s="91"/>
      <c r="CU19" s="105"/>
    </row>
    <row r="20" spans="1:99" ht="42" customHeight="1" thickBot="1" x14ac:dyDescent="0.4">
      <c r="A20" s="40" t="s">
        <v>53</v>
      </c>
      <c r="B20" s="40" t="s">
        <v>335</v>
      </c>
      <c r="C20" s="135" t="s">
        <v>533</v>
      </c>
      <c r="D20" s="175" t="s">
        <v>3479</v>
      </c>
      <c r="E20" s="323" t="s">
        <v>3869</v>
      </c>
      <c r="F20" s="324" t="s">
        <v>3465</v>
      </c>
      <c r="G20" s="324" t="s">
        <v>3872</v>
      </c>
      <c r="H20" s="175" t="s">
        <v>3730</v>
      </c>
      <c r="I20" s="175" t="s">
        <v>3591</v>
      </c>
      <c r="J20" s="223" t="s">
        <v>716</v>
      </c>
      <c r="K20" s="231" t="s">
        <v>15</v>
      </c>
      <c r="L20" s="168" t="s">
        <v>4</v>
      </c>
      <c r="M20" s="197" t="s">
        <v>3576</v>
      </c>
      <c r="N20" s="168"/>
      <c r="O20" s="87"/>
      <c r="P20" s="49" t="s">
        <v>915</v>
      </c>
      <c r="Q20" s="13" t="s">
        <v>15</v>
      </c>
      <c r="R20" s="82" t="s">
        <v>19</v>
      </c>
      <c r="S20" s="91" t="s">
        <v>3577</v>
      </c>
      <c r="T20" s="91"/>
      <c r="U20" s="87"/>
      <c r="V20" s="52" t="s">
        <v>1114</v>
      </c>
      <c r="W20" s="13" t="s">
        <v>15</v>
      </c>
      <c r="X20" s="82" t="s">
        <v>4</v>
      </c>
      <c r="Y20" s="91" t="s">
        <v>3576</v>
      </c>
      <c r="Z20" s="91"/>
      <c r="AA20" s="87"/>
      <c r="AB20" s="19" t="s">
        <v>1313</v>
      </c>
      <c r="AC20" s="13" t="s">
        <v>15</v>
      </c>
      <c r="AD20" s="82" t="s">
        <v>4</v>
      </c>
      <c r="AE20" s="91" t="s">
        <v>3576</v>
      </c>
      <c r="AF20" s="91"/>
      <c r="AG20" s="87"/>
      <c r="AH20" s="56" t="s">
        <v>1510</v>
      </c>
      <c r="AI20" s="13" t="s">
        <v>15</v>
      </c>
      <c r="AJ20" s="82" t="s">
        <v>4</v>
      </c>
      <c r="AK20" s="91" t="s">
        <v>3576</v>
      </c>
      <c r="AL20" s="91"/>
      <c r="AM20" s="87"/>
      <c r="AN20" s="23" t="s">
        <v>1709</v>
      </c>
      <c r="AO20" s="13" t="s">
        <v>11</v>
      </c>
      <c r="AP20" s="82"/>
      <c r="AQ20" s="91" t="s">
        <v>3576</v>
      </c>
      <c r="AR20" s="91"/>
      <c r="AS20" s="87"/>
      <c r="AT20" s="21" t="s">
        <v>1908</v>
      </c>
      <c r="AU20" s="13" t="s">
        <v>11</v>
      </c>
      <c r="AV20" s="82"/>
      <c r="AW20" s="91" t="s">
        <v>3576</v>
      </c>
      <c r="AX20" s="91"/>
      <c r="AY20" s="87"/>
      <c r="AZ20" s="22" t="s">
        <v>2103</v>
      </c>
      <c r="BA20" s="13" t="s">
        <v>11</v>
      </c>
      <c r="BB20" s="82"/>
      <c r="BC20" s="91" t="s">
        <v>3576</v>
      </c>
      <c r="BD20" s="91"/>
      <c r="BE20" s="87"/>
      <c r="BF20" s="24" t="s">
        <v>2295</v>
      </c>
      <c r="BG20" s="13" t="s">
        <v>11</v>
      </c>
      <c r="BH20" s="82"/>
      <c r="BI20" s="91" t="s">
        <v>3576</v>
      </c>
      <c r="BJ20" s="91"/>
      <c r="BK20" s="350"/>
      <c r="BL20" s="27" t="s">
        <v>2485</v>
      </c>
      <c r="BM20" s="13" t="s">
        <v>11</v>
      </c>
      <c r="BN20" s="82"/>
      <c r="BO20" s="91" t="s">
        <v>3576</v>
      </c>
      <c r="BP20" s="91"/>
      <c r="BQ20" s="105"/>
      <c r="BR20" s="72" t="s">
        <v>2683</v>
      </c>
      <c r="BS20" s="13" t="s">
        <v>11</v>
      </c>
      <c r="BT20" s="82"/>
      <c r="BU20" s="91" t="s">
        <v>3576</v>
      </c>
      <c r="BV20" s="91"/>
      <c r="BW20" s="87"/>
      <c r="BX20" s="49" t="s">
        <v>2870</v>
      </c>
      <c r="BY20" s="13" t="s">
        <v>11</v>
      </c>
      <c r="BZ20" s="82"/>
      <c r="CA20" s="91" t="s">
        <v>3576</v>
      </c>
      <c r="CB20" s="91"/>
      <c r="CC20" s="87"/>
      <c r="CD20" s="52" t="s">
        <v>3045</v>
      </c>
      <c r="CE20" s="13" t="s">
        <v>11</v>
      </c>
      <c r="CF20" s="82"/>
      <c r="CG20" s="91" t="s">
        <v>3576</v>
      </c>
      <c r="CH20" s="91"/>
      <c r="CI20" s="87"/>
      <c r="CJ20" s="19" t="s">
        <v>2683</v>
      </c>
      <c r="CK20" s="13" t="s">
        <v>11</v>
      </c>
      <c r="CL20" s="82"/>
      <c r="CM20" s="91" t="s">
        <v>3576</v>
      </c>
      <c r="CN20" s="91"/>
      <c r="CO20" s="87"/>
      <c r="CP20" s="56" t="s">
        <v>3323</v>
      </c>
      <c r="CQ20" s="13" t="s">
        <v>11</v>
      </c>
      <c r="CR20" s="82"/>
      <c r="CS20" s="91" t="s">
        <v>3576</v>
      </c>
      <c r="CT20" s="91"/>
      <c r="CU20" s="105"/>
    </row>
    <row r="21" spans="1:99" ht="42" customHeight="1" thickBot="1" x14ac:dyDescent="0.4">
      <c r="A21" s="40" t="s">
        <v>53</v>
      </c>
      <c r="B21" s="40" t="s">
        <v>339</v>
      </c>
      <c r="C21" s="135" t="s">
        <v>536</v>
      </c>
      <c r="D21" s="175" t="s">
        <v>3732</v>
      </c>
      <c r="E21" s="314" t="s">
        <v>3855</v>
      </c>
      <c r="F21" s="315" t="s">
        <v>3371</v>
      </c>
      <c r="G21" s="315" t="s">
        <v>3859</v>
      </c>
      <c r="H21" s="175" t="s">
        <v>3733</v>
      </c>
      <c r="I21" s="175" t="s">
        <v>3565</v>
      </c>
      <c r="J21" s="223" t="s">
        <v>720</v>
      </c>
      <c r="K21" s="231" t="s">
        <v>15</v>
      </c>
      <c r="L21" s="168" t="s">
        <v>4</v>
      </c>
      <c r="M21" s="197" t="s">
        <v>3576</v>
      </c>
      <c r="N21" s="168"/>
      <c r="O21" s="87"/>
      <c r="P21" s="49" t="s">
        <v>919</v>
      </c>
      <c r="Q21" s="13" t="s">
        <v>15</v>
      </c>
      <c r="R21" s="82" t="s">
        <v>4</v>
      </c>
      <c r="S21" s="91" t="s">
        <v>3576</v>
      </c>
      <c r="T21" s="91"/>
      <c r="U21" s="87"/>
      <c r="V21" s="52" t="s">
        <v>1118</v>
      </c>
      <c r="W21" s="13" t="s">
        <v>15</v>
      </c>
      <c r="X21" s="82" t="s">
        <v>4</v>
      </c>
      <c r="Y21" s="91" t="s">
        <v>3576</v>
      </c>
      <c r="Z21" s="91"/>
      <c r="AA21" s="87"/>
      <c r="AB21" s="19" t="s">
        <v>1317</v>
      </c>
      <c r="AC21" s="13" t="s">
        <v>15</v>
      </c>
      <c r="AD21" s="82" t="s">
        <v>20</v>
      </c>
      <c r="AE21" s="91" t="s">
        <v>3576</v>
      </c>
      <c r="AF21" s="91"/>
      <c r="AG21" s="87"/>
      <c r="AH21" s="56" t="s">
        <v>1514</v>
      </c>
      <c r="AI21" s="13" t="s">
        <v>15</v>
      </c>
      <c r="AJ21" s="82" t="s">
        <v>20</v>
      </c>
      <c r="AK21" s="91" t="s">
        <v>3576</v>
      </c>
      <c r="AL21" s="91"/>
      <c r="AM21" s="105"/>
      <c r="AN21" s="23" t="s">
        <v>1713</v>
      </c>
      <c r="AO21" s="13" t="s">
        <v>15</v>
      </c>
      <c r="AP21" s="82" t="s">
        <v>20</v>
      </c>
      <c r="AQ21" s="91" t="s">
        <v>3576</v>
      </c>
      <c r="AR21" s="91"/>
      <c r="AS21" s="87"/>
      <c r="AT21" s="21" t="s">
        <v>1912</v>
      </c>
      <c r="AU21" s="13" t="s">
        <v>15</v>
      </c>
      <c r="AV21" s="82" t="s">
        <v>20</v>
      </c>
      <c r="AW21" s="91" t="s">
        <v>3576</v>
      </c>
      <c r="AX21" s="91"/>
      <c r="AY21" s="350"/>
      <c r="AZ21" s="22" t="s">
        <v>2107</v>
      </c>
      <c r="BA21" s="13" t="s">
        <v>15</v>
      </c>
      <c r="BB21" s="82" t="s">
        <v>20</v>
      </c>
      <c r="BC21" s="91" t="s">
        <v>3576</v>
      </c>
      <c r="BD21" s="91"/>
      <c r="BE21" s="87"/>
      <c r="BF21" s="24" t="s">
        <v>2299</v>
      </c>
      <c r="BG21" s="13" t="s">
        <v>15</v>
      </c>
      <c r="BH21" s="82" t="s">
        <v>20</v>
      </c>
      <c r="BI21" s="91" t="s">
        <v>3576</v>
      </c>
      <c r="BJ21" s="91"/>
      <c r="BK21" s="350"/>
      <c r="BL21" s="27" t="s">
        <v>2489</v>
      </c>
      <c r="BM21" s="13" t="s">
        <v>15</v>
      </c>
      <c r="BN21" s="82" t="s">
        <v>20</v>
      </c>
      <c r="BO21" s="91" t="s">
        <v>3576</v>
      </c>
      <c r="BP21" s="91"/>
      <c r="BQ21" s="350"/>
      <c r="BR21" s="72" t="s">
        <v>2687</v>
      </c>
      <c r="BS21" s="13" t="s">
        <v>15</v>
      </c>
      <c r="BT21" s="82" t="s">
        <v>20</v>
      </c>
      <c r="BU21" s="91" t="s">
        <v>3576</v>
      </c>
      <c r="BV21" s="91"/>
      <c r="BW21" s="350"/>
      <c r="BX21" s="49" t="s">
        <v>2874</v>
      </c>
      <c r="BY21" s="13" t="s">
        <v>15</v>
      </c>
      <c r="BZ21" s="82" t="s">
        <v>20</v>
      </c>
      <c r="CA21" s="91" t="s">
        <v>3576</v>
      </c>
      <c r="CB21" s="91"/>
      <c r="CC21" s="87"/>
      <c r="CD21" s="52" t="s">
        <v>3048</v>
      </c>
      <c r="CE21" s="13" t="s">
        <v>15</v>
      </c>
      <c r="CF21" s="82" t="s">
        <v>4</v>
      </c>
      <c r="CG21" s="91" t="s">
        <v>3576</v>
      </c>
      <c r="CH21" s="91"/>
      <c r="CI21" s="87"/>
      <c r="CJ21" s="19" t="s">
        <v>2687</v>
      </c>
      <c r="CK21" s="13" t="s">
        <v>15</v>
      </c>
      <c r="CL21" s="82" t="s">
        <v>20</v>
      </c>
      <c r="CM21" s="91" t="s">
        <v>3576</v>
      </c>
      <c r="CN21" s="91"/>
      <c r="CO21" s="350"/>
      <c r="CP21" s="56" t="s">
        <v>2687</v>
      </c>
      <c r="CQ21" s="13" t="s">
        <v>15</v>
      </c>
      <c r="CR21" s="82" t="s">
        <v>20</v>
      </c>
      <c r="CS21" s="91" t="s">
        <v>3576</v>
      </c>
      <c r="CT21" s="91"/>
      <c r="CU21" s="350"/>
    </row>
    <row r="22" spans="1:99" ht="42" customHeight="1" thickBot="1" x14ac:dyDescent="0.4">
      <c r="A22" s="40" t="s">
        <v>53</v>
      </c>
      <c r="B22" s="40" t="s">
        <v>351</v>
      </c>
      <c r="C22" s="135" t="s">
        <v>544</v>
      </c>
      <c r="D22" s="205" t="s">
        <v>3491</v>
      </c>
      <c r="E22" s="314" t="s">
        <v>3855</v>
      </c>
      <c r="F22" s="315" t="s">
        <v>3371</v>
      </c>
      <c r="G22" s="315" t="s">
        <v>3859</v>
      </c>
      <c r="H22" s="176" t="s">
        <v>3746</v>
      </c>
      <c r="I22" s="205" t="s">
        <v>3562</v>
      </c>
      <c r="J22" s="233" t="s">
        <v>732</v>
      </c>
      <c r="K22" s="232" t="s">
        <v>15</v>
      </c>
      <c r="L22" s="200" t="s">
        <v>9</v>
      </c>
      <c r="M22" s="346" t="s">
        <v>3576</v>
      </c>
      <c r="N22" s="168"/>
      <c r="O22" s="87"/>
      <c r="P22" s="49" t="s">
        <v>931</v>
      </c>
      <c r="Q22" s="13" t="s">
        <v>15</v>
      </c>
      <c r="R22" s="82" t="s">
        <v>9</v>
      </c>
      <c r="S22" s="91" t="s">
        <v>3576</v>
      </c>
      <c r="T22" s="91"/>
      <c r="U22" s="87"/>
      <c r="V22" s="52" t="s">
        <v>1129</v>
      </c>
      <c r="W22" s="13" t="s">
        <v>15</v>
      </c>
      <c r="X22" s="82" t="s">
        <v>9</v>
      </c>
      <c r="Y22" s="91" t="s">
        <v>3576</v>
      </c>
      <c r="Z22" s="91"/>
      <c r="AA22" s="87"/>
      <c r="AB22" s="19" t="s">
        <v>1328</v>
      </c>
      <c r="AC22" s="13" t="s">
        <v>15</v>
      </c>
      <c r="AD22" s="82" t="s">
        <v>9</v>
      </c>
      <c r="AE22" s="91" t="s">
        <v>3576</v>
      </c>
      <c r="AF22" s="91"/>
      <c r="AG22" s="87"/>
      <c r="AH22" s="56" t="s">
        <v>1526</v>
      </c>
      <c r="AI22" s="13" t="s">
        <v>15</v>
      </c>
      <c r="AJ22" s="82" t="s">
        <v>9</v>
      </c>
      <c r="AK22" s="91" t="s">
        <v>3576</v>
      </c>
      <c r="AL22" s="91"/>
      <c r="AM22" s="105"/>
      <c r="AN22" s="23" t="s">
        <v>1725</v>
      </c>
      <c r="AO22" s="13" t="s">
        <v>11</v>
      </c>
      <c r="AP22" s="82"/>
      <c r="AQ22" s="91" t="s">
        <v>3576</v>
      </c>
      <c r="AR22" s="91"/>
      <c r="AS22" s="87"/>
      <c r="AT22" s="21" t="s">
        <v>1924</v>
      </c>
      <c r="AU22" s="13" t="s">
        <v>15</v>
      </c>
      <c r="AV22" s="82" t="s">
        <v>9</v>
      </c>
      <c r="AW22" s="91" t="s">
        <v>3576</v>
      </c>
      <c r="AX22" s="91"/>
      <c r="AY22" s="87"/>
      <c r="AZ22" s="22" t="s">
        <v>2119</v>
      </c>
      <c r="BA22" s="13" t="s">
        <v>15</v>
      </c>
      <c r="BB22" s="82" t="s">
        <v>9</v>
      </c>
      <c r="BC22" s="91" t="s">
        <v>3576</v>
      </c>
      <c r="BD22" s="91"/>
      <c r="BE22" s="87"/>
      <c r="BF22" s="24" t="s">
        <v>2311</v>
      </c>
      <c r="BG22" s="13" t="s">
        <v>15</v>
      </c>
      <c r="BH22" s="82" t="s">
        <v>9</v>
      </c>
      <c r="BI22" s="91" t="s">
        <v>3576</v>
      </c>
      <c r="BJ22" s="91"/>
      <c r="BK22" s="87"/>
      <c r="BL22" s="27" t="s">
        <v>2501</v>
      </c>
      <c r="BM22" s="13" t="s">
        <v>15</v>
      </c>
      <c r="BN22" s="82" t="s">
        <v>9</v>
      </c>
      <c r="BO22" s="91" t="s">
        <v>3576</v>
      </c>
      <c r="BP22" s="91"/>
      <c r="BQ22" s="105"/>
      <c r="BR22" s="72" t="s">
        <v>2699</v>
      </c>
      <c r="BS22" s="13" t="s">
        <v>15</v>
      </c>
      <c r="BT22" s="82" t="s">
        <v>9</v>
      </c>
      <c r="BU22" s="91" t="s">
        <v>3576</v>
      </c>
      <c r="BV22" s="91"/>
      <c r="BW22" s="87"/>
      <c r="BX22" s="49" t="s">
        <v>2883</v>
      </c>
      <c r="BY22" s="13" t="s">
        <v>15</v>
      </c>
      <c r="BZ22" s="82" t="s">
        <v>9</v>
      </c>
      <c r="CA22" s="91" t="s">
        <v>3576</v>
      </c>
      <c r="CB22" s="91"/>
      <c r="CC22" s="87"/>
      <c r="CD22" s="52" t="s">
        <v>3055</v>
      </c>
      <c r="CE22" s="13" t="s">
        <v>15</v>
      </c>
      <c r="CF22" s="82" t="s">
        <v>9</v>
      </c>
      <c r="CG22" s="91" t="s">
        <v>3576</v>
      </c>
      <c r="CH22" s="91"/>
      <c r="CI22" s="87"/>
      <c r="CJ22" s="19" t="s">
        <v>3205</v>
      </c>
      <c r="CK22" s="13" t="s">
        <v>15</v>
      </c>
      <c r="CL22" s="82" t="s">
        <v>9</v>
      </c>
      <c r="CM22" s="91" t="s">
        <v>3576</v>
      </c>
      <c r="CN22" s="91"/>
      <c r="CO22" s="87"/>
      <c r="CP22" s="56" t="s">
        <v>3332</v>
      </c>
      <c r="CQ22" s="13" t="s">
        <v>15</v>
      </c>
      <c r="CR22" s="82" t="s">
        <v>9</v>
      </c>
      <c r="CS22" s="91" t="s">
        <v>3576</v>
      </c>
      <c r="CT22" s="91"/>
      <c r="CU22" s="105"/>
    </row>
    <row r="23" spans="1:99" ht="67.5" customHeight="1" thickBot="1" x14ac:dyDescent="0.4">
      <c r="A23" s="40" t="s">
        <v>53</v>
      </c>
      <c r="B23" s="40" t="s">
        <v>352</v>
      </c>
      <c r="C23" s="135" t="s">
        <v>459</v>
      </c>
      <c r="D23" s="175" t="s">
        <v>3492</v>
      </c>
      <c r="E23" s="314" t="s">
        <v>3855</v>
      </c>
      <c r="F23" s="315" t="s">
        <v>3371</v>
      </c>
      <c r="G23" s="315" t="s">
        <v>3859</v>
      </c>
      <c r="H23" s="175" t="s">
        <v>3747</v>
      </c>
      <c r="I23" s="175" t="s">
        <v>3591</v>
      </c>
      <c r="J23" s="207" t="s">
        <v>733</v>
      </c>
      <c r="K23" s="224" t="s">
        <v>15</v>
      </c>
      <c r="L23" s="309" t="s">
        <v>9</v>
      </c>
      <c r="M23" s="191" t="s">
        <v>3576</v>
      </c>
      <c r="N23" s="168"/>
      <c r="O23" s="350"/>
      <c r="P23" s="49" t="s">
        <v>932</v>
      </c>
      <c r="Q23" s="13" t="s">
        <v>15</v>
      </c>
      <c r="R23" s="82" t="s">
        <v>9</v>
      </c>
      <c r="S23" s="91" t="s">
        <v>3576</v>
      </c>
      <c r="T23" s="91"/>
      <c r="U23" s="87"/>
      <c r="V23" s="52" t="s">
        <v>1130</v>
      </c>
      <c r="W23" s="13" t="s">
        <v>15</v>
      </c>
      <c r="X23" s="82" t="s">
        <v>9</v>
      </c>
      <c r="Y23" s="91" t="s">
        <v>3576</v>
      </c>
      <c r="Z23" s="91"/>
      <c r="AA23" s="87"/>
      <c r="AB23" s="19" t="s">
        <v>1329</v>
      </c>
      <c r="AC23" s="13" t="s">
        <v>15</v>
      </c>
      <c r="AD23" s="82" t="s">
        <v>9</v>
      </c>
      <c r="AE23" s="91" t="s">
        <v>3576</v>
      </c>
      <c r="AF23" s="91"/>
      <c r="AG23" s="87"/>
      <c r="AH23" s="56" t="s">
        <v>1527</v>
      </c>
      <c r="AI23" s="13" t="s">
        <v>15</v>
      </c>
      <c r="AJ23" s="82" t="s">
        <v>9</v>
      </c>
      <c r="AK23" s="91" t="s">
        <v>3576</v>
      </c>
      <c r="AL23" s="91"/>
      <c r="AM23" s="105"/>
      <c r="AN23" s="23" t="s">
        <v>1726</v>
      </c>
      <c r="AO23" s="13" t="s">
        <v>15</v>
      </c>
      <c r="AP23" s="82" t="s">
        <v>9</v>
      </c>
      <c r="AQ23" s="91" t="s">
        <v>3577</v>
      </c>
      <c r="AR23" s="91"/>
      <c r="AS23" s="87"/>
      <c r="AT23" s="21" t="s">
        <v>1925</v>
      </c>
      <c r="AU23" s="13" t="s">
        <v>15</v>
      </c>
      <c r="AV23" s="82" t="s">
        <v>9</v>
      </c>
      <c r="AW23" s="91" t="s">
        <v>3577</v>
      </c>
      <c r="AX23" s="91"/>
      <c r="AY23" s="87"/>
      <c r="AZ23" s="22" t="s">
        <v>2120</v>
      </c>
      <c r="BA23" s="13" t="s">
        <v>15</v>
      </c>
      <c r="BB23" s="82" t="s">
        <v>9</v>
      </c>
      <c r="BC23" s="91" t="s">
        <v>3577</v>
      </c>
      <c r="BD23" s="91"/>
      <c r="BE23" s="87"/>
      <c r="BF23" s="24" t="s">
        <v>1726</v>
      </c>
      <c r="BG23" s="13" t="s">
        <v>15</v>
      </c>
      <c r="BH23" s="82" t="s">
        <v>9</v>
      </c>
      <c r="BI23" s="91" t="s">
        <v>3577</v>
      </c>
      <c r="BJ23" s="91"/>
      <c r="BK23" s="87"/>
      <c r="BL23" s="27" t="s">
        <v>2502</v>
      </c>
      <c r="BM23" s="13" t="s">
        <v>15</v>
      </c>
      <c r="BN23" s="82" t="s">
        <v>20</v>
      </c>
      <c r="BO23" s="91" t="s">
        <v>3577</v>
      </c>
      <c r="BP23" s="91"/>
      <c r="BQ23" s="105"/>
      <c r="BR23" s="72" t="s">
        <v>2700</v>
      </c>
      <c r="BS23" s="13" t="s">
        <v>15</v>
      </c>
      <c r="BT23" s="82" t="s">
        <v>20</v>
      </c>
      <c r="BU23" s="91" t="s">
        <v>3577</v>
      </c>
      <c r="BV23" s="91"/>
      <c r="BW23" s="87"/>
      <c r="BX23" s="49" t="s">
        <v>2884</v>
      </c>
      <c r="BY23" s="13" t="s">
        <v>15</v>
      </c>
      <c r="BZ23" s="82" t="s">
        <v>9</v>
      </c>
      <c r="CA23" s="91" t="s">
        <v>3577</v>
      </c>
      <c r="CB23" s="91"/>
      <c r="CC23" s="87"/>
      <c r="CD23" s="52" t="s">
        <v>3056</v>
      </c>
      <c r="CE23" s="13" t="s">
        <v>15</v>
      </c>
      <c r="CF23" s="82" t="s">
        <v>20</v>
      </c>
      <c r="CG23" s="91" t="s">
        <v>3577</v>
      </c>
      <c r="CH23" s="91"/>
      <c r="CI23" s="87"/>
      <c r="CJ23" s="19" t="s">
        <v>3206</v>
      </c>
      <c r="CK23" s="13" t="s">
        <v>15</v>
      </c>
      <c r="CL23" s="82" t="s">
        <v>20</v>
      </c>
      <c r="CM23" s="91" t="s">
        <v>3577</v>
      </c>
      <c r="CN23" s="91"/>
      <c r="CO23" s="87"/>
      <c r="CP23" s="56" t="s">
        <v>3056</v>
      </c>
      <c r="CQ23" s="13" t="s">
        <v>15</v>
      </c>
      <c r="CR23" s="82" t="s">
        <v>20</v>
      </c>
      <c r="CS23" s="91" t="s">
        <v>3577</v>
      </c>
      <c r="CT23" s="91"/>
      <c r="CU23" s="105"/>
    </row>
    <row r="24" spans="1:99" ht="58.5" customHeight="1" thickBot="1" x14ac:dyDescent="0.4">
      <c r="A24" s="40" t="s">
        <v>53</v>
      </c>
      <c r="B24" s="40" t="s">
        <v>355</v>
      </c>
      <c r="C24" s="135" t="s">
        <v>547</v>
      </c>
      <c r="D24" s="175" t="s">
        <v>3495</v>
      </c>
      <c r="E24" s="323" t="s">
        <v>3869</v>
      </c>
      <c r="F24" s="324" t="s">
        <v>3392</v>
      </c>
      <c r="G24" s="324" t="s">
        <v>3870</v>
      </c>
      <c r="H24" s="222"/>
      <c r="I24" s="222"/>
      <c r="J24" s="207" t="s">
        <v>736</v>
      </c>
      <c r="K24" s="224" t="s">
        <v>15</v>
      </c>
      <c r="L24" s="168" t="s">
        <v>13</v>
      </c>
      <c r="M24" s="198" t="s">
        <v>3577</v>
      </c>
      <c r="N24" s="168"/>
      <c r="O24" s="87"/>
      <c r="P24" s="49" t="s">
        <v>935</v>
      </c>
      <c r="Q24" s="13" t="s">
        <v>0</v>
      </c>
      <c r="R24" s="82" t="s">
        <v>12</v>
      </c>
      <c r="S24" s="91" t="s">
        <v>3577</v>
      </c>
      <c r="T24" s="91"/>
      <c r="U24" s="87"/>
      <c r="V24" s="52" t="s">
        <v>1133</v>
      </c>
      <c r="W24" s="13" t="s">
        <v>15</v>
      </c>
      <c r="X24" s="82" t="s">
        <v>13</v>
      </c>
      <c r="Y24" s="91" t="s">
        <v>3577</v>
      </c>
      <c r="Z24" s="91"/>
      <c r="AA24" s="87"/>
      <c r="AB24" s="19" t="s">
        <v>1332</v>
      </c>
      <c r="AC24" s="13" t="s">
        <v>0</v>
      </c>
      <c r="AD24" s="82" t="s">
        <v>12</v>
      </c>
      <c r="AE24" s="91" t="s">
        <v>3577</v>
      </c>
      <c r="AF24" s="91"/>
      <c r="AG24" s="87"/>
      <c r="AH24" s="56" t="s">
        <v>1530</v>
      </c>
      <c r="AI24" s="13" t="s">
        <v>6</v>
      </c>
      <c r="AJ24" s="82" t="s">
        <v>8</v>
      </c>
      <c r="AK24" s="91" t="s">
        <v>3576</v>
      </c>
      <c r="AL24" s="91"/>
      <c r="AM24" s="105"/>
      <c r="AN24" s="23" t="s">
        <v>1729</v>
      </c>
      <c r="AO24" s="13" t="s">
        <v>0</v>
      </c>
      <c r="AP24" s="82" t="s">
        <v>12</v>
      </c>
      <c r="AQ24" s="91" t="s">
        <v>3577</v>
      </c>
      <c r="AR24" s="91"/>
      <c r="AS24" s="87"/>
      <c r="AT24" s="21" t="s">
        <v>2314</v>
      </c>
      <c r="AU24" s="13" t="s">
        <v>0</v>
      </c>
      <c r="AV24" s="82" t="s">
        <v>12</v>
      </c>
      <c r="AW24" s="91" t="s">
        <v>3577</v>
      </c>
      <c r="AX24" s="91"/>
      <c r="AY24" s="87"/>
      <c r="AZ24" s="22" t="s">
        <v>2123</v>
      </c>
      <c r="BA24" s="13" t="s">
        <v>0</v>
      </c>
      <c r="BB24" s="82" t="s">
        <v>12</v>
      </c>
      <c r="BC24" s="91" t="s">
        <v>3577</v>
      </c>
      <c r="BD24" s="91"/>
      <c r="BE24" s="87"/>
      <c r="BF24" s="24" t="s">
        <v>2314</v>
      </c>
      <c r="BG24" s="13" t="s">
        <v>0</v>
      </c>
      <c r="BH24" s="82" t="s">
        <v>12</v>
      </c>
      <c r="BI24" s="91" t="s">
        <v>3577</v>
      </c>
      <c r="BJ24" s="91"/>
      <c r="BK24" s="87"/>
      <c r="BL24" s="27" t="s">
        <v>2505</v>
      </c>
      <c r="BM24" s="13" t="s">
        <v>0</v>
      </c>
      <c r="BN24" s="82" t="s">
        <v>12</v>
      </c>
      <c r="BO24" s="91" t="s">
        <v>3577</v>
      </c>
      <c r="BP24" s="91"/>
      <c r="BQ24" s="105"/>
      <c r="BR24" s="72" t="s">
        <v>2703</v>
      </c>
      <c r="BS24" s="13" t="s">
        <v>0</v>
      </c>
      <c r="BT24" s="82" t="s">
        <v>12</v>
      </c>
      <c r="BU24" s="91" t="s">
        <v>3577</v>
      </c>
      <c r="BV24" s="91"/>
      <c r="BW24" s="87"/>
      <c r="BX24" s="49" t="s">
        <v>3749</v>
      </c>
      <c r="BY24" s="13" t="s">
        <v>0</v>
      </c>
      <c r="BZ24" s="82" t="s">
        <v>12</v>
      </c>
      <c r="CA24" s="91" t="s">
        <v>3577</v>
      </c>
      <c r="CB24" s="91"/>
      <c r="CC24" s="87"/>
      <c r="CD24" s="52" t="s">
        <v>3059</v>
      </c>
      <c r="CE24" s="13" t="s">
        <v>0</v>
      </c>
      <c r="CF24" s="82" t="s">
        <v>12</v>
      </c>
      <c r="CG24" s="91" t="s">
        <v>3577</v>
      </c>
      <c r="CH24" s="91"/>
      <c r="CI24" s="87"/>
      <c r="CJ24" s="19" t="s">
        <v>2703</v>
      </c>
      <c r="CK24" s="13" t="s">
        <v>0</v>
      </c>
      <c r="CL24" s="82" t="s">
        <v>12</v>
      </c>
      <c r="CM24" s="91" t="s">
        <v>3577</v>
      </c>
      <c r="CN24" s="91"/>
      <c r="CO24" s="87"/>
      <c r="CP24" s="56" t="s">
        <v>2703</v>
      </c>
      <c r="CQ24" s="13" t="s">
        <v>0</v>
      </c>
      <c r="CR24" s="82" t="s">
        <v>12</v>
      </c>
      <c r="CS24" s="91" t="s">
        <v>3577</v>
      </c>
      <c r="CT24" s="91"/>
      <c r="CU24" s="105"/>
    </row>
    <row r="25" spans="1:99" ht="42" customHeight="1" thickBot="1" x14ac:dyDescent="0.4">
      <c r="A25" s="40" t="s">
        <v>53</v>
      </c>
      <c r="B25" s="40" t="s">
        <v>361</v>
      </c>
      <c r="C25" s="135" t="s">
        <v>552</v>
      </c>
      <c r="D25" s="175" t="s">
        <v>3851</v>
      </c>
      <c r="E25" s="314" t="s">
        <v>3855</v>
      </c>
      <c r="F25" s="315" t="s">
        <v>3423</v>
      </c>
      <c r="G25" s="315" t="s">
        <v>3865</v>
      </c>
      <c r="H25" s="173" t="s">
        <v>3756</v>
      </c>
      <c r="I25" s="175" t="s">
        <v>3559</v>
      </c>
      <c r="J25" s="223" t="s">
        <v>742</v>
      </c>
      <c r="K25" s="231" t="s">
        <v>15</v>
      </c>
      <c r="L25" s="217" t="s">
        <v>9</v>
      </c>
      <c r="M25" s="236" t="s">
        <v>3576</v>
      </c>
      <c r="N25" s="217"/>
      <c r="O25" s="107"/>
      <c r="P25" s="302" t="s">
        <v>941</v>
      </c>
      <c r="Q25" s="43" t="s">
        <v>15</v>
      </c>
      <c r="R25" s="82" t="s">
        <v>4</v>
      </c>
      <c r="S25" s="91" t="s">
        <v>3576</v>
      </c>
      <c r="T25" s="91"/>
      <c r="U25" s="87"/>
      <c r="V25" s="52" t="s">
        <v>1139</v>
      </c>
      <c r="W25" s="13" t="s">
        <v>15</v>
      </c>
      <c r="X25" s="82" t="s">
        <v>9</v>
      </c>
      <c r="Y25" s="91" t="s">
        <v>3576</v>
      </c>
      <c r="Z25" s="91"/>
      <c r="AA25" s="87"/>
      <c r="AB25" s="19" t="s">
        <v>1338</v>
      </c>
      <c r="AC25" s="13" t="s">
        <v>15</v>
      </c>
      <c r="AD25" s="82" t="s">
        <v>9</v>
      </c>
      <c r="AE25" s="91" t="s">
        <v>3576</v>
      </c>
      <c r="AF25" s="91"/>
      <c r="AG25" s="87"/>
      <c r="AH25" s="56" t="s">
        <v>1536</v>
      </c>
      <c r="AI25" s="13" t="s">
        <v>15</v>
      </c>
      <c r="AJ25" s="82" t="s">
        <v>9</v>
      </c>
      <c r="AK25" s="91" t="s">
        <v>3576</v>
      </c>
      <c r="AL25" s="91"/>
      <c r="AM25" s="105"/>
      <c r="AN25" s="23" t="s">
        <v>1735</v>
      </c>
      <c r="AO25" s="13" t="s">
        <v>15</v>
      </c>
      <c r="AP25" s="82" t="s">
        <v>4</v>
      </c>
      <c r="AQ25" s="91" t="s">
        <v>3576</v>
      </c>
      <c r="AR25" s="91"/>
      <c r="AS25" s="87"/>
      <c r="AT25" s="21" t="s">
        <v>1933</v>
      </c>
      <c r="AU25" s="13" t="s">
        <v>15</v>
      </c>
      <c r="AV25" s="82" t="s">
        <v>4</v>
      </c>
      <c r="AW25" s="91" t="s">
        <v>3576</v>
      </c>
      <c r="AX25" s="91"/>
      <c r="AY25" s="87"/>
      <c r="AZ25" s="22" t="s">
        <v>1933</v>
      </c>
      <c r="BA25" s="13" t="s">
        <v>15</v>
      </c>
      <c r="BB25" s="82" t="s">
        <v>4</v>
      </c>
      <c r="BC25" s="91" t="s">
        <v>3576</v>
      </c>
      <c r="BD25" s="91"/>
      <c r="BE25" s="87"/>
      <c r="BF25" s="24" t="s">
        <v>2320</v>
      </c>
      <c r="BG25" s="13" t="s">
        <v>15</v>
      </c>
      <c r="BH25" s="82" t="s">
        <v>4</v>
      </c>
      <c r="BI25" s="91" t="s">
        <v>3576</v>
      </c>
      <c r="BJ25" s="91"/>
      <c r="BK25" s="87"/>
      <c r="BL25" s="27" t="s">
        <v>2511</v>
      </c>
      <c r="BM25" s="13" t="s">
        <v>15</v>
      </c>
      <c r="BN25" s="82" t="s">
        <v>4</v>
      </c>
      <c r="BO25" s="91" t="s">
        <v>3576</v>
      </c>
      <c r="BP25" s="91"/>
      <c r="BQ25" s="105"/>
      <c r="BR25" s="72" t="s">
        <v>2709</v>
      </c>
      <c r="BS25" s="13" t="s">
        <v>15</v>
      </c>
      <c r="BT25" s="82" t="s">
        <v>9</v>
      </c>
      <c r="BU25" s="91" t="s">
        <v>3576</v>
      </c>
      <c r="BV25" s="91"/>
      <c r="BW25" s="87"/>
      <c r="BX25" s="49" t="s">
        <v>2892</v>
      </c>
      <c r="BY25" s="13" t="s">
        <v>15</v>
      </c>
      <c r="BZ25" s="82" t="s">
        <v>4</v>
      </c>
      <c r="CA25" s="91" t="s">
        <v>3576</v>
      </c>
      <c r="CB25" s="91"/>
      <c r="CC25" s="87"/>
      <c r="CD25" s="52" t="s">
        <v>3064</v>
      </c>
      <c r="CE25" s="13" t="s">
        <v>15</v>
      </c>
      <c r="CF25" s="82" t="s">
        <v>9</v>
      </c>
      <c r="CG25" s="91" t="s">
        <v>3576</v>
      </c>
      <c r="CH25" s="91"/>
      <c r="CI25" s="87"/>
      <c r="CJ25" s="19" t="s">
        <v>3213</v>
      </c>
      <c r="CK25" s="13" t="s">
        <v>15</v>
      </c>
      <c r="CL25" s="82" t="s">
        <v>9</v>
      </c>
      <c r="CM25" s="91" t="s">
        <v>3576</v>
      </c>
      <c r="CN25" s="91"/>
      <c r="CO25" s="87"/>
      <c r="CP25" s="56" t="s">
        <v>3336</v>
      </c>
      <c r="CQ25" s="13" t="s">
        <v>0</v>
      </c>
      <c r="CR25" s="82" t="s">
        <v>1</v>
      </c>
      <c r="CS25" s="91" t="s">
        <v>3576</v>
      </c>
      <c r="CT25" s="91"/>
      <c r="CU25" s="105"/>
    </row>
    <row r="26" spans="1:99" ht="42" customHeight="1" thickBot="1" x14ac:dyDescent="0.4">
      <c r="A26" s="40" t="s">
        <v>53</v>
      </c>
      <c r="B26" s="40" t="s">
        <v>362</v>
      </c>
      <c r="C26" s="135" t="s">
        <v>553</v>
      </c>
      <c r="D26" s="221" t="s">
        <v>3500</v>
      </c>
      <c r="E26" s="314" t="s">
        <v>3855</v>
      </c>
      <c r="F26" s="315" t="s">
        <v>3371</v>
      </c>
      <c r="G26" s="315" t="s">
        <v>3859</v>
      </c>
      <c r="H26" s="221" t="s">
        <v>3757</v>
      </c>
      <c r="I26" s="221" t="s">
        <v>3566</v>
      </c>
      <c r="J26" s="241" t="s">
        <v>743</v>
      </c>
      <c r="K26" s="238" t="s">
        <v>15</v>
      </c>
      <c r="L26" s="304" t="s">
        <v>20</v>
      </c>
      <c r="M26" s="304" t="s">
        <v>3576</v>
      </c>
      <c r="N26" s="304"/>
      <c r="O26" s="305"/>
      <c r="P26" s="306" t="s">
        <v>942</v>
      </c>
      <c r="Q26" s="307" t="s">
        <v>15</v>
      </c>
      <c r="R26" s="301" t="s">
        <v>20</v>
      </c>
      <c r="S26" s="91" t="s">
        <v>3576</v>
      </c>
      <c r="T26" s="91"/>
      <c r="U26" s="87"/>
      <c r="V26" s="52" t="s">
        <v>1140</v>
      </c>
      <c r="W26" s="13" t="s">
        <v>15</v>
      </c>
      <c r="X26" s="82" t="s">
        <v>20</v>
      </c>
      <c r="Y26" s="91" t="s">
        <v>3576</v>
      </c>
      <c r="Z26" s="91"/>
      <c r="AA26" s="87"/>
      <c r="AB26" s="19" t="s">
        <v>1339</v>
      </c>
      <c r="AC26" s="13" t="s">
        <v>15</v>
      </c>
      <c r="AD26" s="82" t="s">
        <v>20</v>
      </c>
      <c r="AE26" s="91" t="s">
        <v>3576</v>
      </c>
      <c r="AF26" s="91"/>
      <c r="AG26" s="87"/>
      <c r="AH26" s="56" t="s">
        <v>1537</v>
      </c>
      <c r="AI26" s="13" t="s">
        <v>15</v>
      </c>
      <c r="AJ26" s="82" t="s">
        <v>20</v>
      </c>
      <c r="AK26" s="91" t="s">
        <v>3576</v>
      </c>
      <c r="AL26" s="91"/>
      <c r="AM26" s="105"/>
      <c r="AN26" s="23" t="s">
        <v>1736</v>
      </c>
      <c r="AO26" s="13" t="s">
        <v>15</v>
      </c>
      <c r="AP26" s="82" t="s">
        <v>9</v>
      </c>
      <c r="AQ26" s="91" t="s">
        <v>3576</v>
      </c>
      <c r="AR26" s="91"/>
      <c r="AS26" s="87"/>
      <c r="AT26" s="21" t="s">
        <v>3758</v>
      </c>
      <c r="AU26" s="13" t="s">
        <v>15</v>
      </c>
      <c r="AV26" s="82" t="s">
        <v>20</v>
      </c>
      <c r="AW26" s="91" t="s">
        <v>3576</v>
      </c>
      <c r="AX26" s="91"/>
      <c r="AY26" s="87"/>
      <c r="AZ26" s="22" t="s">
        <v>2129</v>
      </c>
      <c r="BA26" s="13" t="s">
        <v>15</v>
      </c>
      <c r="BB26" s="82" t="s">
        <v>20</v>
      </c>
      <c r="BC26" s="91" t="s">
        <v>3576</v>
      </c>
      <c r="BD26" s="91"/>
      <c r="BE26" s="87"/>
      <c r="BF26" s="24" t="s">
        <v>2321</v>
      </c>
      <c r="BG26" s="13" t="s">
        <v>15</v>
      </c>
      <c r="BH26" s="82" t="s">
        <v>20</v>
      </c>
      <c r="BI26" s="91" t="s">
        <v>3576</v>
      </c>
      <c r="BJ26" s="91"/>
      <c r="BK26" s="87"/>
      <c r="BL26" s="27" t="s">
        <v>2512</v>
      </c>
      <c r="BM26" s="13" t="s">
        <v>11</v>
      </c>
      <c r="BN26" s="82"/>
      <c r="BO26" s="91" t="s">
        <v>3576</v>
      </c>
      <c r="BP26" s="91"/>
      <c r="BQ26" s="105"/>
      <c r="BR26" s="72" t="s">
        <v>2710</v>
      </c>
      <c r="BS26" s="13" t="s">
        <v>15</v>
      </c>
      <c r="BT26" s="82" t="s">
        <v>20</v>
      </c>
      <c r="BU26" s="91" t="s">
        <v>3576</v>
      </c>
      <c r="BV26" s="91"/>
      <c r="BW26" s="87"/>
      <c r="BX26" s="49" t="s">
        <v>2893</v>
      </c>
      <c r="BY26" s="13" t="s">
        <v>11</v>
      </c>
      <c r="BZ26" s="82"/>
      <c r="CA26" s="91" t="s">
        <v>3576</v>
      </c>
      <c r="CB26" s="91"/>
      <c r="CC26" s="87"/>
      <c r="CD26" s="52" t="s">
        <v>2893</v>
      </c>
      <c r="CE26" s="13" t="s">
        <v>11</v>
      </c>
      <c r="CF26" s="82"/>
      <c r="CG26" s="91" t="s">
        <v>3576</v>
      </c>
      <c r="CH26" s="91"/>
      <c r="CI26" s="87"/>
      <c r="CJ26" s="19" t="s">
        <v>2710</v>
      </c>
      <c r="CK26" s="13" t="s">
        <v>11</v>
      </c>
      <c r="CL26" s="82"/>
      <c r="CM26" s="91" t="s">
        <v>3576</v>
      </c>
      <c r="CN26" s="91"/>
      <c r="CO26" s="87"/>
      <c r="CP26" s="56" t="s">
        <v>3337</v>
      </c>
      <c r="CQ26" s="13" t="s">
        <v>0</v>
      </c>
      <c r="CR26" s="82" t="s">
        <v>1</v>
      </c>
      <c r="CS26" s="91" t="s">
        <v>3576</v>
      </c>
      <c r="CT26" s="91"/>
      <c r="CU26" s="105"/>
    </row>
    <row r="27" spans="1:99" ht="133.5" customHeight="1" thickBot="1" x14ac:dyDescent="0.4">
      <c r="A27" s="40" t="s">
        <v>53</v>
      </c>
      <c r="B27" s="40" t="s">
        <v>364</v>
      </c>
      <c r="C27" s="135" t="s">
        <v>555</v>
      </c>
      <c r="D27" s="178" t="s">
        <v>3502</v>
      </c>
      <c r="E27" s="314" t="s">
        <v>3855</v>
      </c>
      <c r="F27" s="315" t="s">
        <v>3437</v>
      </c>
      <c r="G27" s="315" t="s">
        <v>3864</v>
      </c>
      <c r="H27" s="178" t="s">
        <v>3760</v>
      </c>
      <c r="I27" s="178" t="s">
        <v>3591</v>
      </c>
      <c r="J27" s="242" t="s">
        <v>745</v>
      </c>
      <c r="K27" s="239" t="s">
        <v>15</v>
      </c>
      <c r="L27" s="200" t="s">
        <v>20</v>
      </c>
      <c r="M27" s="249" t="s">
        <v>3577</v>
      </c>
      <c r="N27" s="200"/>
      <c r="O27" s="350"/>
      <c r="P27" s="303" t="s">
        <v>944</v>
      </c>
      <c r="Q27" s="31" t="s">
        <v>15</v>
      </c>
      <c r="R27" s="82" t="s">
        <v>20</v>
      </c>
      <c r="S27" s="91" t="s">
        <v>3577</v>
      </c>
      <c r="T27" s="91"/>
      <c r="U27" s="87"/>
      <c r="V27" s="52" t="s">
        <v>1142</v>
      </c>
      <c r="W27" s="13" t="s">
        <v>15</v>
      </c>
      <c r="X27" s="82" t="s">
        <v>20</v>
      </c>
      <c r="Y27" s="91" t="s">
        <v>3577</v>
      </c>
      <c r="Z27" s="91"/>
      <c r="AA27" s="87"/>
      <c r="AB27" s="19" t="s">
        <v>1341</v>
      </c>
      <c r="AC27" s="13" t="s">
        <v>15</v>
      </c>
      <c r="AD27" s="82" t="s">
        <v>20</v>
      </c>
      <c r="AE27" s="91" t="s">
        <v>3577</v>
      </c>
      <c r="AF27" s="91"/>
      <c r="AG27" s="87"/>
      <c r="AH27" s="56" t="s">
        <v>1539</v>
      </c>
      <c r="AI27" s="13" t="s">
        <v>15</v>
      </c>
      <c r="AJ27" s="82" t="s">
        <v>20</v>
      </c>
      <c r="AK27" s="91" t="s">
        <v>3577</v>
      </c>
      <c r="AL27" s="91"/>
      <c r="AM27" s="105"/>
      <c r="AN27" s="23" t="s">
        <v>1738</v>
      </c>
      <c r="AO27" s="13" t="s">
        <v>15</v>
      </c>
      <c r="AP27" s="82" t="s">
        <v>20</v>
      </c>
      <c r="AQ27" s="91" t="s">
        <v>3577</v>
      </c>
      <c r="AR27" s="91"/>
      <c r="AS27" s="87"/>
      <c r="AT27" s="21" t="s">
        <v>1935</v>
      </c>
      <c r="AU27" s="13" t="s">
        <v>15</v>
      </c>
      <c r="AV27" s="82" t="s">
        <v>20</v>
      </c>
      <c r="AW27" s="91" t="s">
        <v>3577</v>
      </c>
      <c r="AX27" s="91"/>
      <c r="AY27" s="87"/>
      <c r="AZ27" s="22" t="s">
        <v>2131</v>
      </c>
      <c r="BA27" s="13" t="s">
        <v>15</v>
      </c>
      <c r="BB27" s="82" t="s">
        <v>20</v>
      </c>
      <c r="BC27" s="91" t="s">
        <v>3577</v>
      </c>
      <c r="BD27" s="91"/>
      <c r="BE27" s="87"/>
      <c r="BF27" s="24" t="s">
        <v>2323</v>
      </c>
      <c r="BG27" s="13" t="s">
        <v>15</v>
      </c>
      <c r="BH27" s="82" t="s">
        <v>20</v>
      </c>
      <c r="BI27" s="91" t="s">
        <v>3577</v>
      </c>
      <c r="BJ27" s="91"/>
      <c r="BK27" s="87"/>
      <c r="BL27" s="27" t="s">
        <v>2514</v>
      </c>
      <c r="BM27" s="13" t="s">
        <v>15</v>
      </c>
      <c r="BN27" s="82" t="s">
        <v>20</v>
      </c>
      <c r="BO27" s="91" t="s">
        <v>3577</v>
      </c>
      <c r="BP27" s="91"/>
      <c r="BQ27" s="105"/>
      <c r="BR27" s="72" t="s">
        <v>2712</v>
      </c>
      <c r="BS27" s="13" t="s">
        <v>15</v>
      </c>
      <c r="BT27" s="82" t="s">
        <v>20</v>
      </c>
      <c r="BU27" s="91" t="s">
        <v>3577</v>
      </c>
      <c r="BV27" s="91"/>
      <c r="BW27" s="87"/>
      <c r="BX27" s="49" t="s">
        <v>2895</v>
      </c>
      <c r="BY27" s="13" t="s">
        <v>15</v>
      </c>
      <c r="BZ27" s="82" t="s">
        <v>19</v>
      </c>
      <c r="CA27" s="91" t="s">
        <v>3577</v>
      </c>
      <c r="CB27" s="91"/>
      <c r="CC27" s="87"/>
      <c r="CD27" s="52" t="s">
        <v>2712</v>
      </c>
      <c r="CE27" s="13" t="s">
        <v>15</v>
      </c>
      <c r="CF27" s="82" t="s">
        <v>20</v>
      </c>
      <c r="CG27" s="91" t="s">
        <v>3577</v>
      </c>
      <c r="CH27" s="91"/>
      <c r="CI27" s="87"/>
      <c r="CJ27" s="19" t="s">
        <v>3214</v>
      </c>
      <c r="CK27" s="13" t="s">
        <v>15</v>
      </c>
      <c r="CL27" s="82" t="s">
        <v>20</v>
      </c>
      <c r="CM27" s="91" t="s">
        <v>3577</v>
      </c>
      <c r="CN27" s="91"/>
      <c r="CO27" s="87"/>
      <c r="CP27" s="56" t="s">
        <v>2712</v>
      </c>
      <c r="CQ27" s="13" t="s">
        <v>15</v>
      </c>
      <c r="CR27" s="82" t="s">
        <v>20</v>
      </c>
      <c r="CS27" s="91" t="s">
        <v>3577</v>
      </c>
      <c r="CT27" s="91"/>
      <c r="CU27" s="105"/>
    </row>
    <row r="28" spans="1:99" ht="63" customHeight="1" thickBot="1" x14ac:dyDescent="0.4">
      <c r="A28" s="40" t="s">
        <v>53</v>
      </c>
      <c r="B28" s="40" t="s">
        <v>368</v>
      </c>
      <c r="C28" s="135" t="s">
        <v>517</v>
      </c>
      <c r="D28" s="221" t="s">
        <v>3505</v>
      </c>
      <c r="E28" s="314" t="s">
        <v>3855</v>
      </c>
      <c r="F28" s="315" t="s">
        <v>3383</v>
      </c>
      <c r="G28" s="315" t="s">
        <v>3863</v>
      </c>
      <c r="H28" s="228" t="s">
        <v>3765</v>
      </c>
      <c r="I28" s="221" t="s">
        <v>3559</v>
      </c>
      <c r="J28" s="240" t="s">
        <v>749</v>
      </c>
      <c r="K28" s="237" t="s">
        <v>0</v>
      </c>
      <c r="L28" s="245" t="s">
        <v>1</v>
      </c>
      <c r="M28" s="244" t="s">
        <v>3577</v>
      </c>
      <c r="N28" s="204"/>
      <c r="O28" s="158"/>
      <c r="P28" s="49" t="s">
        <v>948</v>
      </c>
      <c r="Q28" s="13" t="s">
        <v>0</v>
      </c>
      <c r="R28" s="82" t="s">
        <v>1</v>
      </c>
      <c r="S28" s="91" t="s">
        <v>3577</v>
      </c>
      <c r="T28" s="91"/>
      <c r="U28" s="87"/>
      <c r="V28" s="52" t="s">
        <v>1146</v>
      </c>
      <c r="W28" s="13" t="s">
        <v>0</v>
      </c>
      <c r="X28" s="82" t="s">
        <v>1</v>
      </c>
      <c r="Y28" s="91" t="s">
        <v>3577</v>
      </c>
      <c r="Z28" s="91"/>
      <c r="AA28" s="87"/>
      <c r="AB28" s="19" t="s">
        <v>1345</v>
      </c>
      <c r="AC28" s="13" t="s">
        <v>0</v>
      </c>
      <c r="AD28" s="82" t="s">
        <v>1</v>
      </c>
      <c r="AE28" s="91" t="s">
        <v>3577</v>
      </c>
      <c r="AF28" s="91"/>
      <c r="AG28" s="87"/>
      <c r="AH28" s="56" t="s">
        <v>1543</v>
      </c>
      <c r="AI28" s="13" t="s">
        <v>0</v>
      </c>
      <c r="AJ28" s="82" t="s">
        <v>1</v>
      </c>
      <c r="AK28" s="91" t="s">
        <v>3577</v>
      </c>
      <c r="AL28" s="91"/>
      <c r="AM28" s="105"/>
      <c r="AN28" s="23" t="s">
        <v>1742</v>
      </c>
      <c r="AO28" s="13" t="s">
        <v>0</v>
      </c>
      <c r="AP28" s="82" t="s">
        <v>1</v>
      </c>
      <c r="AQ28" s="91" t="s">
        <v>3576</v>
      </c>
      <c r="AR28" s="91"/>
      <c r="AS28" s="87"/>
      <c r="AT28" s="21" t="s">
        <v>1939</v>
      </c>
      <c r="AU28" s="13" t="s">
        <v>0</v>
      </c>
      <c r="AV28" s="82" t="s">
        <v>1</v>
      </c>
      <c r="AW28" s="91" t="s">
        <v>3576</v>
      </c>
      <c r="AX28" s="91"/>
      <c r="AY28" s="87"/>
      <c r="AZ28" s="22" t="s">
        <v>2135</v>
      </c>
      <c r="BA28" s="13" t="s">
        <v>0</v>
      </c>
      <c r="BB28" s="82" t="s">
        <v>1</v>
      </c>
      <c r="BC28" s="91" t="s">
        <v>3576</v>
      </c>
      <c r="BD28" s="91"/>
      <c r="BE28" s="87"/>
      <c r="BF28" s="24" t="s">
        <v>2327</v>
      </c>
      <c r="BG28" s="13" t="s">
        <v>0</v>
      </c>
      <c r="BH28" s="82" t="s">
        <v>1</v>
      </c>
      <c r="BI28" s="91" t="s">
        <v>3576</v>
      </c>
      <c r="BJ28" s="91"/>
      <c r="BK28" s="87"/>
      <c r="BL28" s="27" t="s">
        <v>2518</v>
      </c>
      <c r="BM28" s="13" t="s">
        <v>0</v>
      </c>
      <c r="BN28" s="82" t="s">
        <v>1</v>
      </c>
      <c r="BO28" s="91" t="s">
        <v>3576</v>
      </c>
      <c r="BP28" s="91"/>
      <c r="BQ28" s="105"/>
      <c r="BR28" s="72" t="s">
        <v>2716</v>
      </c>
      <c r="BS28" s="13" t="s">
        <v>0</v>
      </c>
      <c r="BT28" s="82" t="s">
        <v>1</v>
      </c>
      <c r="BU28" s="91" t="s">
        <v>3576</v>
      </c>
      <c r="BV28" s="91"/>
      <c r="BW28" s="87"/>
      <c r="BX28" s="49" t="s">
        <v>2899</v>
      </c>
      <c r="BY28" s="13" t="s">
        <v>0</v>
      </c>
      <c r="BZ28" s="82" t="s">
        <v>1</v>
      </c>
      <c r="CA28" s="91" t="s">
        <v>3576</v>
      </c>
      <c r="CB28" s="91"/>
      <c r="CC28" s="87"/>
      <c r="CD28" s="52" t="s">
        <v>3069</v>
      </c>
      <c r="CE28" s="13" t="s">
        <v>0</v>
      </c>
      <c r="CF28" s="82" t="s">
        <v>1</v>
      </c>
      <c r="CG28" s="91" t="s">
        <v>3576</v>
      </c>
      <c r="CH28" s="91"/>
      <c r="CI28" s="87"/>
      <c r="CJ28" s="19" t="s">
        <v>3217</v>
      </c>
      <c r="CK28" s="13" t="s">
        <v>0</v>
      </c>
      <c r="CL28" s="82" t="s">
        <v>1</v>
      </c>
      <c r="CM28" s="91" t="s">
        <v>3576</v>
      </c>
      <c r="CN28" s="91"/>
      <c r="CO28" s="87"/>
      <c r="CP28" s="56" t="s">
        <v>3340</v>
      </c>
      <c r="CQ28" s="13" t="s">
        <v>0</v>
      </c>
      <c r="CR28" s="82" t="s">
        <v>1</v>
      </c>
      <c r="CS28" s="91" t="s">
        <v>3576</v>
      </c>
      <c r="CT28" s="91"/>
      <c r="CU28" s="105"/>
    </row>
    <row r="29" spans="1:99" ht="42" customHeight="1" thickBot="1" x14ac:dyDescent="0.4">
      <c r="A29" s="40" t="s">
        <v>53</v>
      </c>
      <c r="B29" s="40" t="s">
        <v>369</v>
      </c>
      <c r="C29" s="135" t="s">
        <v>559</v>
      </c>
      <c r="D29" s="175" t="s">
        <v>3506</v>
      </c>
      <c r="E29" s="323" t="s">
        <v>3869</v>
      </c>
      <c r="F29" s="324" t="s">
        <v>3372</v>
      </c>
      <c r="G29" s="324" t="s">
        <v>3871</v>
      </c>
      <c r="H29" s="192" t="s">
        <v>3766</v>
      </c>
      <c r="I29" s="175" t="s">
        <v>3559</v>
      </c>
      <c r="J29" s="194" t="s">
        <v>750</v>
      </c>
      <c r="K29" s="199" t="s">
        <v>15</v>
      </c>
      <c r="L29" s="198" t="s">
        <v>19</v>
      </c>
      <c r="M29" s="168" t="s">
        <v>3577</v>
      </c>
      <c r="N29" s="203"/>
      <c r="O29" s="159"/>
      <c r="P29" s="156" t="s">
        <v>949</v>
      </c>
      <c r="Q29" s="13" t="s">
        <v>15</v>
      </c>
      <c r="R29" s="82" t="s">
        <v>20</v>
      </c>
      <c r="S29" s="91" t="s">
        <v>3576</v>
      </c>
      <c r="T29" s="91"/>
      <c r="U29" s="87"/>
      <c r="V29" s="52" t="s">
        <v>1147</v>
      </c>
      <c r="W29" s="13" t="s">
        <v>15</v>
      </c>
      <c r="X29" s="82" t="s">
        <v>19</v>
      </c>
      <c r="Y29" s="91" t="s">
        <v>3577</v>
      </c>
      <c r="Z29" s="91"/>
      <c r="AA29" s="87"/>
      <c r="AB29" s="19" t="s">
        <v>1346</v>
      </c>
      <c r="AC29" s="13" t="s">
        <v>15</v>
      </c>
      <c r="AD29" s="82" t="s">
        <v>20</v>
      </c>
      <c r="AE29" s="91" t="s">
        <v>3576</v>
      </c>
      <c r="AF29" s="91"/>
      <c r="AG29" s="87"/>
      <c r="AH29" s="56" t="s">
        <v>1544</v>
      </c>
      <c r="AI29" s="13" t="s">
        <v>15</v>
      </c>
      <c r="AJ29" s="82" t="s">
        <v>20</v>
      </c>
      <c r="AK29" s="91" t="s">
        <v>3576</v>
      </c>
      <c r="AL29" s="91"/>
      <c r="AM29" s="105"/>
      <c r="AN29" s="23" t="s">
        <v>1743</v>
      </c>
      <c r="AO29" s="13" t="s">
        <v>0</v>
      </c>
      <c r="AP29" s="82" t="s">
        <v>12</v>
      </c>
      <c r="AQ29" s="91" t="s">
        <v>3577</v>
      </c>
      <c r="AR29" s="91"/>
      <c r="AS29" s="87"/>
      <c r="AT29" s="21" t="s">
        <v>1940</v>
      </c>
      <c r="AU29" s="13" t="s">
        <v>0</v>
      </c>
      <c r="AV29" s="82" t="s">
        <v>12</v>
      </c>
      <c r="AW29" s="91" t="s">
        <v>3577</v>
      </c>
      <c r="AX29" s="91"/>
      <c r="AY29" s="87"/>
      <c r="AZ29" s="22" t="s">
        <v>2136</v>
      </c>
      <c r="BA29" s="13" t="s">
        <v>0</v>
      </c>
      <c r="BB29" s="82" t="s">
        <v>12</v>
      </c>
      <c r="BC29" s="91" t="s">
        <v>3577</v>
      </c>
      <c r="BD29" s="91"/>
      <c r="BE29" s="87"/>
      <c r="BF29" s="24" t="s">
        <v>2328</v>
      </c>
      <c r="BG29" s="13" t="s">
        <v>0</v>
      </c>
      <c r="BH29" s="82" t="s">
        <v>12</v>
      </c>
      <c r="BI29" s="91" t="s">
        <v>3577</v>
      </c>
      <c r="BJ29" s="91"/>
      <c r="BK29" s="87"/>
      <c r="BL29" s="27" t="s">
        <v>2519</v>
      </c>
      <c r="BM29" s="13" t="s">
        <v>0</v>
      </c>
      <c r="BN29" s="82" t="s">
        <v>12</v>
      </c>
      <c r="BO29" s="91" t="s">
        <v>3577</v>
      </c>
      <c r="BP29" s="91"/>
      <c r="BQ29" s="105"/>
      <c r="BR29" s="72" t="s">
        <v>2717</v>
      </c>
      <c r="BS29" s="13" t="s">
        <v>0</v>
      </c>
      <c r="BT29" s="82" t="s">
        <v>12</v>
      </c>
      <c r="BU29" s="91" t="s">
        <v>3577</v>
      </c>
      <c r="BV29" s="91"/>
      <c r="BW29" s="87"/>
      <c r="BX29" s="49" t="s">
        <v>2900</v>
      </c>
      <c r="BY29" s="13" t="s">
        <v>0</v>
      </c>
      <c r="BZ29" s="82" t="s">
        <v>12</v>
      </c>
      <c r="CA29" s="91" t="s">
        <v>3577</v>
      </c>
      <c r="CB29" s="91"/>
      <c r="CC29" s="87"/>
      <c r="CD29" s="52" t="s">
        <v>3070</v>
      </c>
      <c r="CE29" s="13" t="s">
        <v>0</v>
      </c>
      <c r="CF29" s="82" t="s">
        <v>12</v>
      </c>
      <c r="CG29" s="91" t="s">
        <v>3577</v>
      </c>
      <c r="CH29" s="91"/>
      <c r="CI29" s="87"/>
      <c r="CJ29" s="19" t="s">
        <v>3218</v>
      </c>
      <c r="CK29" s="13" t="s">
        <v>0</v>
      </c>
      <c r="CL29" s="82" t="s">
        <v>12</v>
      </c>
      <c r="CM29" s="91" t="s">
        <v>3577</v>
      </c>
      <c r="CN29" s="91"/>
      <c r="CO29" s="87"/>
      <c r="CP29" s="56" t="s">
        <v>3218</v>
      </c>
      <c r="CQ29" s="13" t="s">
        <v>0</v>
      </c>
      <c r="CR29" s="82" t="s">
        <v>12</v>
      </c>
      <c r="CS29" s="91" t="s">
        <v>3577</v>
      </c>
      <c r="CT29" s="91"/>
      <c r="CU29" s="105"/>
    </row>
    <row r="30" spans="1:99" ht="42" customHeight="1" thickBot="1" x14ac:dyDescent="0.4">
      <c r="A30" s="40" t="s">
        <v>53</v>
      </c>
      <c r="B30" s="40" t="s">
        <v>375</v>
      </c>
      <c r="C30" s="135" t="s">
        <v>565</v>
      </c>
      <c r="D30" s="205" t="s">
        <v>3511</v>
      </c>
      <c r="E30" s="314" t="s">
        <v>3855</v>
      </c>
      <c r="F30" s="315" t="s">
        <v>3423</v>
      </c>
      <c r="G30" s="315" t="s">
        <v>3865</v>
      </c>
      <c r="H30" s="175" t="s">
        <v>3770</v>
      </c>
      <c r="I30" s="175" t="s">
        <v>3559</v>
      </c>
      <c r="J30" s="209" t="s">
        <v>756</v>
      </c>
      <c r="K30" s="243" t="s">
        <v>15</v>
      </c>
      <c r="L30" s="346" t="s">
        <v>9</v>
      </c>
      <c r="M30" s="244" t="s">
        <v>3576</v>
      </c>
      <c r="N30" s="168"/>
      <c r="O30" s="160"/>
      <c r="P30" s="161" t="s">
        <v>955</v>
      </c>
      <c r="Q30" s="13" t="s">
        <v>15</v>
      </c>
      <c r="R30" s="82" t="s">
        <v>9</v>
      </c>
      <c r="S30" s="91" t="s">
        <v>3576</v>
      </c>
      <c r="T30" s="91"/>
      <c r="U30" s="87"/>
      <c r="V30" s="52" t="s">
        <v>1153</v>
      </c>
      <c r="W30" s="13" t="s">
        <v>15</v>
      </c>
      <c r="X30" s="82" t="s">
        <v>9</v>
      </c>
      <c r="Y30" s="91" t="s">
        <v>3576</v>
      </c>
      <c r="Z30" s="91"/>
      <c r="AA30" s="87"/>
      <c r="AB30" s="19" t="s">
        <v>1352</v>
      </c>
      <c r="AC30" s="13" t="s">
        <v>15</v>
      </c>
      <c r="AD30" s="82" t="s">
        <v>9</v>
      </c>
      <c r="AE30" s="91" t="s">
        <v>3576</v>
      </c>
      <c r="AF30" s="91"/>
      <c r="AG30" s="87"/>
      <c r="AH30" s="56" t="s">
        <v>1550</v>
      </c>
      <c r="AI30" s="13" t="s">
        <v>15</v>
      </c>
      <c r="AJ30" s="82" t="s">
        <v>9</v>
      </c>
      <c r="AK30" s="91" t="s">
        <v>3576</v>
      </c>
      <c r="AL30" s="91"/>
      <c r="AM30" s="105"/>
      <c r="AN30" s="23" t="s">
        <v>1749</v>
      </c>
      <c r="AO30" s="13" t="s">
        <v>15</v>
      </c>
      <c r="AP30" s="82" t="s">
        <v>9</v>
      </c>
      <c r="AQ30" s="91" t="s">
        <v>3577</v>
      </c>
      <c r="AR30" s="91"/>
      <c r="AS30" s="87"/>
      <c r="AT30" s="21" t="s">
        <v>1946</v>
      </c>
      <c r="AU30" s="13" t="s">
        <v>0</v>
      </c>
      <c r="AV30" s="82" t="s">
        <v>1</v>
      </c>
      <c r="AW30" s="91" t="s">
        <v>3576</v>
      </c>
      <c r="AX30" s="91"/>
      <c r="AY30" s="87"/>
      <c r="AZ30" s="22" t="s">
        <v>2142</v>
      </c>
      <c r="BA30" s="13" t="s">
        <v>0</v>
      </c>
      <c r="BB30" s="82" t="s">
        <v>1</v>
      </c>
      <c r="BC30" s="91" t="s">
        <v>3576</v>
      </c>
      <c r="BD30" s="91"/>
      <c r="BE30" s="87"/>
      <c r="BF30" s="24" t="s">
        <v>3852</v>
      </c>
      <c r="BG30" s="13" t="s">
        <v>0</v>
      </c>
      <c r="BH30" s="82" t="s">
        <v>1</v>
      </c>
      <c r="BI30" s="91" t="s">
        <v>3576</v>
      </c>
      <c r="BJ30" s="91"/>
      <c r="BK30" s="87"/>
      <c r="BL30" s="27" t="s">
        <v>2525</v>
      </c>
      <c r="BM30" s="13" t="s">
        <v>0</v>
      </c>
      <c r="BN30" s="82" t="s">
        <v>1</v>
      </c>
      <c r="BO30" s="91" t="s">
        <v>3576</v>
      </c>
      <c r="BP30" s="91"/>
      <c r="BQ30" s="105"/>
      <c r="BR30" s="72" t="s">
        <v>2723</v>
      </c>
      <c r="BS30" s="13" t="s">
        <v>0</v>
      </c>
      <c r="BT30" s="82" t="s">
        <v>1</v>
      </c>
      <c r="BU30" s="91" t="s">
        <v>3576</v>
      </c>
      <c r="BV30" s="91"/>
      <c r="BW30" s="87"/>
      <c r="BX30" s="49" t="s">
        <v>2904</v>
      </c>
      <c r="BY30" s="13" t="s">
        <v>0</v>
      </c>
      <c r="BZ30" s="82" t="s">
        <v>1</v>
      </c>
      <c r="CA30" s="91" t="s">
        <v>3576</v>
      </c>
      <c r="CB30" s="91"/>
      <c r="CC30" s="87"/>
      <c r="CD30" s="52" t="s">
        <v>3075</v>
      </c>
      <c r="CE30" s="13" t="s">
        <v>0</v>
      </c>
      <c r="CF30" s="82" t="s">
        <v>1</v>
      </c>
      <c r="CG30" s="91" t="s">
        <v>3576</v>
      </c>
      <c r="CH30" s="91"/>
      <c r="CI30" s="87"/>
      <c r="CJ30" s="19" t="s">
        <v>2723</v>
      </c>
      <c r="CK30" s="13" t="s">
        <v>0</v>
      </c>
      <c r="CL30" s="82" t="s">
        <v>1</v>
      </c>
      <c r="CM30" s="91" t="s">
        <v>3576</v>
      </c>
      <c r="CN30" s="91"/>
      <c r="CO30" s="87"/>
      <c r="CP30" s="56" t="s">
        <v>2723</v>
      </c>
      <c r="CQ30" s="13" t="s">
        <v>0</v>
      </c>
      <c r="CR30" s="82" t="s">
        <v>1</v>
      </c>
      <c r="CS30" s="91" t="s">
        <v>3576</v>
      </c>
      <c r="CT30" s="91"/>
      <c r="CU30" s="105"/>
    </row>
    <row r="31" spans="1:99" ht="76.5" customHeight="1" thickBot="1" x14ac:dyDescent="0.4">
      <c r="A31" s="40" t="s">
        <v>53</v>
      </c>
      <c r="B31" s="40" t="s">
        <v>380</v>
      </c>
      <c r="C31" s="135" t="s">
        <v>569</v>
      </c>
      <c r="D31" s="221" t="s">
        <v>3514</v>
      </c>
      <c r="E31" s="320" t="s">
        <v>3866</v>
      </c>
      <c r="F31" s="321" t="s">
        <v>3440</v>
      </c>
      <c r="G31" s="322" t="s">
        <v>3868</v>
      </c>
      <c r="H31" s="175"/>
      <c r="I31" s="175"/>
      <c r="J31" s="240" t="s">
        <v>761</v>
      </c>
      <c r="K31" s="238" t="s">
        <v>15</v>
      </c>
      <c r="L31" s="217" t="s">
        <v>4</v>
      </c>
      <c r="M31" s="217" t="s">
        <v>3576</v>
      </c>
      <c r="N31" s="245"/>
      <c r="O31" s="163"/>
      <c r="P31" s="164" t="s">
        <v>960</v>
      </c>
      <c r="Q31" s="154" t="s">
        <v>15</v>
      </c>
      <c r="R31" s="82" t="s">
        <v>4</v>
      </c>
      <c r="S31" s="91" t="s">
        <v>3576</v>
      </c>
      <c r="T31" s="91"/>
      <c r="U31" s="87"/>
      <c r="V31" s="52" t="s">
        <v>1158</v>
      </c>
      <c r="W31" s="13" t="s">
        <v>15</v>
      </c>
      <c r="X31" s="82" t="s">
        <v>4</v>
      </c>
      <c r="Y31" s="91" t="s">
        <v>3576</v>
      </c>
      <c r="Z31" s="91"/>
      <c r="AA31" s="87"/>
      <c r="AB31" s="19" t="s">
        <v>1357</v>
      </c>
      <c r="AC31" s="13" t="s">
        <v>0</v>
      </c>
      <c r="AD31" s="82" t="s">
        <v>12</v>
      </c>
      <c r="AE31" s="91" t="s">
        <v>3577</v>
      </c>
      <c r="AF31" s="91"/>
      <c r="AG31" s="87"/>
      <c r="AH31" s="56" t="s">
        <v>1555</v>
      </c>
      <c r="AI31" s="13" t="s">
        <v>15</v>
      </c>
      <c r="AJ31" s="82" t="s">
        <v>4</v>
      </c>
      <c r="AK31" s="91" t="s">
        <v>3576</v>
      </c>
      <c r="AL31" s="91"/>
      <c r="AM31" s="105"/>
      <c r="AN31" s="23" t="s">
        <v>1754</v>
      </c>
      <c r="AO31" s="13" t="s">
        <v>0</v>
      </c>
      <c r="AP31" s="82" t="s">
        <v>12</v>
      </c>
      <c r="AQ31" s="91" t="s">
        <v>3577</v>
      </c>
      <c r="AR31" s="91"/>
      <c r="AS31" s="87"/>
      <c r="AT31" s="21" t="s">
        <v>1951</v>
      </c>
      <c r="AU31" s="13" t="s">
        <v>0</v>
      </c>
      <c r="AV31" s="82" t="s">
        <v>12</v>
      </c>
      <c r="AW31" s="91" t="s">
        <v>3577</v>
      </c>
      <c r="AX31" s="91"/>
      <c r="AY31" s="87"/>
      <c r="AZ31" s="22" t="s">
        <v>2147</v>
      </c>
      <c r="BA31" s="13" t="s">
        <v>0</v>
      </c>
      <c r="BB31" s="82" t="s">
        <v>12</v>
      </c>
      <c r="BC31" s="91" t="s">
        <v>3577</v>
      </c>
      <c r="BD31" s="91"/>
      <c r="BE31" s="87"/>
      <c r="BF31" s="24" t="s">
        <v>2338</v>
      </c>
      <c r="BG31" s="13" t="s">
        <v>0</v>
      </c>
      <c r="BH31" s="82" t="s">
        <v>12</v>
      </c>
      <c r="BI31" s="91" t="s">
        <v>3577</v>
      </c>
      <c r="BJ31" s="91"/>
      <c r="BK31" s="87"/>
      <c r="BL31" s="27" t="s">
        <v>2530</v>
      </c>
      <c r="BM31" s="13" t="s">
        <v>15</v>
      </c>
      <c r="BN31" s="82" t="s">
        <v>4</v>
      </c>
      <c r="BO31" s="91" t="s">
        <v>3576</v>
      </c>
      <c r="BP31" s="91"/>
      <c r="BQ31" s="105"/>
      <c r="BR31" s="72" t="s">
        <v>2728</v>
      </c>
      <c r="BS31" s="13" t="s">
        <v>0</v>
      </c>
      <c r="BT31" s="82" t="s">
        <v>12</v>
      </c>
      <c r="BU31" s="91" t="s">
        <v>3577</v>
      </c>
      <c r="BV31" s="91"/>
      <c r="BW31" s="87"/>
      <c r="BX31" s="49" t="s">
        <v>2907</v>
      </c>
      <c r="BY31" s="13" t="s">
        <v>0</v>
      </c>
      <c r="BZ31" s="82" t="s">
        <v>12</v>
      </c>
      <c r="CA31" s="91" t="s">
        <v>3577</v>
      </c>
      <c r="CB31" s="91"/>
      <c r="CC31" s="87"/>
      <c r="CD31" s="52" t="s">
        <v>3080</v>
      </c>
      <c r="CE31" s="13" t="s">
        <v>0</v>
      </c>
      <c r="CF31" s="82" t="s">
        <v>12</v>
      </c>
      <c r="CG31" s="91" t="s">
        <v>3577</v>
      </c>
      <c r="CH31" s="91"/>
      <c r="CI31" s="87"/>
      <c r="CJ31" s="19" t="s">
        <v>3228</v>
      </c>
      <c r="CK31" s="13" t="s">
        <v>0</v>
      </c>
      <c r="CL31" s="82" t="s">
        <v>12</v>
      </c>
      <c r="CM31" s="91" t="s">
        <v>3577</v>
      </c>
      <c r="CN31" s="91"/>
      <c r="CO31" s="87"/>
      <c r="CP31" s="56" t="s">
        <v>3228</v>
      </c>
      <c r="CQ31" s="13" t="s">
        <v>0</v>
      </c>
      <c r="CR31" s="82" t="s">
        <v>12</v>
      </c>
      <c r="CS31" s="91" t="s">
        <v>3577</v>
      </c>
      <c r="CT31" s="91"/>
      <c r="CU31" s="105"/>
    </row>
    <row r="32" spans="1:99" ht="58.5" customHeight="1" thickBot="1" x14ac:dyDescent="0.4">
      <c r="A32" s="40" t="s">
        <v>53</v>
      </c>
      <c r="B32" s="40" t="s">
        <v>387</v>
      </c>
      <c r="C32" s="135" t="s">
        <v>573</v>
      </c>
      <c r="D32" s="234" t="s">
        <v>3519</v>
      </c>
      <c r="E32" s="314" t="s">
        <v>3855</v>
      </c>
      <c r="F32" s="315" t="s">
        <v>3437</v>
      </c>
      <c r="G32" s="315" t="s">
        <v>3864</v>
      </c>
      <c r="H32" s="221" t="s">
        <v>3727</v>
      </c>
      <c r="I32" s="221" t="s">
        <v>3568</v>
      </c>
      <c r="J32" s="225" t="s">
        <v>768</v>
      </c>
      <c r="K32" s="231" t="s">
        <v>0</v>
      </c>
      <c r="L32" s="168" t="s">
        <v>12</v>
      </c>
      <c r="M32" s="168" t="s">
        <v>3577</v>
      </c>
      <c r="N32" s="197"/>
      <c r="O32" s="86"/>
      <c r="P32" s="162" t="s">
        <v>966</v>
      </c>
      <c r="Q32" s="13" t="s">
        <v>0</v>
      </c>
      <c r="R32" s="82" t="s">
        <v>12</v>
      </c>
      <c r="S32" s="91" t="s">
        <v>3577</v>
      </c>
      <c r="T32" s="91"/>
      <c r="U32" s="87"/>
      <c r="V32" s="52" t="s">
        <v>1165</v>
      </c>
      <c r="W32" s="13" t="s">
        <v>0</v>
      </c>
      <c r="X32" s="82" t="s">
        <v>12</v>
      </c>
      <c r="Y32" s="91" t="s">
        <v>3577</v>
      </c>
      <c r="Z32" s="91"/>
      <c r="AA32" s="87"/>
      <c r="AB32" s="19" t="s">
        <v>1364</v>
      </c>
      <c r="AC32" s="13" t="s">
        <v>15</v>
      </c>
      <c r="AD32" s="82" t="s">
        <v>9</v>
      </c>
      <c r="AE32" s="91" t="s">
        <v>3576</v>
      </c>
      <c r="AF32" s="91"/>
      <c r="AG32" s="87"/>
      <c r="AH32" s="56" t="s">
        <v>1562</v>
      </c>
      <c r="AI32" s="13" t="s">
        <v>0</v>
      </c>
      <c r="AJ32" s="82" t="s">
        <v>12</v>
      </c>
      <c r="AK32" s="91" t="s">
        <v>3577</v>
      </c>
      <c r="AL32" s="91"/>
      <c r="AM32" s="105"/>
      <c r="AN32" s="23" t="s">
        <v>1761</v>
      </c>
      <c r="AO32" s="13" t="s">
        <v>0</v>
      </c>
      <c r="AP32" s="82" t="s">
        <v>1</v>
      </c>
      <c r="AQ32" s="91" t="s">
        <v>3577</v>
      </c>
      <c r="AR32" s="91"/>
      <c r="AS32" s="87"/>
      <c r="AT32" s="21" t="s">
        <v>1958</v>
      </c>
      <c r="AU32" s="13" t="s">
        <v>0</v>
      </c>
      <c r="AV32" s="82" t="s">
        <v>1</v>
      </c>
      <c r="AW32" s="91" t="s">
        <v>3577</v>
      </c>
      <c r="AX32" s="91"/>
      <c r="AY32" s="87"/>
      <c r="AZ32" s="22" t="s">
        <v>2154</v>
      </c>
      <c r="BA32" s="13" t="s">
        <v>0</v>
      </c>
      <c r="BB32" s="82" t="s">
        <v>1</v>
      </c>
      <c r="BC32" s="91" t="s">
        <v>3577</v>
      </c>
      <c r="BD32" s="91"/>
      <c r="BE32" s="87"/>
      <c r="BF32" s="24" t="s">
        <v>2345</v>
      </c>
      <c r="BG32" s="13" t="s">
        <v>0</v>
      </c>
      <c r="BH32" s="82" t="s">
        <v>1</v>
      </c>
      <c r="BI32" s="91" t="s">
        <v>3577</v>
      </c>
      <c r="BJ32" s="91"/>
      <c r="BK32" s="87"/>
      <c r="BL32" s="27" t="s">
        <v>2537</v>
      </c>
      <c r="BM32" s="13" t="s">
        <v>0</v>
      </c>
      <c r="BN32" s="82" t="s">
        <v>1</v>
      </c>
      <c r="BO32" s="91" t="s">
        <v>3577</v>
      </c>
      <c r="BP32" s="91"/>
      <c r="BQ32" s="105"/>
      <c r="BR32" s="72" t="s">
        <v>2735</v>
      </c>
      <c r="BS32" s="13" t="s">
        <v>0</v>
      </c>
      <c r="BT32" s="82" t="s">
        <v>1</v>
      </c>
      <c r="BU32" s="91" t="s">
        <v>3577</v>
      </c>
      <c r="BV32" s="91"/>
      <c r="BW32" s="87"/>
      <c r="BX32" s="49" t="s">
        <v>2912</v>
      </c>
      <c r="BY32" s="13" t="s">
        <v>0</v>
      </c>
      <c r="BZ32" s="82" t="s">
        <v>12</v>
      </c>
      <c r="CA32" s="91" t="s">
        <v>3577</v>
      </c>
      <c r="CB32" s="91"/>
      <c r="CC32" s="87"/>
      <c r="CD32" s="52" t="s">
        <v>3087</v>
      </c>
      <c r="CE32" s="13" t="s">
        <v>0</v>
      </c>
      <c r="CF32" s="82" t="s">
        <v>1</v>
      </c>
      <c r="CG32" s="91" t="s">
        <v>3577</v>
      </c>
      <c r="CH32" s="91"/>
      <c r="CI32" s="87"/>
      <c r="CJ32" s="19" t="s">
        <v>3232</v>
      </c>
      <c r="CK32" s="13" t="s">
        <v>0</v>
      </c>
      <c r="CL32" s="82" t="s">
        <v>1</v>
      </c>
      <c r="CM32" s="91" t="s">
        <v>3577</v>
      </c>
      <c r="CN32" s="91"/>
      <c r="CO32" s="87"/>
      <c r="CP32" s="56" t="s">
        <v>3232</v>
      </c>
      <c r="CQ32" s="13" t="s">
        <v>0</v>
      </c>
      <c r="CR32" s="82" t="s">
        <v>1</v>
      </c>
      <c r="CS32" s="91" t="s">
        <v>3577</v>
      </c>
      <c r="CT32" s="91"/>
      <c r="CU32" s="105"/>
    </row>
    <row r="33" spans="1:99" ht="105.5" customHeight="1" thickBot="1" x14ac:dyDescent="0.4">
      <c r="A33" s="40" t="s">
        <v>53</v>
      </c>
      <c r="B33" s="40" t="s">
        <v>391</v>
      </c>
      <c r="C33" s="135" t="s">
        <v>577</v>
      </c>
      <c r="D33" s="296" t="s">
        <v>3522</v>
      </c>
      <c r="E33" s="314" t="s">
        <v>3855</v>
      </c>
      <c r="F33" s="315" t="s">
        <v>3437</v>
      </c>
      <c r="G33" s="315" t="s">
        <v>3864</v>
      </c>
      <c r="H33" s="296"/>
      <c r="I33" s="296"/>
      <c r="J33" s="185" t="s">
        <v>772</v>
      </c>
      <c r="K33" s="246" t="s">
        <v>15</v>
      </c>
      <c r="L33" s="204" t="s">
        <v>9</v>
      </c>
      <c r="M33" s="217" t="s">
        <v>3576</v>
      </c>
      <c r="N33" s="245"/>
      <c r="O33" s="87"/>
      <c r="P33" s="49" t="s">
        <v>970</v>
      </c>
      <c r="Q33" s="13" t="s">
        <v>0</v>
      </c>
      <c r="R33" s="82" t="s">
        <v>12</v>
      </c>
      <c r="S33" s="91" t="s">
        <v>3577</v>
      </c>
      <c r="T33" s="91"/>
      <c r="U33" s="87"/>
      <c r="V33" s="52" t="s">
        <v>1169</v>
      </c>
      <c r="W33" s="13" t="s">
        <v>0</v>
      </c>
      <c r="X33" s="82" t="s">
        <v>12</v>
      </c>
      <c r="Y33" s="91" t="s">
        <v>3577</v>
      </c>
      <c r="Z33" s="91"/>
      <c r="AA33" s="87"/>
      <c r="AB33" s="19" t="s">
        <v>1368</v>
      </c>
      <c r="AC33" s="13" t="s">
        <v>0</v>
      </c>
      <c r="AD33" s="82" t="s">
        <v>12</v>
      </c>
      <c r="AE33" s="91" t="s">
        <v>3577</v>
      </c>
      <c r="AF33" s="91"/>
      <c r="AG33" s="87"/>
      <c r="AH33" s="56" t="s">
        <v>1566</v>
      </c>
      <c r="AI33" s="13" t="s">
        <v>0</v>
      </c>
      <c r="AJ33" s="82" t="s">
        <v>12</v>
      </c>
      <c r="AK33" s="91" t="s">
        <v>3577</v>
      </c>
      <c r="AL33" s="91"/>
      <c r="AM33" s="105"/>
      <c r="AN33" s="23" t="s">
        <v>1765</v>
      </c>
      <c r="AO33" s="13" t="s">
        <v>0</v>
      </c>
      <c r="AP33" s="82" t="s">
        <v>12</v>
      </c>
      <c r="AQ33" s="91" t="s">
        <v>3577</v>
      </c>
      <c r="AR33" s="91"/>
      <c r="AS33" s="350"/>
      <c r="AT33" s="21" t="s">
        <v>1962</v>
      </c>
      <c r="AU33" s="13" t="s">
        <v>0</v>
      </c>
      <c r="AV33" s="82" t="s">
        <v>12</v>
      </c>
      <c r="AW33" s="91" t="s">
        <v>3577</v>
      </c>
      <c r="AX33" s="91"/>
      <c r="AY33" s="87"/>
      <c r="AZ33" s="22" t="s">
        <v>2158</v>
      </c>
      <c r="BA33" s="13" t="s">
        <v>0</v>
      </c>
      <c r="BB33" s="82" t="s">
        <v>12</v>
      </c>
      <c r="BC33" s="91" t="s">
        <v>3577</v>
      </c>
      <c r="BD33" s="91"/>
      <c r="BE33" s="87"/>
      <c r="BF33" s="24" t="s">
        <v>2349</v>
      </c>
      <c r="BG33" s="13" t="s">
        <v>0</v>
      </c>
      <c r="BH33" s="82" t="s">
        <v>1</v>
      </c>
      <c r="BI33" s="91" t="s">
        <v>3577</v>
      </c>
      <c r="BJ33" s="91"/>
      <c r="BK33" s="87"/>
      <c r="BL33" s="27" t="s">
        <v>2541</v>
      </c>
      <c r="BM33" s="13" t="s">
        <v>0</v>
      </c>
      <c r="BN33" s="82" t="s">
        <v>1</v>
      </c>
      <c r="BO33" s="91" t="s">
        <v>3577</v>
      </c>
      <c r="BP33" s="91"/>
      <c r="BQ33" s="105"/>
      <c r="BR33" s="72" t="s">
        <v>2739</v>
      </c>
      <c r="BS33" s="13" t="s">
        <v>0</v>
      </c>
      <c r="BT33" s="82" t="s">
        <v>12</v>
      </c>
      <c r="BU33" s="91" t="s">
        <v>3577</v>
      </c>
      <c r="BV33" s="91"/>
      <c r="BW33" s="87"/>
      <c r="BX33" s="49" t="s">
        <v>2916</v>
      </c>
      <c r="BY33" s="13" t="s">
        <v>0</v>
      </c>
      <c r="BZ33" s="82" t="s">
        <v>12</v>
      </c>
      <c r="CA33" s="91" t="s">
        <v>3577</v>
      </c>
      <c r="CB33" s="91"/>
      <c r="CC33" s="87"/>
      <c r="CD33" s="52" t="s">
        <v>3090</v>
      </c>
      <c r="CE33" s="13" t="s">
        <v>0</v>
      </c>
      <c r="CF33" s="82" t="s">
        <v>12</v>
      </c>
      <c r="CG33" s="91" t="s">
        <v>3577</v>
      </c>
      <c r="CH33" s="91"/>
      <c r="CI33" s="87"/>
      <c r="CJ33" s="19" t="s">
        <v>3234</v>
      </c>
      <c r="CK33" s="13" t="s">
        <v>0</v>
      </c>
      <c r="CL33" s="82" t="s">
        <v>12</v>
      </c>
      <c r="CM33" s="91" t="s">
        <v>3577</v>
      </c>
      <c r="CN33" s="91"/>
      <c r="CO33" s="87"/>
      <c r="CP33" s="56" t="s">
        <v>3090</v>
      </c>
      <c r="CQ33" s="13" t="s">
        <v>0</v>
      </c>
      <c r="CR33" s="82" t="s">
        <v>12</v>
      </c>
      <c r="CS33" s="91" t="s">
        <v>3577</v>
      </c>
      <c r="CT33" s="91"/>
      <c r="CU33" s="105"/>
    </row>
    <row r="34" spans="1:99" ht="88.5" customHeight="1" thickBot="1" x14ac:dyDescent="0.4">
      <c r="A34" s="40" t="s">
        <v>53</v>
      </c>
      <c r="B34" s="40" t="s">
        <v>392</v>
      </c>
      <c r="C34" s="135" t="s">
        <v>578</v>
      </c>
      <c r="D34" s="177" t="s">
        <v>3523</v>
      </c>
      <c r="E34" s="314" t="s">
        <v>3855</v>
      </c>
      <c r="F34" s="315" t="s">
        <v>3387</v>
      </c>
      <c r="G34" s="315" t="s">
        <v>3861</v>
      </c>
      <c r="H34" s="176" t="s">
        <v>3786</v>
      </c>
      <c r="I34" s="176" t="s">
        <v>3559</v>
      </c>
      <c r="J34" s="225" t="s">
        <v>773</v>
      </c>
      <c r="K34" s="247" t="s">
        <v>15</v>
      </c>
      <c r="L34" s="191" t="s">
        <v>20</v>
      </c>
      <c r="M34" s="168" t="s">
        <v>3577</v>
      </c>
      <c r="N34" s="197"/>
      <c r="O34" s="87"/>
      <c r="P34" s="49" t="s">
        <v>971</v>
      </c>
      <c r="Q34" s="13" t="s">
        <v>15</v>
      </c>
      <c r="R34" s="82" t="s">
        <v>20</v>
      </c>
      <c r="S34" s="91" t="s">
        <v>3577</v>
      </c>
      <c r="T34" s="91"/>
      <c r="U34" s="87"/>
      <c r="V34" s="52" t="s">
        <v>1170</v>
      </c>
      <c r="W34" s="13" t="s">
        <v>15</v>
      </c>
      <c r="X34" s="82" t="s">
        <v>20</v>
      </c>
      <c r="Y34" s="91" t="s">
        <v>3577</v>
      </c>
      <c r="Z34" s="91"/>
      <c r="AA34" s="350"/>
      <c r="AB34" s="19" t="s">
        <v>1369</v>
      </c>
      <c r="AC34" s="13" t="s">
        <v>15</v>
      </c>
      <c r="AD34" s="82" t="s">
        <v>20</v>
      </c>
      <c r="AE34" s="91" t="s">
        <v>3577</v>
      </c>
      <c r="AF34" s="91"/>
      <c r="AG34" s="87"/>
      <c r="AH34" s="56" t="s">
        <v>1567</v>
      </c>
      <c r="AI34" s="13" t="s">
        <v>15</v>
      </c>
      <c r="AJ34" s="82" t="s">
        <v>20</v>
      </c>
      <c r="AK34" s="91" t="s">
        <v>3577</v>
      </c>
      <c r="AL34" s="91"/>
      <c r="AM34" s="105"/>
      <c r="AN34" s="23" t="s">
        <v>1766</v>
      </c>
      <c r="AO34" s="13" t="s">
        <v>11</v>
      </c>
      <c r="AP34" s="82"/>
      <c r="AQ34" s="91" t="s">
        <v>3576</v>
      </c>
      <c r="AR34" s="91"/>
      <c r="AS34" s="87"/>
      <c r="AT34" s="21" t="s">
        <v>1963</v>
      </c>
      <c r="AU34" s="13" t="s">
        <v>11</v>
      </c>
      <c r="AV34" s="82"/>
      <c r="AW34" s="91" t="s">
        <v>3576</v>
      </c>
      <c r="AX34" s="91"/>
      <c r="AY34" s="87"/>
      <c r="AZ34" s="22" t="s">
        <v>2159</v>
      </c>
      <c r="BA34" s="13" t="s">
        <v>11</v>
      </c>
      <c r="BB34" s="82"/>
      <c r="BC34" s="91" t="s">
        <v>3576</v>
      </c>
      <c r="BD34" s="91"/>
      <c r="BE34" s="87"/>
      <c r="BF34" s="24" t="s">
        <v>2350</v>
      </c>
      <c r="BG34" s="13" t="s">
        <v>11</v>
      </c>
      <c r="BH34" s="82"/>
      <c r="BI34" s="91" t="s">
        <v>3576</v>
      </c>
      <c r="BJ34" s="91"/>
      <c r="BK34" s="87"/>
      <c r="BL34" s="27" t="s">
        <v>2542</v>
      </c>
      <c r="BM34" s="13" t="s">
        <v>11</v>
      </c>
      <c r="BN34" s="82"/>
      <c r="BO34" s="91" t="s">
        <v>3576</v>
      </c>
      <c r="BP34" s="91"/>
      <c r="BQ34" s="105"/>
      <c r="BR34" s="72" t="s">
        <v>2740</v>
      </c>
      <c r="BS34" s="13" t="s">
        <v>15</v>
      </c>
      <c r="BT34" s="82" t="s">
        <v>20</v>
      </c>
      <c r="BU34" s="91" t="s">
        <v>3577</v>
      </c>
      <c r="BV34" s="91"/>
      <c r="BW34" s="87"/>
      <c r="BX34" s="49" t="s">
        <v>2917</v>
      </c>
      <c r="BY34" s="13" t="s">
        <v>15</v>
      </c>
      <c r="BZ34" s="82" t="s">
        <v>20</v>
      </c>
      <c r="CA34" s="91" t="s">
        <v>3577</v>
      </c>
      <c r="CB34" s="91"/>
      <c r="CC34" s="87"/>
      <c r="CD34" s="52" t="s">
        <v>3091</v>
      </c>
      <c r="CE34" s="13" t="s">
        <v>15</v>
      </c>
      <c r="CF34" s="82" t="s">
        <v>20</v>
      </c>
      <c r="CG34" s="91" t="s">
        <v>3577</v>
      </c>
      <c r="CH34" s="91"/>
      <c r="CI34" s="87"/>
      <c r="CJ34" s="19" t="s">
        <v>3235</v>
      </c>
      <c r="CK34" s="13" t="s">
        <v>15</v>
      </c>
      <c r="CL34" s="82" t="s">
        <v>20</v>
      </c>
      <c r="CM34" s="91" t="s">
        <v>3577</v>
      </c>
      <c r="CN34" s="91"/>
      <c r="CO34" s="87"/>
      <c r="CP34" s="56" t="s">
        <v>3350</v>
      </c>
      <c r="CQ34" s="13" t="s">
        <v>15</v>
      </c>
      <c r="CR34" s="82" t="s">
        <v>20</v>
      </c>
      <c r="CS34" s="91" t="s">
        <v>3577</v>
      </c>
      <c r="CT34" s="91"/>
      <c r="CU34" s="105"/>
    </row>
    <row r="35" spans="1:99" ht="42" customHeight="1" thickBot="1" x14ac:dyDescent="0.4">
      <c r="A35" s="40" t="s">
        <v>53</v>
      </c>
      <c r="B35" s="40" t="s">
        <v>394</v>
      </c>
      <c r="C35" s="135" t="s">
        <v>459</v>
      </c>
      <c r="D35" s="173" t="s">
        <v>3525</v>
      </c>
      <c r="E35" s="314" t="s">
        <v>3855</v>
      </c>
      <c r="F35" s="315" t="s">
        <v>3390</v>
      </c>
      <c r="G35" s="315" t="s">
        <v>3862</v>
      </c>
      <c r="H35" s="173" t="s">
        <v>3788</v>
      </c>
      <c r="I35" s="175" t="s">
        <v>3782</v>
      </c>
      <c r="J35" s="194" t="s">
        <v>775</v>
      </c>
      <c r="K35" s="210" t="s">
        <v>15</v>
      </c>
      <c r="L35" s="168" t="s">
        <v>4</v>
      </c>
      <c r="M35" s="197" t="s">
        <v>3576</v>
      </c>
      <c r="N35" s="168"/>
      <c r="O35" s="87"/>
      <c r="P35" s="49" t="s">
        <v>973</v>
      </c>
      <c r="Q35" s="13" t="s">
        <v>15</v>
      </c>
      <c r="R35" s="82" t="s">
        <v>4</v>
      </c>
      <c r="S35" s="91" t="s">
        <v>3576</v>
      </c>
      <c r="T35" s="91"/>
      <c r="U35" s="87"/>
      <c r="V35" s="52" t="s">
        <v>1172</v>
      </c>
      <c r="W35" s="13" t="s">
        <v>15</v>
      </c>
      <c r="X35" s="82" t="s">
        <v>4</v>
      </c>
      <c r="Y35" s="91" t="s">
        <v>3576</v>
      </c>
      <c r="Z35" s="91"/>
      <c r="AA35" s="87"/>
      <c r="AB35" s="19" t="s">
        <v>1371</v>
      </c>
      <c r="AC35" s="13" t="s">
        <v>15</v>
      </c>
      <c r="AD35" s="82" t="s">
        <v>4</v>
      </c>
      <c r="AE35" s="91" t="s">
        <v>3576</v>
      </c>
      <c r="AF35" s="91"/>
      <c r="AG35" s="87"/>
      <c r="AH35" s="56" t="s">
        <v>1569</v>
      </c>
      <c r="AI35" s="13" t="s">
        <v>15</v>
      </c>
      <c r="AJ35" s="82" t="s">
        <v>4</v>
      </c>
      <c r="AK35" s="91" t="s">
        <v>3576</v>
      </c>
      <c r="AL35" s="91"/>
      <c r="AM35" s="105"/>
      <c r="AN35" s="23" t="s">
        <v>1768</v>
      </c>
      <c r="AO35" s="13" t="s">
        <v>15</v>
      </c>
      <c r="AP35" s="82" t="s">
        <v>4</v>
      </c>
      <c r="AQ35" s="91" t="s">
        <v>3576</v>
      </c>
      <c r="AR35" s="91"/>
      <c r="AS35" s="87"/>
      <c r="AT35" s="21" t="s">
        <v>1965</v>
      </c>
      <c r="AU35" s="13" t="s">
        <v>15</v>
      </c>
      <c r="AV35" s="82" t="s">
        <v>4</v>
      </c>
      <c r="AW35" s="91" t="s">
        <v>3576</v>
      </c>
      <c r="AX35" s="91"/>
      <c r="AY35" s="87"/>
      <c r="AZ35" s="22" t="s">
        <v>2161</v>
      </c>
      <c r="BA35" s="13" t="s">
        <v>15</v>
      </c>
      <c r="BB35" s="82" t="s">
        <v>4</v>
      </c>
      <c r="BC35" s="91" t="s">
        <v>3576</v>
      </c>
      <c r="BD35" s="91"/>
      <c r="BE35" s="87"/>
      <c r="BF35" s="26" t="s">
        <v>2352</v>
      </c>
      <c r="BG35" s="13" t="s">
        <v>15</v>
      </c>
      <c r="BH35" s="82" t="s">
        <v>4</v>
      </c>
      <c r="BI35" s="91" t="s">
        <v>3576</v>
      </c>
      <c r="BJ35" s="91"/>
      <c r="BK35" s="87"/>
      <c r="BL35" s="27" t="s">
        <v>2544</v>
      </c>
      <c r="BM35" s="13" t="s">
        <v>15</v>
      </c>
      <c r="BN35" s="82" t="s">
        <v>4</v>
      </c>
      <c r="BO35" s="91" t="s">
        <v>3576</v>
      </c>
      <c r="BP35" s="91"/>
      <c r="BQ35" s="105"/>
      <c r="BR35" s="72" t="s">
        <v>2742</v>
      </c>
      <c r="BS35" s="13" t="s">
        <v>15</v>
      </c>
      <c r="BT35" s="82" t="s">
        <v>4</v>
      </c>
      <c r="BU35" s="91" t="s">
        <v>3576</v>
      </c>
      <c r="BV35" s="91"/>
      <c r="BW35" s="87"/>
      <c r="BX35" s="49" t="s">
        <v>2918</v>
      </c>
      <c r="BY35" s="13" t="s">
        <v>15</v>
      </c>
      <c r="BZ35" s="82" t="s">
        <v>4</v>
      </c>
      <c r="CA35" s="91" t="s">
        <v>3576</v>
      </c>
      <c r="CB35" s="91"/>
      <c r="CC35" s="87"/>
      <c r="CD35" s="52" t="s">
        <v>3093</v>
      </c>
      <c r="CE35" s="13" t="s">
        <v>15</v>
      </c>
      <c r="CF35" s="82" t="s">
        <v>4</v>
      </c>
      <c r="CG35" s="91" t="s">
        <v>3576</v>
      </c>
      <c r="CH35" s="91"/>
      <c r="CI35" s="87"/>
      <c r="CJ35" s="19" t="s">
        <v>2742</v>
      </c>
      <c r="CK35" s="13" t="s">
        <v>15</v>
      </c>
      <c r="CL35" s="82" t="s">
        <v>4</v>
      </c>
      <c r="CM35" s="91" t="s">
        <v>3576</v>
      </c>
      <c r="CN35" s="91"/>
      <c r="CO35" s="87"/>
      <c r="CP35" s="56" t="s">
        <v>2742</v>
      </c>
      <c r="CQ35" s="13" t="s">
        <v>15</v>
      </c>
      <c r="CR35" s="82" t="s">
        <v>4</v>
      </c>
      <c r="CS35" s="91" t="s">
        <v>3576</v>
      </c>
      <c r="CT35" s="91"/>
      <c r="CU35" s="105"/>
    </row>
    <row r="36" spans="1:99" ht="42" customHeight="1" thickBot="1" x14ac:dyDescent="0.4">
      <c r="A36" s="40" t="s">
        <v>53</v>
      </c>
      <c r="B36" s="40" t="s">
        <v>405</v>
      </c>
      <c r="C36" s="135" t="s">
        <v>587</v>
      </c>
      <c r="D36" s="177" t="s">
        <v>3533</v>
      </c>
      <c r="E36" s="314" t="s">
        <v>3855</v>
      </c>
      <c r="F36" s="315" t="s">
        <v>3371</v>
      </c>
      <c r="G36" s="315" t="s">
        <v>3859</v>
      </c>
      <c r="H36" s="177" t="s">
        <v>3799</v>
      </c>
      <c r="I36" s="175" t="s">
        <v>3559</v>
      </c>
      <c r="J36" s="195" t="s">
        <v>786</v>
      </c>
      <c r="K36" s="229" t="s">
        <v>15</v>
      </c>
      <c r="L36" s="200" t="s">
        <v>9</v>
      </c>
      <c r="M36" s="216" t="s">
        <v>3576</v>
      </c>
      <c r="N36" s="200"/>
      <c r="O36" s="87"/>
      <c r="P36" s="49" t="s">
        <v>984</v>
      </c>
      <c r="Q36" s="13" t="s">
        <v>15</v>
      </c>
      <c r="R36" s="82" t="s">
        <v>9</v>
      </c>
      <c r="S36" s="91" t="s">
        <v>3576</v>
      </c>
      <c r="T36" s="91"/>
      <c r="U36" s="87"/>
      <c r="V36" s="52" t="s">
        <v>1183</v>
      </c>
      <c r="W36" s="13" t="s">
        <v>15</v>
      </c>
      <c r="X36" s="82" t="s">
        <v>9</v>
      </c>
      <c r="Y36" s="91" t="s">
        <v>3576</v>
      </c>
      <c r="Z36" s="91"/>
      <c r="AA36" s="87"/>
      <c r="AB36" s="19" t="s">
        <v>1382</v>
      </c>
      <c r="AC36" s="13" t="s">
        <v>15</v>
      </c>
      <c r="AD36" s="82" t="s">
        <v>9</v>
      </c>
      <c r="AE36" s="91" t="s">
        <v>3576</v>
      </c>
      <c r="AF36" s="91"/>
      <c r="AG36" s="87"/>
      <c r="AH36" s="56" t="s">
        <v>1580</v>
      </c>
      <c r="AI36" s="13" t="s">
        <v>15</v>
      </c>
      <c r="AJ36" s="82" t="s">
        <v>20</v>
      </c>
      <c r="AK36" s="91" t="s">
        <v>3576</v>
      </c>
      <c r="AL36" s="91"/>
      <c r="AM36" s="105"/>
      <c r="AN36" s="23" t="s">
        <v>1779</v>
      </c>
      <c r="AO36" s="13" t="s">
        <v>0</v>
      </c>
      <c r="AP36" s="82" t="s">
        <v>12</v>
      </c>
      <c r="AQ36" s="91" t="s">
        <v>3577</v>
      </c>
      <c r="AR36" s="91"/>
      <c r="AS36" s="87"/>
      <c r="AT36" s="21" t="s">
        <v>1976</v>
      </c>
      <c r="AU36" s="13" t="s">
        <v>0</v>
      </c>
      <c r="AV36" s="82" t="s">
        <v>12</v>
      </c>
      <c r="AW36" s="91" t="s">
        <v>3577</v>
      </c>
      <c r="AX36" s="91"/>
      <c r="AY36" s="87"/>
      <c r="AZ36" s="22" t="s">
        <v>2172</v>
      </c>
      <c r="BA36" s="13" t="s">
        <v>15</v>
      </c>
      <c r="BB36" s="82" t="s">
        <v>20</v>
      </c>
      <c r="BC36" s="91" t="s">
        <v>3577</v>
      </c>
      <c r="BD36" s="91"/>
      <c r="BE36" s="87"/>
      <c r="BF36" s="24" t="s">
        <v>2363</v>
      </c>
      <c r="BG36" s="13" t="s">
        <v>0</v>
      </c>
      <c r="BH36" s="82" t="s">
        <v>12</v>
      </c>
      <c r="BI36" s="91" t="s">
        <v>3577</v>
      </c>
      <c r="BJ36" s="91"/>
      <c r="BK36" s="87"/>
      <c r="BL36" s="27" t="s">
        <v>2555</v>
      </c>
      <c r="BM36" s="13" t="s">
        <v>0</v>
      </c>
      <c r="BN36" s="82" t="s">
        <v>12</v>
      </c>
      <c r="BO36" s="91" t="s">
        <v>3577</v>
      </c>
      <c r="BP36" s="91"/>
      <c r="BQ36" s="105"/>
      <c r="BR36" s="72" t="s">
        <v>2753</v>
      </c>
      <c r="BS36" s="13" t="s">
        <v>0</v>
      </c>
      <c r="BT36" s="82" t="s">
        <v>12</v>
      </c>
      <c r="BU36" s="91" t="s">
        <v>3577</v>
      </c>
      <c r="BV36" s="91"/>
      <c r="BW36" s="87"/>
      <c r="BX36" s="49" t="s">
        <v>2927</v>
      </c>
      <c r="BY36" s="13" t="s">
        <v>15</v>
      </c>
      <c r="BZ36" s="82" t="s">
        <v>20</v>
      </c>
      <c r="CA36" s="91" t="s">
        <v>3577</v>
      </c>
      <c r="CB36" s="91"/>
      <c r="CC36" s="87"/>
      <c r="CD36" s="52" t="s">
        <v>3102</v>
      </c>
      <c r="CE36" s="13" t="s">
        <v>15</v>
      </c>
      <c r="CF36" s="82" t="s">
        <v>20</v>
      </c>
      <c r="CG36" s="91" t="s">
        <v>3577</v>
      </c>
      <c r="CH36" s="91"/>
      <c r="CI36" s="87"/>
      <c r="CJ36" s="19" t="s">
        <v>3102</v>
      </c>
      <c r="CK36" s="13" t="s">
        <v>15</v>
      </c>
      <c r="CL36" s="82" t="s">
        <v>20</v>
      </c>
      <c r="CM36" s="91" t="s">
        <v>3577</v>
      </c>
      <c r="CN36" s="91"/>
      <c r="CO36" s="87"/>
      <c r="CP36" s="56" t="s">
        <v>2753</v>
      </c>
      <c r="CQ36" s="13" t="s">
        <v>0</v>
      </c>
      <c r="CR36" s="82" t="s">
        <v>12</v>
      </c>
      <c r="CS36" s="91" t="s">
        <v>3577</v>
      </c>
      <c r="CT36" s="91"/>
      <c r="CU36" s="105"/>
    </row>
    <row r="37" spans="1:99" ht="42" customHeight="1" thickBot="1" x14ac:dyDescent="0.4">
      <c r="A37" s="40" t="s">
        <v>53</v>
      </c>
      <c r="B37" s="40" t="s">
        <v>406</v>
      </c>
      <c r="C37" s="135" t="s">
        <v>588</v>
      </c>
      <c r="D37" s="167" t="s">
        <v>3534</v>
      </c>
      <c r="E37" s="314" t="s">
        <v>3855</v>
      </c>
      <c r="F37" s="315" t="s">
        <v>3387</v>
      </c>
      <c r="G37" s="315" t="s">
        <v>3861</v>
      </c>
      <c r="H37" s="206" t="s">
        <v>3800</v>
      </c>
      <c r="I37" s="206" t="s">
        <v>3613</v>
      </c>
      <c r="J37" s="240" t="s">
        <v>787</v>
      </c>
      <c r="K37" s="345" t="s">
        <v>15</v>
      </c>
      <c r="L37" s="217" t="s">
        <v>4</v>
      </c>
      <c r="M37" s="249" t="s">
        <v>3577</v>
      </c>
      <c r="N37" s="217"/>
      <c r="O37" s="87"/>
      <c r="P37" s="49" t="s">
        <v>985</v>
      </c>
      <c r="Q37" s="13" t="s">
        <v>11</v>
      </c>
      <c r="R37" s="82"/>
      <c r="S37" s="91" t="s">
        <v>3576</v>
      </c>
      <c r="T37" s="91"/>
      <c r="U37" s="87"/>
      <c r="V37" s="52" t="s">
        <v>1184</v>
      </c>
      <c r="W37" s="13" t="s">
        <v>6</v>
      </c>
      <c r="X37" s="82" t="s">
        <v>8</v>
      </c>
      <c r="Y37" s="91" t="s">
        <v>3576</v>
      </c>
      <c r="Z37" s="91"/>
      <c r="AA37" s="87"/>
      <c r="AB37" s="19" t="s">
        <v>1383</v>
      </c>
      <c r="AC37" s="13" t="s">
        <v>15</v>
      </c>
      <c r="AD37" s="82" t="s">
        <v>4</v>
      </c>
      <c r="AE37" s="91" t="s">
        <v>3577</v>
      </c>
      <c r="AF37" s="91"/>
      <c r="AG37" s="87"/>
      <c r="AH37" s="56" t="s">
        <v>1581</v>
      </c>
      <c r="AI37" s="13" t="s">
        <v>15</v>
      </c>
      <c r="AJ37" s="82" t="s">
        <v>4</v>
      </c>
      <c r="AK37" s="91" t="s">
        <v>3577</v>
      </c>
      <c r="AL37" s="91"/>
      <c r="AM37" s="105"/>
      <c r="AN37" s="23" t="s">
        <v>1780</v>
      </c>
      <c r="AO37" s="13" t="s">
        <v>0</v>
      </c>
      <c r="AP37" s="82" t="s">
        <v>12</v>
      </c>
      <c r="AQ37" s="91" t="s">
        <v>3576</v>
      </c>
      <c r="AR37" s="91"/>
      <c r="AS37" s="87"/>
      <c r="AT37" s="21" t="s">
        <v>1977</v>
      </c>
      <c r="AU37" s="13" t="s">
        <v>6</v>
      </c>
      <c r="AV37" s="82" t="s">
        <v>8</v>
      </c>
      <c r="AW37" s="91" t="s">
        <v>3576</v>
      </c>
      <c r="AX37" s="91"/>
      <c r="AY37" s="87"/>
      <c r="AZ37" s="22" t="s">
        <v>2173</v>
      </c>
      <c r="BA37" s="13" t="s">
        <v>6</v>
      </c>
      <c r="BB37" s="82" t="s">
        <v>8</v>
      </c>
      <c r="BC37" s="91" t="s">
        <v>3576</v>
      </c>
      <c r="BD37" s="91"/>
      <c r="BE37" s="87"/>
      <c r="BF37" s="24" t="s">
        <v>2364</v>
      </c>
      <c r="BG37" s="13" t="s">
        <v>0</v>
      </c>
      <c r="BH37" s="82" t="s">
        <v>12</v>
      </c>
      <c r="BI37" s="91" t="s">
        <v>3576</v>
      </c>
      <c r="BJ37" s="91"/>
      <c r="BK37" s="87"/>
      <c r="BL37" s="27" t="s">
        <v>2556</v>
      </c>
      <c r="BM37" s="13" t="s">
        <v>0</v>
      </c>
      <c r="BN37" s="82" t="s">
        <v>12</v>
      </c>
      <c r="BO37" s="91" t="s">
        <v>3576</v>
      </c>
      <c r="BP37" s="91"/>
      <c r="BQ37" s="105"/>
      <c r="BR37" s="72" t="s">
        <v>2754</v>
      </c>
      <c r="BS37" s="13" t="s">
        <v>0</v>
      </c>
      <c r="BT37" s="82" t="s">
        <v>12</v>
      </c>
      <c r="BU37" s="91" t="s">
        <v>3576</v>
      </c>
      <c r="BV37" s="91"/>
      <c r="BW37" s="87"/>
      <c r="BX37" s="49" t="s">
        <v>2928</v>
      </c>
      <c r="BY37" s="13" t="s">
        <v>0</v>
      </c>
      <c r="BZ37" s="82" t="s">
        <v>12</v>
      </c>
      <c r="CA37" s="91" t="s">
        <v>3576</v>
      </c>
      <c r="CB37" s="91"/>
      <c r="CC37" s="87"/>
      <c r="CD37" s="52" t="s">
        <v>3103</v>
      </c>
      <c r="CE37" s="13" t="s">
        <v>0</v>
      </c>
      <c r="CF37" s="82" t="s">
        <v>12</v>
      </c>
      <c r="CG37" s="91" t="s">
        <v>3576</v>
      </c>
      <c r="CH37" s="91"/>
      <c r="CI37" s="87"/>
      <c r="CJ37" s="19" t="s">
        <v>3245</v>
      </c>
      <c r="CK37" s="13" t="s">
        <v>0</v>
      </c>
      <c r="CL37" s="82" t="s">
        <v>12</v>
      </c>
      <c r="CM37" s="91" t="s">
        <v>3576</v>
      </c>
      <c r="CN37" s="91"/>
      <c r="CO37" s="87"/>
      <c r="CP37" s="56" t="s">
        <v>3245</v>
      </c>
      <c r="CQ37" s="13" t="s">
        <v>0</v>
      </c>
      <c r="CR37" s="82" t="s">
        <v>12</v>
      </c>
      <c r="CS37" s="91" t="s">
        <v>3576</v>
      </c>
      <c r="CT37" s="91"/>
      <c r="CU37" s="105"/>
    </row>
    <row r="38" spans="1:99" ht="42" customHeight="1" thickBot="1" x14ac:dyDescent="0.4">
      <c r="A38" s="40" t="s">
        <v>53</v>
      </c>
      <c r="B38" s="40" t="s">
        <v>409</v>
      </c>
      <c r="C38" s="135" t="s">
        <v>459</v>
      </c>
      <c r="D38" s="173" t="s">
        <v>3536</v>
      </c>
      <c r="E38" s="314" t="s">
        <v>3855</v>
      </c>
      <c r="F38" s="315" t="s">
        <v>3383</v>
      </c>
      <c r="G38" s="315" t="s">
        <v>3863</v>
      </c>
      <c r="H38" s="173" t="s">
        <v>3803</v>
      </c>
      <c r="I38" s="173"/>
      <c r="J38" s="194" t="s">
        <v>790</v>
      </c>
      <c r="K38" s="210" t="s">
        <v>11</v>
      </c>
      <c r="L38" s="168"/>
      <c r="M38" s="168" t="s">
        <v>3576</v>
      </c>
      <c r="N38" s="168"/>
      <c r="O38" s="87"/>
      <c r="P38" s="49" t="s">
        <v>988</v>
      </c>
      <c r="Q38" s="13" t="s">
        <v>11</v>
      </c>
      <c r="R38" s="82"/>
      <c r="S38" s="91" t="s">
        <v>3576</v>
      </c>
      <c r="T38" s="91"/>
      <c r="U38" s="87"/>
      <c r="V38" s="52" t="s">
        <v>1187</v>
      </c>
      <c r="W38" s="13" t="s">
        <v>11</v>
      </c>
      <c r="X38" s="82"/>
      <c r="Y38" s="91" t="s">
        <v>3576</v>
      </c>
      <c r="Z38" s="91"/>
      <c r="AA38" s="87"/>
      <c r="AB38" s="19" t="s">
        <v>1386</v>
      </c>
      <c r="AC38" s="13" t="s">
        <v>11</v>
      </c>
      <c r="AD38" s="82"/>
      <c r="AE38" s="91" t="s">
        <v>3576</v>
      </c>
      <c r="AF38" s="91"/>
      <c r="AG38" s="87"/>
      <c r="AH38" s="56" t="s">
        <v>1584</v>
      </c>
      <c r="AI38" s="13" t="s">
        <v>11</v>
      </c>
      <c r="AJ38" s="82"/>
      <c r="AK38" s="91" t="s">
        <v>3576</v>
      </c>
      <c r="AL38" s="91"/>
      <c r="AM38" s="105"/>
      <c r="AN38" s="23" t="s">
        <v>1783</v>
      </c>
      <c r="AO38" s="13" t="s">
        <v>11</v>
      </c>
      <c r="AP38" s="82"/>
      <c r="AQ38" s="91" t="s">
        <v>3576</v>
      </c>
      <c r="AR38" s="91"/>
      <c r="AS38" s="87"/>
      <c r="AT38" s="21" t="s">
        <v>1980</v>
      </c>
      <c r="AU38" s="13" t="s">
        <v>11</v>
      </c>
      <c r="AV38" s="82"/>
      <c r="AW38" s="91" t="s">
        <v>3576</v>
      </c>
      <c r="AX38" s="91"/>
      <c r="AY38" s="87"/>
      <c r="AZ38" s="22" t="s">
        <v>2176</v>
      </c>
      <c r="BA38" s="13" t="s">
        <v>11</v>
      </c>
      <c r="BB38" s="82"/>
      <c r="BC38" s="91" t="s">
        <v>3576</v>
      </c>
      <c r="BD38" s="91"/>
      <c r="BE38" s="87"/>
      <c r="BF38" s="24" t="s">
        <v>1783</v>
      </c>
      <c r="BG38" s="13" t="s">
        <v>11</v>
      </c>
      <c r="BH38" s="82"/>
      <c r="BI38" s="91" t="s">
        <v>3576</v>
      </c>
      <c r="BJ38" s="91"/>
      <c r="BK38" s="87"/>
      <c r="BL38" s="27" t="s">
        <v>2559</v>
      </c>
      <c r="BM38" s="13" t="s">
        <v>11</v>
      </c>
      <c r="BN38" s="82"/>
      <c r="BO38" s="91" t="s">
        <v>3576</v>
      </c>
      <c r="BP38" s="91"/>
      <c r="BQ38" s="105"/>
      <c r="BR38" s="72" t="s">
        <v>2757</v>
      </c>
      <c r="BS38" s="13" t="s">
        <v>0</v>
      </c>
      <c r="BT38" s="82" t="s">
        <v>12</v>
      </c>
      <c r="BU38" s="91" t="s">
        <v>3576</v>
      </c>
      <c r="BV38" s="91"/>
      <c r="BW38" s="87"/>
      <c r="BX38" s="49" t="s">
        <v>2931</v>
      </c>
      <c r="BY38" s="13" t="s">
        <v>0</v>
      </c>
      <c r="BZ38" s="82" t="s">
        <v>12</v>
      </c>
      <c r="CA38" s="91" t="s">
        <v>3576</v>
      </c>
      <c r="CB38" s="91"/>
      <c r="CC38" s="87"/>
      <c r="CD38" s="52" t="s">
        <v>3106</v>
      </c>
      <c r="CE38" s="13" t="s">
        <v>0</v>
      </c>
      <c r="CF38" s="82" t="s">
        <v>12</v>
      </c>
      <c r="CG38" s="91" t="s">
        <v>3576</v>
      </c>
      <c r="CH38" s="91"/>
      <c r="CI38" s="87"/>
      <c r="CJ38" s="19" t="s">
        <v>3248</v>
      </c>
      <c r="CK38" s="13" t="s">
        <v>0</v>
      </c>
      <c r="CL38" s="82" t="s">
        <v>12</v>
      </c>
      <c r="CM38" s="91" t="s">
        <v>3576</v>
      </c>
      <c r="CN38" s="91"/>
      <c r="CO38" s="87"/>
      <c r="CP38" s="56" t="s">
        <v>2757</v>
      </c>
      <c r="CQ38" s="13" t="s">
        <v>0</v>
      </c>
      <c r="CR38" s="82" t="s">
        <v>12</v>
      </c>
      <c r="CS38" s="91" t="s">
        <v>3576</v>
      </c>
      <c r="CT38" s="91"/>
      <c r="CU38" s="105"/>
    </row>
    <row r="39" spans="1:99" ht="42" customHeight="1" thickBot="1" x14ac:dyDescent="0.4">
      <c r="A39" s="40" t="s">
        <v>53</v>
      </c>
      <c r="B39" s="40" t="s">
        <v>415</v>
      </c>
      <c r="C39" s="135" t="s">
        <v>596</v>
      </c>
      <c r="D39" s="173" t="s">
        <v>3542</v>
      </c>
      <c r="E39" s="314" t="s">
        <v>3855</v>
      </c>
      <c r="F39" s="315" t="s">
        <v>3383</v>
      </c>
      <c r="G39" s="315" t="s">
        <v>3863</v>
      </c>
      <c r="H39" s="175" t="s">
        <v>3812</v>
      </c>
      <c r="I39" s="193" t="s">
        <v>3559</v>
      </c>
      <c r="J39" s="194" t="s">
        <v>796</v>
      </c>
      <c r="K39" s="199" t="s">
        <v>15</v>
      </c>
      <c r="L39" s="197" t="s">
        <v>9</v>
      </c>
      <c r="M39" s="168" t="s">
        <v>3576</v>
      </c>
      <c r="N39" s="168"/>
      <c r="O39" s="87"/>
      <c r="P39" s="49" t="s">
        <v>994</v>
      </c>
      <c r="Q39" s="13" t="s">
        <v>15</v>
      </c>
      <c r="R39" s="82" t="s">
        <v>9</v>
      </c>
      <c r="S39" s="91" t="s">
        <v>3576</v>
      </c>
      <c r="T39" s="91"/>
      <c r="U39" s="87"/>
      <c r="V39" s="52" t="s">
        <v>1193</v>
      </c>
      <c r="W39" s="13" t="s">
        <v>15</v>
      </c>
      <c r="X39" s="82" t="s">
        <v>9</v>
      </c>
      <c r="Y39" s="91" t="s">
        <v>3576</v>
      </c>
      <c r="Z39" s="91"/>
      <c r="AA39" s="87"/>
      <c r="AB39" s="19" t="s">
        <v>1392</v>
      </c>
      <c r="AC39" s="13" t="s">
        <v>15</v>
      </c>
      <c r="AD39" s="82" t="s">
        <v>9</v>
      </c>
      <c r="AE39" s="91" t="s">
        <v>3576</v>
      </c>
      <c r="AF39" s="91"/>
      <c r="AG39" s="87"/>
      <c r="AH39" s="56" t="s">
        <v>1590</v>
      </c>
      <c r="AI39" s="13" t="s">
        <v>15</v>
      </c>
      <c r="AJ39" s="82" t="s">
        <v>9</v>
      </c>
      <c r="AK39" s="91" t="s">
        <v>3576</v>
      </c>
      <c r="AL39" s="91"/>
      <c r="AM39" s="105"/>
      <c r="AN39" s="23" t="s">
        <v>1789</v>
      </c>
      <c r="AO39" s="13" t="s">
        <v>0</v>
      </c>
      <c r="AP39" s="82" t="s">
        <v>12</v>
      </c>
      <c r="AQ39" s="91" t="s">
        <v>3576</v>
      </c>
      <c r="AR39" s="91"/>
      <c r="AS39" s="87"/>
      <c r="AT39" s="21" t="s">
        <v>1986</v>
      </c>
      <c r="AU39" s="13" t="s">
        <v>0</v>
      </c>
      <c r="AV39" s="82" t="s">
        <v>12</v>
      </c>
      <c r="AW39" s="91" t="s">
        <v>3576</v>
      </c>
      <c r="AX39" s="91"/>
      <c r="AY39" s="87"/>
      <c r="AZ39" s="22" t="s">
        <v>2182</v>
      </c>
      <c r="BA39" s="13" t="s">
        <v>0</v>
      </c>
      <c r="BB39" s="82" t="s">
        <v>12</v>
      </c>
      <c r="BC39" s="91" t="s">
        <v>3576</v>
      </c>
      <c r="BD39" s="91"/>
      <c r="BE39" s="87"/>
      <c r="BF39" s="24" t="s">
        <v>2371</v>
      </c>
      <c r="BG39" s="13" t="s">
        <v>0</v>
      </c>
      <c r="BH39" s="82" t="s">
        <v>12</v>
      </c>
      <c r="BI39" s="91" t="s">
        <v>3576</v>
      </c>
      <c r="BJ39" s="91"/>
      <c r="BK39" s="87"/>
      <c r="BL39" s="27" t="s">
        <v>2564</v>
      </c>
      <c r="BM39" s="13" t="s">
        <v>0</v>
      </c>
      <c r="BN39" s="82" t="s">
        <v>12</v>
      </c>
      <c r="BO39" s="91" t="s">
        <v>3576</v>
      </c>
      <c r="BP39" s="91"/>
      <c r="BQ39" s="105"/>
      <c r="BR39" s="72" t="s">
        <v>2763</v>
      </c>
      <c r="BS39" s="13" t="s">
        <v>0</v>
      </c>
      <c r="BT39" s="82" t="s">
        <v>1</v>
      </c>
      <c r="BU39" s="91" t="s">
        <v>3576</v>
      </c>
      <c r="BV39" s="91"/>
      <c r="BW39" s="87"/>
      <c r="BX39" s="49" t="s">
        <v>2937</v>
      </c>
      <c r="BY39" s="13" t="s">
        <v>11</v>
      </c>
      <c r="BZ39" s="82"/>
      <c r="CA39" s="91" t="s">
        <v>3576</v>
      </c>
      <c r="CB39" s="91"/>
      <c r="CC39" s="87"/>
      <c r="CD39" s="52" t="s">
        <v>3112</v>
      </c>
      <c r="CE39" s="13" t="s">
        <v>0</v>
      </c>
      <c r="CF39" s="82" t="s">
        <v>1</v>
      </c>
      <c r="CG39" s="91" t="s">
        <v>3576</v>
      </c>
      <c r="CH39" s="91"/>
      <c r="CI39" s="87"/>
      <c r="CJ39" s="19" t="s">
        <v>3251</v>
      </c>
      <c r="CK39" s="13" t="s">
        <v>0</v>
      </c>
      <c r="CL39" s="82" t="s">
        <v>12</v>
      </c>
      <c r="CM39" s="91" t="s">
        <v>3576</v>
      </c>
      <c r="CN39" s="91"/>
      <c r="CO39" s="87"/>
      <c r="CP39" s="56" t="s">
        <v>3362</v>
      </c>
      <c r="CQ39" s="13" t="s">
        <v>0</v>
      </c>
      <c r="CR39" s="82" t="s">
        <v>12</v>
      </c>
      <c r="CS39" s="91" t="s">
        <v>3576</v>
      </c>
      <c r="CT39" s="91"/>
      <c r="CU39" s="105"/>
    </row>
    <row r="40" spans="1:99" ht="42" customHeight="1" thickBot="1" x14ac:dyDescent="0.4">
      <c r="A40" s="40" t="s">
        <v>53</v>
      </c>
      <c r="B40" s="40" t="s">
        <v>416</v>
      </c>
      <c r="C40" s="135" t="s">
        <v>597</v>
      </c>
      <c r="D40" s="175" t="s">
        <v>3543</v>
      </c>
      <c r="E40" s="314" t="s">
        <v>3855</v>
      </c>
      <c r="F40" s="315" t="s">
        <v>3387</v>
      </c>
      <c r="G40" s="315" t="s">
        <v>3861</v>
      </c>
      <c r="H40" s="268" t="s">
        <v>3580</v>
      </c>
      <c r="I40" s="343" t="s">
        <v>3584</v>
      </c>
      <c r="J40" s="194" t="s">
        <v>797</v>
      </c>
      <c r="K40" s="237" t="s">
        <v>15</v>
      </c>
      <c r="L40" s="235" t="s">
        <v>4</v>
      </c>
      <c r="M40" s="204" t="s">
        <v>3576</v>
      </c>
      <c r="N40" s="202"/>
      <c r="O40" s="87"/>
      <c r="P40" s="49" t="s">
        <v>995</v>
      </c>
      <c r="Q40" s="13" t="s">
        <v>15</v>
      </c>
      <c r="R40" s="82" t="s">
        <v>4</v>
      </c>
      <c r="S40" s="91" t="s">
        <v>3576</v>
      </c>
      <c r="T40" s="91"/>
      <c r="U40" s="87"/>
      <c r="V40" s="52" t="s">
        <v>1194</v>
      </c>
      <c r="W40" s="13" t="s">
        <v>15</v>
      </c>
      <c r="X40" s="82" t="s">
        <v>4</v>
      </c>
      <c r="Y40" s="91" t="s">
        <v>3576</v>
      </c>
      <c r="Z40" s="91"/>
      <c r="AA40" s="87"/>
      <c r="AB40" s="19" t="s">
        <v>1393</v>
      </c>
      <c r="AC40" s="13" t="s">
        <v>15</v>
      </c>
      <c r="AD40" s="82" t="s">
        <v>4</v>
      </c>
      <c r="AE40" s="91" t="s">
        <v>3576</v>
      </c>
      <c r="AF40" s="91"/>
      <c r="AG40" s="87"/>
      <c r="AH40" s="56" t="s">
        <v>1591</v>
      </c>
      <c r="AI40" s="13" t="s">
        <v>15</v>
      </c>
      <c r="AJ40" s="82" t="s">
        <v>4</v>
      </c>
      <c r="AK40" s="91" t="s">
        <v>3576</v>
      </c>
      <c r="AL40" s="91"/>
      <c r="AM40" s="105"/>
      <c r="AN40" s="23" t="s">
        <v>1790</v>
      </c>
      <c r="AO40" s="13" t="s">
        <v>15</v>
      </c>
      <c r="AP40" s="82" t="s">
        <v>4</v>
      </c>
      <c r="AQ40" s="91" t="s">
        <v>3576</v>
      </c>
      <c r="AR40" s="91"/>
      <c r="AS40" s="87"/>
      <c r="AT40" s="21" t="s">
        <v>1987</v>
      </c>
      <c r="AU40" s="13" t="s">
        <v>15</v>
      </c>
      <c r="AV40" s="82" t="s">
        <v>4</v>
      </c>
      <c r="AW40" s="91" t="s">
        <v>3576</v>
      </c>
      <c r="AX40" s="91"/>
      <c r="AY40" s="87"/>
      <c r="AZ40" s="22" t="s">
        <v>2183</v>
      </c>
      <c r="BA40" s="13" t="s">
        <v>15</v>
      </c>
      <c r="BB40" s="82" t="s">
        <v>4</v>
      </c>
      <c r="BC40" s="91" t="s">
        <v>3576</v>
      </c>
      <c r="BD40" s="91"/>
      <c r="BE40" s="87"/>
      <c r="BF40" s="24" t="s">
        <v>2372</v>
      </c>
      <c r="BG40" s="13" t="s">
        <v>0</v>
      </c>
      <c r="BH40" s="82" t="s">
        <v>12</v>
      </c>
      <c r="BI40" s="91" t="s">
        <v>3577</v>
      </c>
      <c r="BJ40" s="91"/>
      <c r="BK40" s="87"/>
      <c r="BL40" s="27" t="s">
        <v>2565</v>
      </c>
      <c r="BM40" s="13" t="s">
        <v>0</v>
      </c>
      <c r="BN40" s="82" t="s">
        <v>12</v>
      </c>
      <c r="BO40" s="91" t="s">
        <v>3577</v>
      </c>
      <c r="BP40" s="91"/>
      <c r="BQ40" s="105"/>
      <c r="BR40" s="72" t="s">
        <v>2764</v>
      </c>
      <c r="BS40" s="13" t="s">
        <v>0</v>
      </c>
      <c r="BT40" s="82" t="s">
        <v>12</v>
      </c>
      <c r="BU40" s="91" t="s">
        <v>3577</v>
      </c>
      <c r="BV40" s="91"/>
      <c r="BW40" s="87"/>
      <c r="BX40" s="49" t="s">
        <v>3813</v>
      </c>
      <c r="BY40" s="13" t="s">
        <v>15</v>
      </c>
      <c r="BZ40" s="82" t="s">
        <v>4</v>
      </c>
      <c r="CA40" s="91" t="s">
        <v>3576</v>
      </c>
      <c r="CB40" s="91"/>
      <c r="CC40" s="87"/>
      <c r="CD40" s="52" t="s">
        <v>3113</v>
      </c>
      <c r="CE40" s="13" t="s">
        <v>0</v>
      </c>
      <c r="CF40" s="82" t="s">
        <v>12</v>
      </c>
      <c r="CG40" s="91" t="s">
        <v>3577</v>
      </c>
      <c r="CH40" s="91"/>
      <c r="CI40" s="87"/>
      <c r="CJ40" s="19" t="s">
        <v>3252</v>
      </c>
      <c r="CK40" s="13" t="s">
        <v>0</v>
      </c>
      <c r="CL40" s="82" t="s">
        <v>12</v>
      </c>
      <c r="CM40" s="91" t="s">
        <v>3577</v>
      </c>
      <c r="CN40" s="91"/>
      <c r="CO40" s="87"/>
      <c r="CP40" s="56" t="s">
        <v>3363</v>
      </c>
      <c r="CQ40" s="13" t="s">
        <v>0</v>
      </c>
      <c r="CR40" s="82" t="s">
        <v>12</v>
      </c>
      <c r="CS40" s="91" t="s">
        <v>3577</v>
      </c>
      <c r="CT40" s="91"/>
      <c r="CU40" s="105"/>
    </row>
    <row r="41" spans="1:99" ht="82" customHeight="1" thickBot="1" x14ac:dyDescent="0.4">
      <c r="A41" s="40" t="s">
        <v>53</v>
      </c>
      <c r="B41" s="40" t="s">
        <v>417</v>
      </c>
      <c r="C41" s="135" t="s">
        <v>598</v>
      </c>
      <c r="D41" s="176" t="s">
        <v>3544</v>
      </c>
      <c r="E41" s="323" t="s">
        <v>3869</v>
      </c>
      <c r="F41" s="324" t="s">
        <v>3392</v>
      </c>
      <c r="G41" s="324" t="s">
        <v>3870</v>
      </c>
      <c r="H41" s="175" t="s">
        <v>3814</v>
      </c>
      <c r="I41" s="219" t="s">
        <v>3559</v>
      </c>
      <c r="J41" s="196" t="s">
        <v>798</v>
      </c>
      <c r="K41" s="199" t="s">
        <v>15</v>
      </c>
      <c r="L41" s="197" t="s">
        <v>20</v>
      </c>
      <c r="M41" s="168" t="s">
        <v>3577</v>
      </c>
      <c r="N41" s="215"/>
      <c r="O41" s="87"/>
      <c r="P41" s="49" t="s">
        <v>996</v>
      </c>
      <c r="Q41" s="13" t="s">
        <v>0</v>
      </c>
      <c r="R41" s="82" t="s">
        <v>12</v>
      </c>
      <c r="S41" s="91" t="s">
        <v>3577</v>
      </c>
      <c r="T41" s="91"/>
      <c r="U41" s="87"/>
      <c r="V41" s="52" t="s">
        <v>1195</v>
      </c>
      <c r="W41" s="13" t="s">
        <v>0</v>
      </c>
      <c r="X41" s="82" t="s">
        <v>12</v>
      </c>
      <c r="Y41" s="91" t="s">
        <v>3577</v>
      </c>
      <c r="Z41" s="91"/>
      <c r="AA41" s="87"/>
      <c r="AB41" s="19" t="s">
        <v>1394</v>
      </c>
      <c r="AC41" s="13" t="s">
        <v>15</v>
      </c>
      <c r="AD41" s="82" t="s">
        <v>20</v>
      </c>
      <c r="AE41" s="91" t="s">
        <v>3577</v>
      </c>
      <c r="AF41" s="91"/>
      <c r="AG41" s="87"/>
      <c r="AH41" s="56" t="s">
        <v>1592</v>
      </c>
      <c r="AI41" s="13" t="s">
        <v>15</v>
      </c>
      <c r="AJ41" s="82" t="s">
        <v>20</v>
      </c>
      <c r="AK41" s="91" t="s">
        <v>3577</v>
      </c>
      <c r="AL41" s="91"/>
      <c r="AM41" s="105"/>
      <c r="AN41" s="23" t="s">
        <v>1791</v>
      </c>
      <c r="AO41" s="13" t="s">
        <v>0</v>
      </c>
      <c r="AP41" s="82" t="s">
        <v>12</v>
      </c>
      <c r="AQ41" s="91" t="s">
        <v>3577</v>
      </c>
      <c r="AR41" s="91"/>
      <c r="AS41" s="87"/>
      <c r="AT41" s="21" t="s">
        <v>1988</v>
      </c>
      <c r="AU41" s="13" t="s">
        <v>0</v>
      </c>
      <c r="AV41" s="82" t="s">
        <v>12</v>
      </c>
      <c r="AW41" s="91" t="s">
        <v>3577</v>
      </c>
      <c r="AX41" s="91"/>
      <c r="AY41" s="87"/>
      <c r="AZ41" s="22" t="s">
        <v>2184</v>
      </c>
      <c r="BA41" s="13" t="s">
        <v>0</v>
      </c>
      <c r="BB41" s="82" t="s">
        <v>12</v>
      </c>
      <c r="BC41" s="91" t="s">
        <v>3577</v>
      </c>
      <c r="BD41" s="91"/>
      <c r="BE41" s="87"/>
      <c r="BF41" s="24" t="s">
        <v>2373</v>
      </c>
      <c r="BG41" s="13" t="s">
        <v>0</v>
      </c>
      <c r="BH41" s="82" t="s">
        <v>12</v>
      </c>
      <c r="BI41" s="91" t="s">
        <v>3576</v>
      </c>
      <c r="BJ41" s="91"/>
      <c r="BK41" s="87"/>
      <c r="BL41" s="27" t="s">
        <v>2566</v>
      </c>
      <c r="BM41" s="13" t="s">
        <v>0</v>
      </c>
      <c r="BN41" s="82" t="s">
        <v>12</v>
      </c>
      <c r="BO41" s="91" t="s">
        <v>3577</v>
      </c>
      <c r="BP41" s="91"/>
      <c r="BQ41" s="105"/>
      <c r="BR41" s="72" t="s">
        <v>2765</v>
      </c>
      <c r="BS41" s="13" t="s">
        <v>0</v>
      </c>
      <c r="BT41" s="82" t="s">
        <v>12</v>
      </c>
      <c r="BU41" s="91" t="s">
        <v>3576</v>
      </c>
      <c r="BV41" s="91"/>
      <c r="BW41" s="87"/>
      <c r="BX41" s="49" t="s">
        <v>2938</v>
      </c>
      <c r="BY41" s="13" t="s">
        <v>11</v>
      </c>
      <c r="BZ41" s="82"/>
      <c r="CA41" s="91" t="s">
        <v>3576</v>
      </c>
      <c r="CB41" s="91"/>
      <c r="CC41" s="87"/>
      <c r="CD41" s="52" t="s">
        <v>3114</v>
      </c>
      <c r="CE41" s="13" t="s">
        <v>0</v>
      </c>
      <c r="CF41" s="82" t="s">
        <v>12</v>
      </c>
      <c r="CG41" s="91" t="s">
        <v>3576</v>
      </c>
      <c r="CH41" s="91"/>
      <c r="CI41" s="87"/>
      <c r="CJ41" s="19" t="s">
        <v>3253</v>
      </c>
      <c r="CK41" s="13" t="s">
        <v>0</v>
      </c>
      <c r="CL41" s="82" t="s">
        <v>12</v>
      </c>
      <c r="CM41" s="91" t="s">
        <v>3576</v>
      </c>
      <c r="CN41" s="91"/>
      <c r="CO41" s="87"/>
      <c r="CP41" s="56" t="s">
        <v>3253</v>
      </c>
      <c r="CQ41" s="13" t="s">
        <v>0</v>
      </c>
      <c r="CR41" s="82" t="s">
        <v>12</v>
      </c>
      <c r="CS41" s="91" t="s">
        <v>3576</v>
      </c>
      <c r="CT41" s="91"/>
      <c r="CU41" s="105"/>
    </row>
    <row r="42" spans="1:99" ht="68.5" customHeight="1" thickBot="1" x14ac:dyDescent="0.4">
      <c r="A42" s="40" t="s">
        <v>53</v>
      </c>
      <c r="B42" s="40" t="s">
        <v>419</v>
      </c>
      <c r="C42" s="135" t="s">
        <v>600</v>
      </c>
      <c r="D42" s="221" t="s">
        <v>3546</v>
      </c>
      <c r="E42" s="314" t="s">
        <v>3855</v>
      </c>
      <c r="F42" s="315" t="s">
        <v>3387</v>
      </c>
      <c r="G42" s="315" t="s">
        <v>3861</v>
      </c>
      <c r="H42" s="221" t="s">
        <v>3817</v>
      </c>
      <c r="I42" s="227" t="s">
        <v>3559</v>
      </c>
      <c r="J42" s="225" t="s">
        <v>800</v>
      </c>
      <c r="K42" s="231" t="s">
        <v>15</v>
      </c>
      <c r="L42" s="230" t="s">
        <v>9</v>
      </c>
      <c r="M42" s="217" t="s">
        <v>3576</v>
      </c>
      <c r="N42" s="235"/>
      <c r="O42" s="87"/>
      <c r="P42" s="49" t="s">
        <v>997</v>
      </c>
      <c r="Q42" s="13" t="s">
        <v>15</v>
      </c>
      <c r="R42" s="82" t="s">
        <v>9</v>
      </c>
      <c r="S42" s="91" t="s">
        <v>3577</v>
      </c>
      <c r="T42" s="91"/>
      <c r="U42" s="87"/>
      <c r="V42" s="52" t="s">
        <v>1197</v>
      </c>
      <c r="W42" s="13" t="s">
        <v>15</v>
      </c>
      <c r="X42" s="82" t="s">
        <v>9</v>
      </c>
      <c r="Y42" s="91" t="s">
        <v>3577</v>
      </c>
      <c r="Z42" s="91"/>
      <c r="AA42" s="87"/>
      <c r="AB42" s="19" t="s">
        <v>1396</v>
      </c>
      <c r="AC42" s="13" t="s">
        <v>15</v>
      </c>
      <c r="AD42" s="82" t="s">
        <v>9</v>
      </c>
      <c r="AE42" s="91" t="s">
        <v>3576</v>
      </c>
      <c r="AF42" s="91"/>
      <c r="AG42" s="87"/>
      <c r="AH42" s="56" t="s">
        <v>1594</v>
      </c>
      <c r="AI42" s="13" t="s">
        <v>15</v>
      </c>
      <c r="AJ42" s="82" t="s">
        <v>9</v>
      </c>
      <c r="AK42" s="91" t="s">
        <v>3576</v>
      </c>
      <c r="AL42" s="91"/>
      <c r="AM42" s="105"/>
      <c r="AN42" s="23" t="s">
        <v>1793</v>
      </c>
      <c r="AO42" s="13" t="s">
        <v>15</v>
      </c>
      <c r="AP42" s="82" t="s">
        <v>19</v>
      </c>
      <c r="AQ42" s="91" t="s">
        <v>3577</v>
      </c>
      <c r="AR42" s="91"/>
      <c r="AS42" s="87"/>
      <c r="AT42" s="21" t="s">
        <v>1990</v>
      </c>
      <c r="AU42" s="13" t="s">
        <v>15</v>
      </c>
      <c r="AV42" s="82" t="s">
        <v>19</v>
      </c>
      <c r="AW42" s="91" t="s">
        <v>3577</v>
      </c>
      <c r="AX42" s="91"/>
      <c r="AY42" s="87"/>
      <c r="AZ42" s="22" t="s">
        <v>2186</v>
      </c>
      <c r="BA42" s="13" t="s">
        <v>15</v>
      </c>
      <c r="BB42" s="82" t="s">
        <v>19</v>
      </c>
      <c r="BC42" s="91" t="s">
        <v>3577</v>
      </c>
      <c r="BD42" s="91"/>
      <c r="BE42" s="87"/>
      <c r="BF42" s="24" t="s">
        <v>2375</v>
      </c>
      <c r="BG42" s="13" t="s">
        <v>0</v>
      </c>
      <c r="BH42" s="82" t="s">
        <v>12</v>
      </c>
      <c r="BI42" s="91" t="s">
        <v>3576</v>
      </c>
      <c r="BJ42" s="91"/>
      <c r="BK42" s="87"/>
      <c r="BL42" s="27" t="s">
        <v>2568</v>
      </c>
      <c r="BM42" s="13" t="s">
        <v>0</v>
      </c>
      <c r="BN42" s="82" t="s">
        <v>12</v>
      </c>
      <c r="BO42" s="91" t="s">
        <v>3576</v>
      </c>
      <c r="BP42" s="91"/>
      <c r="BQ42" s="105"/>
      <c r="BR42" s="72" t="s">
        <v>2767</v>
      </c>
      <c r="BS42" s="13" t="s">
        <v>15</v>
      </c>
      <c r="BT42" s="82" t="s">
        <v>4</v>
      </c>
      <c r="BU42" s="91" t="s">
        <v>3576</v>
      </c>
      <c r="BV42" s="91"/>
      <c r="BW42" s="87"/>
      <c r="BX42" s="49" t="s">
        <v>2940</v>
      </c>
      <c r="BY42" s="13" t="s">
        <v>15</v>
      </c>
      <c r="BZ42" s="82" t="s">
        <v>4</v>
      </c>
      <c r="CA42" s="91" t="s">
        <v>3576</v>
      </c>
      <c r="CB42" s="91"/>
      <c r="CC42" s="87"/>
      <c r="CD42" s="52" t="s">
        <v>3116</v>
      </c>
      <c r="CE42" s="13" t="s">
        <v>15</v>
      </c>
      <c r="CF42" s="82" t="s">
        <v>4</v>
      </c>
      <c r="CG42" s="91" t="s">
        <v>3576</v>
      </c>
      <c r="CH42" s="91"/>
      <c r="CI42" s="87"/>
      <c r="CJ42" s="19" t="s">
        <v>2940</v>
      </c>
      <c r="CK42" s="13" t="s">
        <v>15</v>
      </c>
      <c r="CL42" s="82" t="s">
        <v>4</v>
      </c>
      <c r="CM42" s="91" t="s">
        <v>3576</v>
      </c>
      <c r="CN42" s="91"/>
      <c r="CO42" s="87"/>
      <c r="CP42" s="56" t="s">
        <v>2940</v>
      </c>
      <c r="CQ42" s="13" t="s">
        <v>15</v>
      </c>
      <c r="CR42" s="82" t="s">
        <v>4</v>
      </c>
      <c r="CS42" s="91" t="s">
        <v>3576</v>
      </c>
      <c r="CT42" s="91"/>
      <c r="CU42" s="105"/>
    </row>
    <row r="43" spans="1:99" ht="42" customHeight="1" thickBot="1" x14ac:dyDescent="0.4">
      <c r="A43" s="40" t="s">
        <v>53</v>
      </c>
      <c r="B43" s="40" t="s">
        <v>422</v>
      </c>
      <c r="C43" s="135" t="s">
        <v>603</v>
      </c>
      <c r="D43" s="296" t="s">
        <v>3548</v>
      </c>
      <c r="E43" s="314" t="s">
        <v>3855</v>
      </c>
      <c r="F43" s="315" t="s">
        <v>3371</v>
      </c>
      <c r="G43" s="315" t="s">
        <v>3859</v>
      </c>
      <c r="H43" s="296" t="s">
        <v>3821</v>
      </c>
      <c r="I43" s="296" t="s">
        <v>3559</v>
      </c>
      <c r="J43" s="185" t="s">
        <v>803</v>
      </c>
      <c r="K43" s="252" t="s">
        <v>15</v>
      </c>
      <c r="L43" s="250" t="s">
        <v>4</v>
      </c>
      <c r="M43" s="168" t="s">
        <v>3576</v>
      </c>
      <c r="N43" s="197"/>
      <c r="O43" s="87"/>
      <c r="P43" s="49" t="s">
        <v>1000</v>
      </c>
      <c r="Q43" s="13" t="s">
        <v>11</v>
      </c>
      <c r="R43" s="82"/>
      <c r="S43" s="91" t="s">
        <v>3576</v>
      </c>
      <c r="T43" s="91"/>
      <c r="U43" s="87"/>
      <c r="V43" s="52" t="s">
        <v>1200</v>
      </c>
      <c r="W43" s="13" t="s">
        <v>15</v>
      </c>
      <c r="X43" s="82" t="s">
        <v>19</v>
      </c>
      <c r="Y43" s="91" t="s">
        <v>3577</v>
      </c>
      <c r="Z43" s="91"/>
      <c r="AA43" s="87"/>
      <c r="AB43" s="19" t="s">
        <v>1399</v>
      </c>
      <c r="AC43" s="13" t="s">
        <v>15</v>
      </c>
      <c r="AD43" s="82" t="s">
        <v>19</v>
      </c>
      <c r="AE43" s="91" t="s">
        <v>3577</v>
      </c>
      <c r="AF43" s="91"/>
      <c r="AG43" s="87"/>
      <c r="AH43" s="56" t="s">
        <v>1597</v>
      </c>
      <c r="AI43" s="13" t="s">
        <v>15</v>
      </c>
      <c r="AJ43" s="82" t="s">
        <v>4</v>
      </c>
      <c r="AK43" s="91" t="s">
        <v>3576</v>
      </c>
      <c r="AL43" s="91"/>
      <c r="AM43" s="105"/>
      <c r="AN43" s="23" t="s">
        <v>1796</v>
      </c>
      <c r="AO43" s="13" t="s">
        <v>15</v>
      </c>
      <c r="AP43" s="82" t="s">
        <v>9</v>
      </c>
      <c r="AQ43" s="91" t="s">
        <v>3576</v>
      </c>
      <c r="AR43" s="91"/>
      <c r="AS43" s="87"/>
      <c r="AT43" s="21" t="s">
        <v>1993</v>
      </c>
      <c r="AU43" s="13" t="s">
        <v>15</v>
      </c>
      <c r="AV43" s="82" t="s">
        <v>9</v>
      </c>
      <c r="AW43" s="91" t="s">
        <v>3576</v>
      </c>
      <c r="AX43" s="91"/>
      <c r="AY43" s="87"/>
      <c r="AZ43" s="22" t="s">
        <v>2189</v>
      </c>
      <c r="BA43" s="13" t="s">
        <v>11</v>
      </c>
      <c r="BB43" s="82"/>
      <c r="BC43" s="91" t="s">
        <v>3576</v>
      </c>
      <c r="BD43" s="91"/>
      <c r="BE43" s="87"/>
      <c r="BF43" s="24" t="s">
        <v>2378</v>
      </c>
      <c r="BG43" s="13" t="s">
        <v>11</v>
      </c>
      <c r="BH43" s="82"/>
      <c r="BI43" s="91" t="s">
        <v>3576</v>
      </c>
      <c r="BJ43" s="91"/>
      <c r="BK43" s="87"/>
      <c r="BL43" s="27" t="s">
        <v>2571</v>
      </c>
      <c r="BM43" s="13" t="s">
        <v>11</v>
      </c>
      <c r="BN43" s="82"/>
      <c r="BO43" s="91" t="s">
        <v>3576</v>
      </c>
      <c r="BP43" s="91"/>
      <c r="BQ43" s="105"/>
      <c r="BR43" s="72" t="s">
        <v>2770</v>
      </c>
      <c r="BS43" s="13" t="s">
        <v>0</v>
      </c>
      <c r="BT43" s="82" t="s">
        <v>1</v>
      </c>
      <c r="BU43" s="91" t="s">
        <v>3576</v>
      </c>
      <c r="BV43" s="91"/>
      <c r="BW43" s="87"/>
      <c r="BX43" s="49" t="s">
        <v>2943</v>
      </c>
      <c r="BY43" s="13" t="s">
        <v>0</v>
      </c>
      <c r="BZ43" s="82" t="s">
        <v>1</v>
      </c>
      <c r="CA43" s="91" t="s">
        <v>3576</v>
      </c>
      <c r="CB43" s="91"/>
      <c r="CC43" s="87"/>
      <c r="CD43" s="52" t="s">
        <v>3119</v>
      </c>
      <c r="CE43" s="13" t="s">
        <v>15</v>
      </c>
      <c r="CF43" s="82" t="s">
        <v>4</v>
      </c>
      <c r="CG43" s="91" t="s">
        <v>3576</v>
      </c>
      <c r="CH43" s="91"/>
      <c r="CI43" s="87"/>
      <c r="CJ43" s="19" t="s">
        <v>3257</v>
      </c>
      <c r="CK43" s="13" t="s">
        <v>0</v>
      </c>
      <c r="CL43" s="82" t="s">
        <v>1</v>
      </c>
      <c r="CM43" s="91" t="s">
        <v>3576</v>
      </c>
      <c r="CN43" s="91"/>
      <c r="CO43" s="87"/>
      <c r="CP43" s="56" t="s">
        <v>3367</v>
      </c>
      <c r="CQ43" s="13" t="s">
        <v>0</v>
      </c>
      <c r="CR43" s="82" t="s">
        <v>1</v>
      </c>
      <c r="CS43" s="91" t="s">
        <v>3576</v>
      </c>
      <c r="CT43" s="91"/>
      <c r="CU43" s="105"/>
    </row>
    <row r="44" spans="1:99" ht="14" customHeight="1" thickBot="1" x14ac:dyDescent="0.4">
      <c r="A44" s="40" t="s">
        <v>53</v>
      </c>
      <c r="B44" s="40" t="s">
        <v>426</v>
      </c>
      <c r="C44" s="135" t="s">
        <v>607</v>
      </c>
      <c r="D44" s="205" t="s">
        <v>3551</v>
      </c>
      <c r="E44" s="314" t="s">
        <v>3855</v>
      </c>
      <c r="F44" s="315" t="s">
        <v>3387</v>
      </c>
      <c r="G44" s="315" t="s">
        <v>3861</v>
      </c>
      <c r="H44" s="176" t="s">
        <v>3823</v>
      </c>
      <c r="I44" s="219" t="s">
        <v>3559</v>
      </c>
      <c r="J44" s="194" t="s">
        <v>807</v>
      </c>
      <c r="K44" s="218" t="s">
        <v>0</v>
      </c>
      <c r="L44" s="251" t="s">
        <v>12</v>
      </c>
      <c r="M44" s="204" t="s">
        <v>3577</v>
      </c>
      <c r="N44" s="168"/>
      <c r="O44" s="351"/>
      <c r="P44" s="49" t="s">
        <v>1004</v>
      </c>
      <c r="Q44" s="13" t="s">
        <v>0</v>
      </c>
      <c r="R44" s="82" t="s">
        <v>12</v>
      </c>
      <c r="S44" s="91" t="s">
        <v>3577</v>
      </c>
      <c r="T44" s="91"/>
      <c r="U44" s="351"/>
      <c r="V44" s="52" t="s">
        <v>1204</v>
      </c>
      <c r="W44" s="13" t="s">
        <v>0</v>
      </c>
      <c r="X44" s="82" t="s">
        <v>12</v>
      </c>
      <c r="Y44" s="91" t="s">
        <v>3577</v>
      </c>
      <c r="Z44" s="91"/>
      <c r="AA44" s="351"/>
      <c r="AB44" s="19" t="s">
        <v>1403</v>
      </c>
      <c r="AC44" s="13" t="s">
        <v>0</v>
      </c>
      <c r="AD44" s="82" t="s">
        <v>12</v>
      </c>
      <c r="AE44" s="91" t="s">
        <v>3577</v>
      </c>
      <c r="AF44" s="91"/>
      <c r="AG44" s="351"/>
      <c r="AH44" s="56" t="s">
        <v>1601</v>
      </c>
      <c r="AI44" s="13" t="s">
        <v>0</v>
      </c>
      <c r="AJ44" s="82" t="s">
        <v>12</v>
      </c>
      <c r="AK44" s="91" t="s">
        <v>3577</v>
      </c>
      <c r="AL44" s="91"/>
      <c r="AM44" s="353"/>
      <c r="AN44" s="23" t="s">
        <v>1800</v>
      </c>
      <c r="AO44" s="13" t="s">
        <v>15</v>
      </c>
      <c r="AP44" s="82" t="s">
        <v>20</v>
      </c>
      <c r="AQ44" s="91" t="s">
        <v>3576</v>
      </c>
      <c r="AR44" s="91"/>
      <c r="AS44" s="351"/>
      <c r="AT44" s="21" t="s">
        <v>1997</v>
      </c>
      <c r="AU44" s="13" t="s">
        <v>0</v>
      </c>
      <c r="AV44" s="82" t="s">
        <v>12</v>
      </c>
      <c r="AW44" s="91" t="s">
        <v>3577</v>
      </c>
      <c r="AX44" s="91"/>
      <c r="AY44" s="351"/>
      <c r="AZ44" s="22" t="s">
        <v>2193</v>
      </c>
      <c r="BA44" s="13" t="s">
        <v>0</v>
      </c>
      <c r="BB44" s="82" t="s">
        <v>12</v>
      </c>
      <c r="BC44" s="91" t="s">
        <v>3577</v>
      </c>
      <c r="BD44" s="91"/>
      <c r="BE44" s="351"/>
      <c r="BF44" s="24" t="s">
        <v>2381</v>
      </c>
      <c r="BG44" s="13" t="s">
        <v>15</v>
      </c>
      <c r="BH44" s="82" t="s">
        <v>20</v>
      </c>
      <c r="BI44" s="91" t="s">
        <v>3576</v>
      </c>
      <c r="BJ44" s="91"/>
      <c r="BK44" s="351"/>
      <c r="BL44" s="27" t="s">
        <v>2575</v>
      </c>
      <c r="BM44" s="13" t="s">
        <v>0</v>
      </c>
      <c r="BN44" s="82" t="s">
        <v>12</v>
      </c>
      <c r="BO44" s="91" t="s">
        <v>3577</v>
      </c>
      <c r="BP44" s="91"/>
      <c r="BQ44" s="105"/>
      <c r="BR44" s="72" t="s">
        <v>2774</v>
      </c>
      <c r="BS44" s="13" t="s">
        <v>0</v>
      </c>
      <c r="BT44" s="82" t="s">
        <v>12</v>
      </c>
      <c r="BU44" s="91" t="s">
        <v>3577</v>
      </c>
      <c r="BV44" s="91"/>
      <c r="BW44" s="351"/>
      <c r="BX44" s="49" t="s">
        <v>2946</v>
      </c>
      <c r="BY44" s="13" t="s">
        <v>0</v>
      </c>
      <c r="BZ44" s="82" t="s">
        <v>12</v>
      </c>
      <c r="CA44" s="91" t="s">
        <v>3577</v>
      </c>
      <c r="CB44" s="91"/>
      <c r="CC44" s="87"/>
      <c r="CD44" s="52" t="s">
        <v>3123</v>
      </c>
      <c r="CE44" s="13" t="s">
        <v>0</v>
      </c>
      <c r="CF44" s="82" t="s">
        <v>12</v>
      </c>
      <c r="CG44" s="91" t="s">
        <v>3577</v>
      </c>
      <c r="CH44" s="91"/>
      <c r="CI44" s="87"/>
      <c r="CJ44" s="19" t="s">
        <v>2774</v>
      </c>
      <c r="CK44" s="13" t="s">
        <v>0</v>
      </c>
      <c r="CL44" s="82" t="s">
        <v>12</v>
      </c>
      <c r="CM44" s="91" t="s">
        <v>3577</v>
      </c>
      <c r="CN44" s="91"/>
      <c r="CO44" s="87"/>
      <c r="CP44" s="56" t="s">
        <v>2774</v>
      </c>
      <c r="CQ44" s="13" t="s">
        <v>0</v>
      </c>
      <c r="CR44" s="82" t="s">
        <v>12</v>
      </c>
      <c r="CS44" s="91" t="s">
        <v>3577</v>
      </c>
      <c r="CT44" s="91"/>
      <c r="CU44" s="353"/>
    </row>
    <row r="45" spans="1:99" ht="42" customHeight="1" thickBot="1" x14ac:dyDescent="0.4">
      <c r="A45" s="40" t="s">
        <v>200</v>
      </c>
      <c r="B45" s="40" t="s">
        <v>386</v>
      </c>
      <c r="C45" s="135" t="s">
        <v>517</v>
      </c>
      <c r="D45" s="175" t="s">
        <v>3518</v>
      </c>
      <c r="E45" s="314" t="s">
        <v>3855</v>
      </c>
      <c r="F45" s="315" t="s">
        <v>3376</v>
      </c>
      <c r="G45" s="315" t="s">
        <v>3856</v>
      </c>
      <c r="H45" s="175" t="s">
        <v>3619</v>
      </c>
      <c r="I45" s="192" t="s">
        <v>3559</v>
      </c>
      <c r="J45" s="194" t="s">
        <v>767</v>
      </c>
      <c r="K45" s="211" t="s">
        <v>15</v>
      </c>
      <c r="L45" s="244" t="s">
        <v>20</v>
      </c>
      <c r="M45" s="168" t="s">
        <v>3576</v>
      </c>
      <c r="N45" s="168"/>
      <c r="O45" s="87"/>
      <c r="P45" s="49" t="s">
        <v>767</v>
      </c>
      <c r="Q45" s="13" t="s">
        <v>15</v>
      </c>
      <c r="R45" s="82" t="s">
        <v>20</v>
      </c>
      <c r="S45" s="91" t="s">
        <v>3577</v>
      </c>
      <c r="T45" s="91"/>
      <c r="U45" s="87"/>
      <c r="V45" s="52" t="s">
        <v>1164</v>
      </c>
      <c r="W45" s="13" t="s">
        <v>15</v>
      </c>
      <c r="X45" s="82" t="s">
        <v>20</v>
      </c>
      <c r="Y45" s="91" t="s">
        <v>3577</v>
      </c>
      <c r="Z45" s="91"/>
      <c r="AA45" s="87"/>
      <c r="AB45" s="19" t="s">
        <v>1363</v>
      </c>
      <c r="AC45" s="13" t="s">
        <v>6</v>
      </c>
      <c r="AD45" s="82" t="s">
        <v>8</v>
      </c>
      <c r="AE45" s="91" t="s">
        <v>3576</v>
      </c>
      <c r="AF45" s="91"/>
      <c r="AG45" s="87"/>
      <c r="AH45" s="56" t="s">
        <v>1561</v>
      </c>
      <c r="AI45" s="13" t="s">
        <v>15</v>
      </c>
      <c r="AJ45" s="82" t="s">
        <v>20</v>
      </c>
      <c r="AK45" s="91" t="s">
        <v>3577</v>
      </c>
      <c r="AL45" s="91"/>
      <c r="AM45" s="105"/>
      <c r="AN45" s="23" t="s">
        <v>1760</v>
      </c>
      <c r="AO45" s="13" t="s">
        <v>15</v>
      </c>
      <c r="AP45" s="82" t="s">
        <v>20</v>
      </c>
      <c r="AQ45" s="91" t="s">
        <v>3577</v>
      </c>
      <c r="AR45" s="91"/>
      <c r="AS45" s="87"/>
      <c r="AT45" s="21" t="s">
        <v>1957</v>
      </c>
      <c r="AU45" s="13" t="s">
        <v>15</v>
      </c>
      <c r="AV45" s="82" t="s">
        <v>20</v>
      </c>
      <c r="AW45" s="91" t="s">
        <v>3577</v>
      </c>
      <c r="AX45" s="91"/>
      <c r="AY45" s="87"/>
      <c r="AZ45" s="22" t="s">
        <v>2153</v>
      </c>
      <c r="BA45" s="13" t="s">
        <v>15</v>
      </c>
      <c r="BB45" s="82" t="s">
        <v>20</v>
      </c>
      <c r="BC45" s="91" t="s">
        <v>3577</v>
      </c>
      <c r="BD45" s="91"/>
      <c r="BE45" s="87"/>
      <c r="BF45" s="24" t="s">
        <v>2344</v>
      </c>
      <c r="BG45" s="13" t="s">
        <v>15</v>
      </c>
      <c r="BH45" s="82" t="s">
        <v>20</v>
      </c>
      <c r="BI45" s="91" t="s">
        <v>3577</v>
      </c>
      <c r="BJ45" s="91"/>
      <c r="BK45" s="87"/>
      <c r="BL45" s="27" t="s">
        <v>2536</v>
      </c>
      <c r="BM45" s="13" t="s">
        <v>15</v>
      </c>
      <c r="BN45" s="82" t="s">
        <v>20</v>
      </c>
      <c r="BO45" s="91" t="s">
        <v>3577</v>
      </c>
      <c r="BP45" s="91"/>
      <c r="BQ45" s="105"/>
      <c r="BR45" s="72" t="s">
        <v>2734</v>
      </c>
      <c r="BS45" s="13" t="s">
        <v>0</v>
      </c>
      <c r="BT45" s="82" t="s">
        <v>12</v>
      </c>
      <c r="BU45" s="91" t="s">
        <v>3577</v>
      </c>
      <c r="BV45" s="91"/>
      <c r="BW45" s="87"/>
      <c r="BX45" s="49" t="s">
        <v>2911</v>
      </c>
      <c r="BY45" s="13" t="s">
        <v>15</v>
      </c>
      <c r="BZ45" s="82" t="s">
        <v>19</v>
      </c>
      <c r="CA45" s="91" t="s">
        <v>3577</v>
      </c>
      <c r="CB45" s="91"/>
      <c r="CC45" s="87"/>
      <c r="CD45" s="52" t="s">
        <v>3086</v>
      </c>
      <c r="CE45" s="13" t="s">
        <v>0</v>
      </c>
      <c r="CF45" s="82" t="s">
        <v>12</v>
      </c>
      <c r="CG45" s="91" t="s">
        <v>3577</v>
      </c>
      <c r="CH45" s="91"/>
      <c r="CI45" s="87"/>
      <c r="CJ45" s="19" t="s">
        <v>2734</v>
      </c>
      <c r="CK45" s="13" t="s">
        <v>0</v>
      </c>
      <c r="CL45" s="82" t="s">
        <v>12</v>
      </c>
      <c r="CM45" s="91" t="s">
        <v>3577</v>
      </c>
      <c r="CN45" s="91"/>
      <c r="CO45" s="87"/>
      <c r="CP45" s="56" t="s">
        <v>2734</v>
      </c>
      <c r="CQ45" s="13" t="s">
        <v>0</v>
      </c>
      <c r="CR45" s="82" t="s">
        <v>12</v>
      </c>
      <c r="CS45" s="91" t="s">
        <v>3577</v>
      </c>
      <c r="CT45" s="91"/>
      <c r="CU45" s="105"/>
    </row>
    <row r="46" spans="1:99" ht="42" customHeight="1" thickBot="1" x14ac:dyDescent="0.4">
      <c r="A46" s="40" t="s">
        <v>213</v>
      </c>
      <c r="B46" s="40" t="s">
        <v>403</v>
      </c>
      <c r="C46" s="135" t="s">
        <v>459</v>
      </c>
      <c r="D46" s="205" t="s">
        <v>3532</v>
      </c>
      <c r="E46" s="314" t="s">
        <v>3855</v>
      </c>
      <c r="F46" s="315" t="s">
        <v>3423</v>
      </c>
      <c r="G46" s="315" t="s">
        <v>3865</v>
      </c>
      <c r="H46" s="220" t="s">
        <v>3796</v>
      </c>
      <c r="I46" s="338" t="s">
        <v>3568</v>
      </c>
      <c r="J46" s="209" t="s">
        <v>784</v>
      </c>
      <c r="K46" s="254" t="s">
        <v>0</v>
      </c>
      <c r="L46" s="217" t="s">
        <v>1</v>
      </c>
      <c r="M46" s="245" t="s">
        <v>3576</v>
      </c>
      <c r="N46" s="217"/>
      <c r="O46" s="87"/>
      <c r="P46" s="49" t="s">
        <v>982</v>
      </c>
      <c r="Q46" s="13" t="s">
        <v>0</v>
      </c>
      <c r="R46" s="82" t="s">
        <v>1</v>
      </c>
      <c r="S46" s="91" t="s">
        <v>3576</v>
      </c>
      <c r="T46" s="91"/>
      <c r="U46" s="87"/>
      <c r="V46" s="52" t="s">
        <v>1181</v>
      </c>
      <c r="W46" s="13" t="s">
        <v>0</v>
      </c>
      <c r="X46" s="82" t="s">
        <v>1</v>
      </c>
      <c r="Y46" s="91" t="s">
        <v>3576</v>
      </c>
      <c r="Z46" s="91"/>
      <c r="AA46" s="87"/>
      <c r="AB46" s="19" t="s">
        <v>1380</v>
      </c>
      <c r="AC46" s="13" t="s">
        <v>0</v>
      </c>
      <c r="AD46" s="82" t="s">
        <v>1</v>
      </c>
      <c r="AE46" s="91" t="s">
        <v>3576</v>
      </c>
      <c r="AF46" s="91"/>
      <c r="AG46" s="87"/>
      <c r="AH46" s="56" t="s">
        <v>1578</v>
      </c>
      <c r="AI46" s="13" t="s">
        <v>0</v>
      </c>
      <c r="AJ46" s="82" t="s">
        <v>1</v>
      </c>
      <c r="AK46" s="91" t="s">
        <v>3576</v>
      </c>
      <c r="AL46" s="91"/>
      <c r="AM46" s="105"/>
      <c r="AN46" s="23" t="s">
        <v>1777</v>
      </c>
      <c r="AO46" s="13" t="s">
        <v>0</v>
      </c>
      <c r="AP46" s="82" t="s">
        <v>1</v>
      </c>
      <c r="AQ46" s="91" t="s">
        <v>3576</v>
      </c>
      <c r="AR46" s="91"/>
      <c r="AS46" s="87"/>
      <c r="AT46" s="21" t="s">
        <v>1974</v>
      </c>
      <c r="AU46" s="13" t="s">
        <v>0</v>
      </c>
      <c r="AV46" s="82" t="s">
        <v>1</v>
      </c>
      <c r="AW46" s="91" t="s">
        <v>3576</v>
      </c>
      <c r="AX46" s="91"/>
      <c r="AY46" s="87"/>
      <c r="AZ46" s="22" t="s">
        <v>2170</v>
      </c>
      <c r="BA46" s="13" t="s">
        <v>0</v>
      </c>
      <c r="BB46" s="82" t="s">
        <v>1</v>
      </c>
      <c r="BC46" s="91" t="s">
        <v>3576</v>
      </c>
      <c r="BD46" s="91"/>
      <c r="BE46" s="87"/>
      <c r="BF46" s="24" t="s">
        <v>2361</v>
      </c>
      <c r="BG46" s="13" t="s">
        <v>0</v>
      </c>
      <c r="BH46" s="82" t="s">
        <v>1</v>
      </c>
      <c r="BI46" s="91" t="s">
        <v>3576</v>
      </c>
      <c r="BJ46" s="91"/>
      <c r="BK46" s="87"/>
      <c r="BL46" s="27" t="s">
        <v>2553</v>
      </c>
      <c r="BM46" s="13" t="s">
        <v>0</v>
      </c>
      <c r="BN46" s="82" t="s">
        <v>1</v>
      </c>
      <c r="BO46" s="91" t="s">
        <v>3576</v>
      </c>
      <c r="BP46" s="91"/>
      <c r="BQ46" s="105"/>
      <c r="BR46" s="72" t="s">
        <v>2751</v>
      </c>
      <c r="BS46" s="13" t="s">
        <v>0</v>
      </c>
      <c r="BT46" s="82" t="s">
        <v>1</v>
      </c>
      <c r="BU46" s="91" t="s">
        <v>3576</v>
      </c>
      <c r="BV46" s="91"/>
      <c r="BW46" s="87"/>
      <c r="BX46" s="49" t="s">
        <v>2925</v>
      </c>
      <c r="BY46" s="13" t="s">
        <v>0</v>
      </c>
      <c r="BZ46" s="82" t="s">
        <v>1</v>
      </c>
      <c r="CA46" s="91" t="s">
        <v>3576</v>
      </c>
      <c r="CB46" s="91"/>
      <c r="CC46" s="87"/>
      <c r="CD46" s="52" t="s">
        <v>3100</v>
      </c>
      <c r="CE46" s="13" t="s">
        <v>0</v>
      </c>
      <c r="CF46" s="82" t="s">
        <v>1</v>
      </c>
      <c r="CG46" s="91" t="s">
        <v>3576</v>
      </c>
      <c r="CH46" s="91"/>
      <c r="CI46" s="87"/>
      <c r="CJ46" s="19" t="s">
        <v>2751</v>
      </c>
      <c r="CK46" s="13" t="s">
        <v>0</v>
      </c>
      <c r="CL46" s="82" t="s">
        <v>1</v>
      </c>
      <c r="CM46" s="91" t="s">
        <v>3576</v>
      </c>
      <c r="CN46" s="91"/>
      <c r="CO46" s="87"/>
      <c r="CP46" s="56" t="s">
        <v>2751</v>
      </c>
      <c r="CQ46" s="13" t="s">
        <v>0</v>
      </c>
      <c r="CR46" s="82" t="s">
        <v>1</v>
      </c>
      <c r="CS46" s="91" t="s">
        <v>3576</v>
      </c>
      <c r="CT46" s="91"/>
      <c r="CU46" s="105"/>
    </row>
    <row r="47" spans="1:99" ht="42" customHeight="1" thickBot="1" x14ac:dyDescent="0.4">
      <c r="A47" s="40" t="s">
        <v>125</v>
      </c>
      <c r="B47" s="40" t="s">
        <v>288</v>
      </c>
      <c r="C47" s="135" t="s">
        <v>489</v>
      </c>
      <c r="D47" s="175" t="s">
        <v>3433</v>
      </c>
      <c r="E47" s="314" t="s">
        <v>3855</v>
      </c>
      <c r="F47" s="315" t="s">
        <v>3376</v>
      </c>
      <c r="G47" s="315" t="s">
        <v>3856</v>
      </c>
      <c r="H47" s="142" t="s">
        <v>3654</v>
      </c>
      <c r="I47" s="248" t="s">
        <v>3559</v>
      </c>
      <c r="J47" s="194" t="s">
        <v>669</v>
      </c>
      <c r="K47" s="210" t="s">
        <v>15</v>
      </c>
      <c r="L47" s="168" t="s">
        <v>20</v>
      </c>
      <c r="M47" s="197" t="s">
        <v>3576</v>
      </c>
      <c r="N47" s="168"/>
      <c r="O47" s="87"/>
      <c r="P47" s="49" t="s">
        <v>868</v>
      </c>
      <c r="Q47" s="13" t="s">
        <v>15</v>
      </c>
      <c r="R47" s="82" t="s">
        <v>20</v>
      </c>
      <c r="S47" s="91" t="s">
        <v>3576</v>
      </c>
      <c r="T47" s="91"/>
      <c r="U47" s="87"/>
      <c r="V47" s="52" t="s">
        <v>1067</v>
      </c>
      <c r="W47" s="13" t="s">
        <v>15</v>
      </c>
      <c r="X47" s="82" t="s">
        <v>20</v>
      </c>
      <c r="Y47" s="91" t="s">
        <v>3576</v>
      </c>
      <c r="Z47" s="91"/>
      <c r="AA47" s="87"/>
      <c r="AB47" s="19" t="s">
        <v>1268</v>
      </c>
      <c r="AC47" s="13" t="s">
        <v>15</v>
      </c>
      <c r="AD47" s="82" t="s">
        <v>20</v>
      </c>
      <c r="AE47" s="91" t="s">
        <v>3576</v>
      </c>
      <c r="AF47" s="91"/>
      <c r="AG47" s="87"/>
      <c r="AH47" s="56" t="s">
        <v>1465</v>
      </c>
      <c r="AI47" s="13" t="s">
        <v>15</v>
      </c>
      <c r="AJ47" s="82" t="s">
        <v>20</v>
      </c>
      <c r="AK47" s="91" t="s">
        <v>3576</v>
      </c>
      <c r="AL47" s="91"/>
      <c r="AM47" s="105"/>
      <c r="AN47" s="23" t="s">
        <v>1664</v>
      </c>
      <c r="AO47" s="13" t="s">
        <v>15</v>
      </c>
      <c r="AP47" s="82" t="s">
        <v>9</v>
      </c>
      <c r="AQ47" s="91" t="s">
        <v>3576</v>
      </c>
      <c r="AR47" s="91"/>
      <c r="AS47" s="87"/>
      <c r="AT47" s="21" t="s">
        <v>1861</v>
      </c>
      <c r="AU47" s="13" t="s">
        <v>15</v>
      </c>
      <c r="AV47" s="82" t="s">
        <v>9</v>
      </c>
      <c r="AW47" s="91" t="s">
        <v>3576</v>
      </c>
      <c r="AX47" s="91"/>
      <c r="AY47" s="87"/>
      <c r="AZ47" s="22" t="s">
        <v>2059</v>
      </c>
      <c r="BA47" s="13" t="s">
        <v>15</v>
      </c>
      <c r="BB47" s="82" t="s">
        <v>9</v>
      </c>
      <c r="BC47" s="91" t="s">
        <v>3576</v>
      </c>
      <c r="BD47" s="91"/>
      <c r="BE47" s="87"/>
      <c r="BF47" s="24" t="s">
        <v>2253</v>
      </c>
      <c r="BG47" s="13" t="s">
        <v>15</v>
      </c>
      <c r="BH47" s="82" t="s">
        <v>9</v>
      </c>
      <c r="BI47" s="91" t="s">
        <v>3576</v>
      </c>
      <c r="BJ47" s="91"/>
      <c r="BK47" s="87"/>
      <c r="BL47" s="27" t="s">
        <v>2441</v>
      </c>
      <c r="BM47" s="13" t="s">
        <v>15</v>
      </c>
      <c r="BN47" s="82" t="s">
        <v>9</v>
      </c>
      <c r="BO47" s="91" t="s">
        <v>3576</v>
      </c>
      <c r="BP47" s="91"/>
      <c r="BQ47" s="105"/>
      <c r="BR47" s="72" t="s">
        <v>2638</v>
      </c>
      <c r="BS47" s="13" t="s">
        <v>0</v>
      </c>
      <c r="BT47" s="82" t="s">
        <v>12</v>
      </c>
      <c r="BU47" s="91" t="s">
        <v>3577</v>
      </c>
      <c r="BV47" s="91"/>
      <c r="BW47" s="87"/>
      <c r="BX47" s="49" t="s">
        <v>2830</v>
      </c>
      <c r="BY47" s="13" t="s">
        <v>0</v>
      </c>
      <c r="BZ47" s="82" t="s">
        <v>12</v>
      </c>
      <c r="CA47" s="91" t="s">
        <v>3577</v>
      </c>
      <c r="CB47" s="91"/>
      <c r="CC47" s="264"/>
      <c r="CD47" s="52" t="s">
        <v>3004</v>
      </c>
      <c r="CE47" s="13" t="s">
        <v>15</v>
      </c>
      <c r="CF47" s="82" t="s">
        <v>9</v>
      </c>
      <c r="CG47" s="91" t="s">
        <v>3576</v>
      </c>
      <c r="CH47" s="91"/>
      <c r="CI47" s="87"/>
      <c r="CJ47" s="19" t="s">
        <v>2830</v>
      </c>
      <c r="CK47" s="13" t="s">
        <v>0</v>
      </c>
      <c r="CL47" s="82" t="s">
        <v>12</v>
      </c>
      <c r="CM47" s="91" t="s">
        <v>3577</v>
      </c>
      <c r="CN47" s="91"/>
      <c r="CO47" s="87"/>
      <c r="CP47" s="56" t="s">
        <v>2830</v>
      </c>
      <c r="CQ47" s="13" t="s">
        <v>0</v>
      </c>
      <c r="CR47" s="82" t="s">
        <v>12</v>
      </c>
      <c r="CS47" s="91" t="s">
        <v>3577</v>
      </c>
      <c r="CT47" s="91"/>
      <c r="CU47" s="105"/>
    </row>
    <row r="48" spans="1:99" ht="42" customHeight="1" thickBot="1" x14ac:dyDescent="0.4">
      <c r="A48" s="40" t="s">
        <v>196</v>
      </c>
      <c r="B48" s="40" t="s">
        <v>382</v>
      </c>
      <c r="C48" s="135" t="s">
        <v>570</v>
      </c>
      <c r="D48" s="175" t="s">
        <v>3778</v>
      </c>
      <c r="E48" s="323" t="s">
        <v>3869</v>
      </c>
      <c r="F48" s="324" t="s">
        <v>3392</v>
      </c>
      <c r="G48" s="324" t="s">
        <v>3870</v>
      </c>
      <c r="H48" s="142"/>
      <c r="I48" s="248"/>
      <c r="J48" s="194" t="s">
        <v>763</v>
      </c>
      <c r="K48" s="210" t="s">
        <v>15</v>
      </c>
      <c r="L48" s="168" t="s">
        <v>17</v>
      </c>
      <c r="M48" s="197" t="s">
        <v>3576</v>
      </c>
      <c r="N48" s="168"/>
      <c r="O48" s="87"/>
      <c r="P48" s="49" t="s">
        <v>962</v>
      </c>
      <c r="Q48" s="13" t="s">
        <v>0</v>
      </c>
      <c r="R48" s="82" t="s">
        <v>12</v>
      </c>
      <c r="S48" s="91" t="s">
        <v>3577</v>
      </c>
      <c r="T48" s="91"/>
      <c r="U48" s="87"/>
      <c r="V48" s="52" t="s">
        <v>1160</v>
      </c>
      <c r="W48" s="13" t="s">
        <v>15</v>
      </c>
      <c r="X48" s="82" t="s">
        <v>17</v>
      </c>
      <c r="Y48" s="91" t="s">
        <v>3576</v>
      </c>
      <c r="Z48" s="91"/>
      <c r="AA48" s="87"/>
      <c r="AB48" s="19" t="s">
        <v>1359</v>
      </c>
      <c r="AC48" s="13" t="s">
        <v>15</v>
      </c>
      <c r="AD48" s="82" t="s">
        <v>17</v>
      </c>
      <c r="AE48" s="91" t="s">
        <v>3576</v>
      </c>
      <c r="AF48" s="91"/>
      <c r="AG48" s="87"/>
      <c r="AH48" s="56" t="s">
        <v>1557</v>
      </c>
      <c r="AI48" s="13" t="s">
        <v>15</v>
      </c>
      <c r="AJ48" s="82" t="s">
        <v>17</v>
      </c>
      <c r="AK48" s="91" t="s">
        <v>3576</v>
      </c>
      <c r="AL48" s="91"/>
      <c r="AM48" s="105"/>
      <c r="AN48" s="23" t="s">
        <v>1756</v>
      </c>
      <c r="AO48" s="13" t="s">
        <v>0</v>
      </c>
      <c r="AP48" s="82" t="s">
        <v>12</v>
      </c>
      <c r="AQ48" s="91" t="s">
        <v>3577</v>
      </c>
      <c r="AR48" s="91"/>
      <c r="AS48" s="87"/>
      <c r="AT48" s="21" t="s">
        <v>1953</v>
      </c>
      <c r="AU48" s="13" t="s">
        <v>15</v>
      </c>
      <c r="AV48" s="82" t="s">
        <v>17</v>
      </c>
      <c r="AW48" s="91" t="s">
        <v>3577</v>
      </c>
      <c r="AX48" s="91"/>
      <c r="AY48" s="87"/>
      <c r="AZ48" s="22" t="s">
        <v>2149</v>
      </c>
      <c r="BA48" s="13" t="s">
        <v>15</v>
      </c>
      <c r="BB48" s="82" t="s">
        <v>17</v>
      </c>
      <c r="BC48" s="91" t="s">
        <v>3577</v>
      </c>
      <c r="BD48" s="91"/>
      <c r="BE48" s="87"/>
      <c r="BF48" s="24" t="s">
        <v>2340</v>
      </c>
      <c r="BG48" s="13" t="s">
        <v>15</v>
      </c>
      <c r="BH48" s="82" t="s">
        <v>17</v>
      </c>
      <c r="BI48" s="91" t="s">
        <v>3577</v>
      </c>
      <c r="BJ48" s="91"/>
      <c r="BK48" s="87"/>
      <c r="BL48" s="27" t="s">
        <v>2532</v>
      </c>
      <c r="BM48" s="13" t="s">
        <v>15</v>
      </c>
      <c r="BN48" s="82" t="s">
        <v>17</v>
      </c>
      <c r="BO48" s="91" t="s">
        <v>3577</v>
      </c>
      <c r="BP48" s="91"/>
      <c r="BQ48" s="105"/>
      <c r="BR48" s="72" t="s">
        <v>2730</v>
      </c>
      <c r="BS48" s="13" t="s">
        <v>11</v>
      </c>
      <c r="BT48" s="82"/>
      <c r="BU48" s="91" t="s">
        <v>3576</v>
      </c>
      <c r="BV48" s="91"/>
      <c r="BW48" s="87"/>
      <c r="BX48" s="49" t="s">
        <v>2908</v>
      </c>
      <c r="BY48" s="13" t="s">
        <v>15</v>
      </c>
      <c r="BZ48" s="82" t="s">
        <v>20</v>
      </c>
      <c r="CA48" s="91" t="s">
        <v>3577</v>
      </c>
      <c r="CB48" s="91"/>
      <c r="CC48" s="87"/>
      <c r="CD48" s="52" t="s">
        <v>3082</v>
      </c>
      <c r="CE48" s="13" t="s">
        <v>15</v>
      </c>
      <c r="CF48" s="82" t="s">
        <v>20</v>
      </c>
      <c r="CG48" s="91" t="s">
        <v>3576</v>
      </c>
      <c r="CH48" s="91"/>
      <c r="CI48" s="87"/>
      <c r="CJ48" s="19" t="s">
        <v>3230</v>
      </c>
      <c r="CK48" s="13" t="s">
        <v>11</v>
      </c>
      <c r="CL48" s="82"/>
      <c r="CM48" s="91" t="s">
        <v>3576</v>
      </c>
      <c r="CN48" s="91"/>
      <c r="CO48" s="87"/>
      <c r="CP48" s="56" t="s">
        <v>3348</v>
      </c>
      <c r="CQ48" s="13" t="s">
        <v>11</v>
      </c>
      <c r="CR48" s="82"/>
      <c r="CS48" s="91" t="s">
        <v>3576</v>
      </c>
      <c r="CT48" s="91"/>
      <c r="CU48" s="105"/>
    </row>
    <row r="49" spans="1:99" ht="42" customHeight="1" thickBot="1" x14ac:dyDescent="0.4">
      <c r="A49" s="40" t="s">
        <v>112</v>
      </c>
      <c r="B49" s="40" t="s">
        <v>276</v>
      </c>
      <c r="C49" s="135" t="s">
        <v>476</v>
      </c>
      <c r="D49" s="206" t="s">
        <v>3424</v>
      </c>
      <c r="E49" s="314" t="s">
        <v>3855</v>
      </c>
      <c r="F49" s="315" t="s">
        <v>3423</v>
      </c>
      <c r="G49" s="315" t="s">
        <v>3865</v>
      </c>
      <c r="H49" s="338" t="s">
        <v>3635</v>
      </c>
      <c r="I49" s="295" t="s">
        <v>3559</v>
      </c>
      <c r="J49" s="253" t="s">
        <v>656</v>
      </c>
      <c r="K49" s="211" t="s">
        <v>6</v>
      </c>
      <c r="L49" s="213" t="s">
        <v>8</v>
      </c>
      <c r="M49" s="216" t="s">
        <v>3576</v>
      </c>
      <c r="N49" s="202"/>
      <c r="O49" s="87"/>
      <c r="P49" s="49" t="s">
        <v>855</v>
      </c>
      <c r="Q49" s="13" t="s">
        <v>15</v>
      </c>
      <c r="R49" s="82" t="s">
        <v>4</v>
      </c>
      <c r="S49" s="91" t="s">
        <v>3576</v>
      </c>
      <c r="T49" s="91"/>
      <c r="U49" s="87"/>
      <c r="V49" s="52" t="s">
        <v>1054</v>
      </c>
      <c r="W49" s="13" t="s">
        <v>6</v>
      </c>
      <c r="X49" s="82" t="s">
        <v>8</v>
      </c>
      <c r="Y49" s="91" t="s">
        <v>3576</v>
      </c>
      <c r="Z49" s="91"/>
      <c r="AA49" s="87"/>
      <c r="AB49" s="19" t="s">
        <v>1255</v>
      </c>
      <c r="AC49" s="13" t="s">
        <v>6</v>
      </c>
      <c r="AD49" s="82" t="s">
        <v>8</v>
      </c>
      <c r="AE49" s="91" t="s">
        <v>3576</v>
      </c>
      <c r="AF49" s="91"/>
      <c r="AG49" s="87"/>
      <c r="AH49" s="56" t="s">
        <v>1452</v>
      </c>
      <c r="AI49" s="13" t="s">
        <v>6</v>
      </c>
      <c r="AJ49" s="82" t="s">
        <v>8</v>
      </c>
      <c r="AK49" s="91" t="s">
        <v>3576</v>
      </c>
      <c r="AL49" s="91"/>
      <c r="AM49" s="105"/>
      <c r="AN49" s="23" t="s">
        <v>1651</v>
      </c>
      <c r="AO49" s="13" t="s">
        <v>15</v>
      </c>
      <c r="AP49" s="82" t="s">
        <v>20</v>
      </c>
      <c r="AQ49" s="91" t="s">
        <v>3577</v>
      </c>
      <c r="AR49" s="91"/>
      <c r="AS49" s="87"/>
      <c r="AT49" s="21" t="s">
        <v>1848</v>
      </c>
      <c r="AU49" s="13" t="s">
        <v>0</v>
      </c>
      <c r="AV49" s="82" t="s">
        <v>12</v>
      </c>
      <c r="AW49" s="91" t="s">
        <v>3577</v>
      </c>
      <c r="AX49" s="91"/>
      <c r="AY49" s="87"/>
      <c r="AZ49" s="22" t="s">
        <v>2046</v>
      </c>
      <c r="BA49" s="13" t="s">
        <v>0</v>
      </c>
      <c r="BB49" s="82" t="s">
        <v>12</v>
      </c>
      <c r="BC49" s="91" t="s">
        <v>3577</v>
      </c>
      <c r="BD49" s="91"/>
      <c r="BE49" s="87"/>
      <c r="BF49" s="24" t="s">
        <v>2240</v>
      </c>
      <c r="BG49" s="13" t="s">
        <v>0</v>
      </c>
      <c r="BH49" s="82" t="s">
        <v>12</v>
      </c>
      <c r="BI49" s="91" t="s">
        <v>3577</v>
      </c>
      <c r="BJ49" s="91"/>
      <c r="BK49" s="87"/>
      <c r="BL49" s="27" t="s">
        <v>2429</v>
      </c>
      <c r="BM49" s="13" t="s">
        <v>15</v>
      </c>
      <c r="BN49" s="82" t="s">
        <v>4</v>
      </c>
      <c r="BO49" s="91" t="s">
        <v>3576</v>
      </c>
      <c r="BP49" s="91"/>
      <c r="BQ49" s="105"/>
      <c r="BR49" s="72" t="s">
        <v>2625</v>
      </c>
      <c r="BS49" s="13" t="s">
        <v>0</v>
      </c>
      <c r="BT49" s="82" t="s">
        <v>12</v>
      </c>
      <c r="BU49" s="91" t="s">
        <v>3577</v>
      </c>
      <c r="BV49" s="91"/>
      <c r="BW49" s="87"/>
      <c r="BX49" s="49" t="s">
        <v>2820</v>
      </c>
      <c r="BY49" s="13" t="s">
        <v>6</v>
      </c>
      <c r="BZ49" s="82" t="s">
        <v>8</v>
      </c>
      <c r="CA49" s="91" t="s">
        <v>3576</v>
      </c>
      <c r="CB49" s="91"/>
      <c r="CC49" s="264"/>
      <c r="CD49" s="52" t="s">
        <v>2992</v>
      </c>
      <c r="CE49" s="13" t="s">
        <v>11</v>
      </c>
      <c r="CF49" s="82"/>
      <c r="CG49" s="91" t="s">
        <v>3576</v>
      </c>
      <c r="CH49" s="91"/>
      <c r="CI49" s="87" t="s">
        <v>3849</v>
      </c>
      <c r="CJ49" s="19" t="s">
        <v>3154</v>
      </c>
      <c r="CK49" s="13" t="s">
        <v>11</v>
      </c>
      <c r="CL49" s="82"/>
      <c r="CM49" s="91" t="s">
        <v>3576</v>
      </c>
      <c r="CN49" s="91"/>
      <c r="CO49" s="87" t="s">
        <v>3850</v>
      </c>
      <c r="CP49" s="56" t="s">
        <v>3154</v>
      </c>
      <c r="CQ49" s="13" t="s">
        <v>11</v>
      </c>
      <c r="CR49" s="82"/>
      <c r="CS49" s="91" t="s">
        <v>3576</v>
      </c>
      <c r="CT49" s="91"/>
      <c r="CU49" s="105" t="s">
        <v>3850</v>
      </c>
    </row>
    <row r="50" spans="1:99" ht="42" customHeight="1" thickBot="1" x14ac:dyDescent="0.4">
      <c r="A50" s="40" t="s">
        <v>170</v>
      </c>
      <c r="B50" s="40" t="s">
        <v>346</v>
      </c>
      <c r="C50" s="135" t="s">
        <v>459</v>
      </c>
      <c r="D50" s="296" t="s">
        <v>3487</v>
      </c>
      <c r="E50" s="325" t="s">
        <v>3873</v>
      </c>
      <c r="F50" s="326" t="s">
        <v>3378</v>
      </c>
      <c r="G50" s="326" t="s">
        <v>3874</v>
      </c>
      <c r="H50" s="296" t="s">
        <v>3741</v>
      </c>
      <c r="I50" s="296" t="s">
        <v>3559</v>
      </c>
      <c r="J50" s="155" t="s">
        <v>727</v>
      </c>
      <c r="K50" s="153" t="s">
        <v>15</v>
      </c>
      <c r="L50" s="214" t="s">
        <v>4</v>
      </c>
      <c r="M50" s="255" t="s">
        <v>3576</v>
      </c>
      <c r="N50" s="201"/>
      <c r="O50" s="87"/>
      <c r="P50" s="49" t="s">
        <v>926</v>
      </c>
      <c r="Q50" s="13" t="s">
        <v>15</v>
      </c>
      <c r="R50" s="82" t="s">
        <v>4</v>
      </c>
      <c r="S50" s="91" t="s">
        <v>3576</v>
      </c>
      <c r="T50" s="91"/>
      <c r="U50" s="87"/>
      <c r="V50" s="52" t="s">
        <v>926</v>
      </c>
      <c r="W50" s="13" t="s">
        <v>15</v>
      </c>
      <c r="X50" s="82" t="s">
        <v>4</v>
      </c>
      <c r="Y50" s="91" t="s">
        <v>3576</v>
      </c>
      <c r="Z50" s="91"/>
      <c r="AA50" s="87"/>
      <c r="AB50" s="19" t="s">
        <v>1323</v>
      </c>
      <c r="AC50" s="13" t="s">
        <v>15</v>
      </c>
      <c r="AD50" s="82" t="s">
        <v>9</v>
      </c>
      <c r="AE50" s="91" t="s">
        <v>3576</v>
      </c>
      <c r="AF50" s="91"/>
      <c r="AG50" s="87"/>
      <c r="AH50" s="56" t="s">
        <v>1521</v>
      </c>
      <c r="AI50" s="13" t="s">
        <v>15</v>
      </c>
      <c r="AJ50" s="82" t="s">
        <v>9</v>
      </c>
      <c r="AK50" s="91" t="s">
        <v>3576</v>
      </c>
      <c r="AL50" s="91"/>
      <c r="AM50" s="105"/>
      <c r="AN50" s="23" t="s">
        <v>1720</v>
      </c>
      <c r="AO50" s="13" t="s">
        <v>15</v>
      </c>
      <c r="AP50" s="82" t="s">
        <v>4</v>
      </c>
      <c r="AQ50" s="91" t="s">
        <v>3576</v>
      </c>
      <c r="AR50" s="91"/>
      <c r="AS50" s="87"/>
      <c r="AT50" s="21" t="s">
        <v>1919</v>
      </c>
      <c r="AU50" s="13" t="s">
        <v>15</v>
      </c>
      <c r="AV50" s="82" t="s">
        <v>4</v>
      </c>
      <c r="AW50" s="91" t="s">
        <v>3576</v>
      </c>
      <c r="AX50" s="91"/>
      <c r="AY50" s="87"/>
      <c r="AZ50" s="22" t="s">
        <v>2114</v>
      </c>
      <c r="BA50" s="13" t="s">
        <v>15</v>
      </c>
      <c r="BB50" s="82" t="s">
        <v>9</v>
      </c>
      <c r="BC50" s="91" t="s">
        <v>3576</v>
      </c>
      <c r="BD50" s="91"/>
      <c r="BE50" s="87"/>
      <c r="BF50" s="24" t="s">
        <v>2306</v>
      </c>
      <c r="BG50" s="13" t="s">
        <v>15</v>
      </c>
      <c r="BH50" s="82" t="s">
        <v>4</v>
      </c>
      <c r="BI50" s="91" t="s">
        <v>3576</v>
      </c>
      <c r="BJ50" s="91"/>
      <c r="BK50" s="87"/>
      <c r="BL50" s="27" t="s">
        <v>2496</v>
      </c>
      <c r="BM50" s="13" t="s">
        <v>15</v>
      </c>
      <c r="BN50" s="82" t="s">
        <v>4</v>
      </c>
      <c r="BO50" s="91" t="s">
        <v>3576</v>
      </c>
      <c r="BP50" s="91"/>
      <c r="BQ50" s="105"/>
      <c r="BR50" s="72" t="s">
        <v>2694</v>
      </c>
      <c r="BS50" s="13" t="s">
        <v>15</v>
      </c>
      <c r="BT50" s="82" t="s">
        <v>4</v>
      </c>
      <c r="BU50" s="91" t="s">
        <v>3576</v>
      </c>
      <c r="BV50" s="91"/>
      <c r="BW50" s="87"/>
      <c r="BX50" s="49" t="s">
        <v>2879</v>
      </c>
      <c r="BY50" s="13" t="s">
        <v>15</v>
      </c>
      <c r="BZ50" s="82" t="s">
        <v>4</v>
      </c>
      <c r="CA50" s="91" t="s">
        <v>3576</v>
      </c>
      <c r="CB50" s="91"/>
      <c r="CC50" s="87"/>
      <c r="CD50" s="52" t="s">
        <v>3051</v>
      </c>
      <c r="CE50" s="13" t="s">
        <v>15</v>
      </c>
      <c r="CF50" s="82" t="s">
        <v>4</v>
      </c>
      <c r="CG50" s="91" t="s">
        <v>3576</v>
      </c>
      <c r="CH50" s="91"/>
      <c r="CI50" s="87"/>
      <c r="CJ50" s="19" t="s">
        <v>2694</v>
      </c>
      <c r="CK50" s="13" t="s">
        <v>15</v>
      </c>
      <c r="CL50" s="82" t="s">
        <v>4</v>
      </c>
      <c r="CM50" s="91" t="s">
        <v>3576</v>
      </c>
      <c r="CN50" s="91"/>
      <c r="CO50" s="87"/>
      <c r="CP50" s="56" t="s">
        <v>2694</v>
      </c>
      <c r="CQ50" s="13" t="s">
        <v>15</v>
      </c>
      <c r="CR50" s="82" t="s">
        <v>4</v>
      </c>
      <c r="CS50" s="91" t="s">
        <v>3576</v>
      </c>
      <c r="CT50" s="91"/>
      <c r="CU50" s="105"/>
    </row>
    <row r="51" spans="1:99" ht="42" customHeight="1" thickBot="1" x14ac:dyDescent="0.4">
      <c r="A51" s="40" t="s">
        <v>172</v>
      </c>
      <c r="B51" s="40" t="s">
        <v>348</v>
      </c>
      <c r="C51" s="135" t="s">
        <v>541</v>
      </c>
      <c r="D51" s="296" t="s">
        <v>3488</v>
      </c>
      <c r="E51" s="314" t="s">
        <v>3855</v>
      </c>
      <c r="F51" s="315" t="s">
        <v>3423</v>
      </c>
      <c r="G51" s="315" t="s">
        <v>3865</v>
      </c>
      <c r="H51" s="296" t="s">
        <v>3744</v>
      </c>
      <c r="I51" s="296"/>
      <c r="J51" s="136" t="s">
        <v>729</v>
      </c>
      <c r="K51" s="13" t="s">
        <v>15</v>
      </c>
      <c r="L51" s="81" t="s">
        <v>9</v>
      </c>
      <c r="M51" s="146" t="s">
        <v>3576</v>
      </c>
      <c r="N51" s="152"/>
      <c r="O51" s="87"/>
      <c r="P51" s="49" t="s">
        <v>928</v>
      </c>
      <c r="Q51" s="13" t="s">
        <v>0</v>
      </c>
      <c r="R51" s="82" t="s">
        <v>1</v>
      </c>
      <c r="S51" s="91" t="s">
        <v>3576</v>
      </c>
      <c r="T51" s="91"/>
      <c r="U51" s="87"/>
      <c r="V51" s="52" t="s">
        <v>1126</v>
      </c>
      <c r="W51" s="13" t="s">
        <v>0</v>
      </c>
      <c r="X51" s="82" t="s">
        <v>1</v>
      </c>
      <c r="Y51" s="91" t="s">
        <v>3576</v>
      </c>
      <c r="Z51" s="91"/>
      <c r="AA51" s="87"/>
      <c r="AB51" s="19" t="s">
        <v>1325</v>
      </c>
      <c r="AC51" s="13" t="s">
        <v>0</v>
      </c>
      <c r="AD51" s="82" t="s">
        <v>1</v>
      </c>
      <c r="AE51" s="91" t="s">
        <v>3576</v>
      </c>
      <c r="AF51" s="91"/>
      <c r="AG51" s="87"/>
      <c r="AH51" s="56" t="s">
        <v>1523</v>
      </c>
      <c r="AI51" s="13" t="s">
        <v>0</v>
      </c>
      <c r="AJ51" s="82" t="s">
        <v>1</v>
      </c>
      <c r="AK51" s="91" t="s">
        <v>3576</v>
      </c>
      <c r="AL51" s="91"/>
      <c r="AM51" s="105"/>
      <c r="AN51" s="23" t="s">
        <v>1722</v>
      </c>
      <c r="AO51" s="13" t="s">
        <v>0</v>
      </c>
      <c r="AP51" s="82" t="s">
        <v>1</v>
      </c>
      <c r="AQ51" s="91" t="s">
        <v>3576</v>
      </c>
      <c r="AR51" s="91"/>
      <c r="AS51" s="87"/>
      <c r="AT51" s="21" t="s">
        <v>1921</v>
      </c>
      <c r="AU51" s="13" t="s">
        <v>0</v>
      </c>
      <c r="AV51" s="82" t="s">
        <v>1</v>
      </c>
      <c r="AW51" s="91" t="s">
        <v>3576</v>
      </c>
      <c r="AX51" s="91"/>
      <c r="AY51" s="87"/>
      <c r="AZ51" s="22" t="s">
        <v>2116</v>
      </c>
      <c r="BA51" s="13" t="s">
        <v>0</v>
      </c>
      <c r="BB51" s="82" t="s">
        <v>1</v>
      </c>
      <c r="BC51" s="91" t="s">
        <v>3576</v>
      </c>
      <c r="BD51" s="91"/>
      <c r="BE51" s="87"/>
      <c r="BF51" s="24" t="s">
        <v>2308</v>
      </c>
      <c r="BG51" s="13" t="s">
        <v>0</v>
      </c>
      <c r="BH51" s="82" t="s">
        <v>1</v>
      </c>
      <c r="BI51" s="91" t="s">
        <v>3576</v>
      </c>
      <c r="BJ51" s="91"/>
      <c r="BK51" s="87"/>
      <c r="BL51" s="27" t="s">
        <v>2498</v>
      </c>
      <c r="BM51" s="13" t="s">
        <v>0</v>
      </c>
      <c r="BN51" s="82" t="s">
        <v>1</v>
      </c>
      <c r="BO51" s="91" t="s">
        <v>3576</v>
      </c>
      <c r="BP51" s="91"/>
      <c r="BQ51" s="105"/>
      <c r="BR51" s="72" t="s">
        <v>2696</v>
      </c>
      <c r="BS51" s="13" t="s">
        <v>0</v>
      </c>
      <c r="BT51" s="82" t="s">
        <v>1</v>
      </c>
      <c r="BU51" s="91" t="s">
        <v>3576</v>
      </c>
      <c r="BV51" s="91"/>
      <c r="BW51" s="87"/>
      <c r="BX51" s="49" t="s">
        <v>2696</v>
      </c>
      <c r="BY51" s="13" t="s">
        <v>0</v>
      </c>
      <c r="BZ51" s="82" t="s">
        <v>1</v>
      </c>
      <c r="CA51" s="91" t="s">
        <v>3576</v>
      </c>
      <c r="CB51" s="91"/>
      <c r="CC51" s="87"/>
      <c r="CD51" s="52" t="s">
        <v>3053</v>
      </c>
      <c r="CE51" s="13" t="s">
        <v>0</v>
      </c>
      <c r="CF51" s="82" t="s">
        <v>1</v>
      </c>
      <c r="CG51" s="91" t="s">
        <v>3576</v>
      </c>
      <c r="CH51" s="91"/>
      <c r="CI51" s="87"/>
      <c r="CJ51" s="19" t="s">
        <v>3202</v>
      </c>
      <c r="CK51" s="13" t="s">
        <v>0</v>
      </c>
      <c r="CL51" s="82" t="s">
        <v>1</v>
      </c>
      <c r="CM51" s="91" t="s">
        <v>3576</v>
      </c>
      <c r="CN51" s="91"/>
      <c r="CO51" s="87"/>
      <c r="CP51" s="56" t="s">
        <v>3330</v>
      </c>
      <c r="CQ51" s="13" t="s">
        <v>0</v>
      </c>
      <c r="CR51" s="82" t="s">
        <v>1</v>
      </c>
      <c r="CS51" s="91" t="s">
        <v>3576</v>
      </c>
      <c r="CT51" s="91"/>
      <c r="CU51" s="105"/>
    </row>
    <row r="52" spans="1:99" ht="42" customHeight="1" thickBot="1" x14ac:dyDescent="0.4">
      <c r="A52" s="40" t="s">
        <v>190</v>
      </c>
      <c r="B52" s="40" t="s">
        <v>374</v>
      </c>
      <c r="C52" s="40" t="s">
        <v>564</v>
      </c>
      <c r="D52" s="157" t="s">
        <v>3510</v>
      </c>
      <c r="E52" s="314" t="s">
        <v>3855</v>
      </c>
      <c r="F52" s="315" t="s">
        <v>3383</v>
      </c>
      <c r="G52" s="315" t="s">
        <v>3863</v>
      </c>
      <c r="H52" s="145"/>
      <c r="I52" s="144"/>
      <c r="J52" s="136" t="s">
        <v>755</v>
      </c>
      <c r="K52" s="13" t="s">
        <v>0</v>
      </c>
      <c r="L52" s="82" t="s">
        <v>12</v>
      </c>
      <c r="M52" s="146" t="s">
        <v>3577</v>
      </c>
      <c r="N52" s="91"/>
      <c r="O52" s="87"/>
      <c r="P52" s="49" t="s">
        <v>954</v>
      </c>
      <c r="Q52" s="13" t="s">
        <v>0</v>
      </c>
      <c r="R52" s="82" t="s">
        <v>12</v>
      </c>
      <c r="S52" s="91" t="s">
        <v>3577</v>
      </c>
      <c r="T52" s="91"/>
      <c r="U52" s="87"/>
      <c r="V52" s="52" t="s">
        <v>1152</v>
      </c>
      <c r="W52" s="13" t="s">
        <v>0</v>
      </c>
      <c r="X52" s="82" t="s">
        <v>12</v>
      </c>
      <c r="Y52" s="91" t="s">
        <v>3577</v>
      </c>
      <c r="Z52" s="91"/>
      <c r="AA52" s="87"/>
      <c r="AB52" s="19" t="s">
        <v>1351</v>
      </c>
      <c r="AC52" s="13" t="s">
        <v>0</v>
      </c>
      <c r="AD52" s="82" t="s">
        <v>12</v>
      </c>
      <c r="AE52" s="91" t="s">
        <v>3577</v>
      </c>
      <c r="AF52" s="91"/>
      <c r="AG52" s="87"/>
      <c r="AH52" s="56" t="s">
        <v>1549</v>
      </c>
      <c r="AI52" s="13" t="s">
        <v>0</v>
      </c>
      <c r="AJ52" s="82" t="s">
        <v>12</v>
      </c>
      <c r="AK52" s="91" t="s">
        <v>3577</v>
      </c>
      <c r="AL52" s="91"/>
      <c r="AM52" s="105"/>
      <c r="AN52" s="23" t="s">
        <v>1748</v>
      </c>
      <c r="AO52" s="13" t="s">
        <v>0</v>
      </c>
      <c r="AP52" s="82" t="s">
        <v>12</v>
      </c>
      <c r="AQ52" s="91" t="s">
        <v>3577</v>
      </c>
      <c r="AR52" s="91"/>
      <c r="AS52" s="87"/>
      <c r="AT52" s="21" t="s">
        <v>1945</v>
      </c>
      <c r="AU52" s="13" t="s">
        <v>0</v>
      </c>
      <c r="AV52" s="82" t="s">
        <v>12</v>
      </c>
      <c r="AW52" s="91" t="s">
        <v>3577</v>
      </c>
      <c r="AX52" s="91"/>
      <c r="AY52" s="87"/>
      <c r="AZ52" s="22" t="s">
        <v>2141</v>
      </c>
      <c r="BA52" s="13" t="s">
        <v>0</v>
      </c>
      <c r="BB52" s="82" t="s">
        <v>12</v>
      </c>
      <c r="BC52" s="91" t="s">
        <v>3577</v>
      </c>
      <c r="BD52" s="91"/>
      <c r="BE52" s="87"/>
      <c r="BF52" s="24" t="s">
        <v>2333</v>
      </c>
      <c r="BG52" s="13" t="s">
        <v>0</v>
      </c>
      <c r="BH52" s="82" t="s">
        <v>12</v>
      </c>
      <c r="BI52" s="91" t="s">
        <v>3577</v>
      </c>
      <c r="BJ52" s="91"/>
      <c r="BK52" s="87"/>
      <c r="BL52" s="27" t="s">
        <v>2524</v>
      </c>
      <c r="BM52" s="13" t="s">
        <v>0</v>
      </c>
      <c r="BN52" s="82" t="s">
        <v>12</v>
      </c>
      <c r="BO52" s="91" t="s">
        <v>3577</v>
      </c>
      <c r="BP52" s="91"/>
      <c r="BQ52" s="105"/>
      <c r="BR52" s="72" t="s">
        <v>2722</v>
      </c>
      <c r="BS52" s="13" t="s">
        <v>0</v>
      </c>
      <c r="BT52" s="82" t="s">
        <v>12</v>
      </c>
      <c r="BU52" s="91" t="s">
        <v>3577</v>
      </c>
      <c r="BV52" s="91"/>
      <c r="BW52" s="87"/>
      <c r="BX52" s="49" t="s">
        <v>2722</v>
      </c>
      <c r="BY52" s="13" t="s">
        <v>0</v>
      </c>
      <c r="BZ52" s="82" t="s">
        <v>12</v>
      </c>
      <c r="CA52" s="91" t="s">
        <v>3577</v>
      </c>
      <c r="CB52" s="91"/>
      <c r="CC52" s="87"/>
      <c r="CD52" s="52" t="s">
        <v>3074</v>
      </c>
      <c r="CE52" s="13" t="s">
        <v>0</v>
      </c>
      <c r="CF52" s="82" t="s">
        <v>12</v>
      </c>
      <c r="CG52" s="91" t="s">
        <v>3577</v>
      </c>
      <c r="CH52" s="91"/>
      <c r="CI52" s="87"/>
      <c r="CJ52" s="19" t="s">
        <v>3223</v>
      </c>
      <c r="CK52" s="13" t="s">
        <v>0</v>
      </c>
      <c r="CL52" s="82" t="s">
        <v>12</v>
      </c>
      <c r="CM52" s="91" t="s">
        <v>3577</v>
      </c>
      <c r="CN52" s="91"/>
      <c r="CO52" s="87"/>
      <c r="CP52" s="56" t="s">
        <v>3344</v>
      </c>
      <c r="CQ52" s="13" t="s">
        <v>0</v>
      </c>
      <c r="CR52" s="82" t="s">
        <v>12</v>
      </c>
      <c r="CS52" s="91" t="s">
        <v>3577</v>
      </c>
      <c r="CT52" s="91"/>
      <c r="CU52" s="105"/>
    </row>
    <row r="53" spans="1:99" ht="42" customHeight="1" thickBot="1" x14ac:dyDescent="0.4">
      <c r="A53" s="40" t="s">
        <v>208</v>
      </c>
      <c r="B53" s="40" t="s">
        <v>398</v>
      </c>
      <c r="C53" s="40" t="s">
        <v>582</v>
      </c>
      <c r="D53" s="135" t="s">
        <v>3528</v>
      </c>
      <c r="E53" s="314" t="s">
        <v>3855</v>
      </c>
      <c r="F53" s="315" t="s">
        <v>3390</v>
      </c>
      <c r="G53" s="315" t="s">
        <v>3862</v>
      </c>
      <c r="H53" s="142" t="s">
        <v>3792</v>
      </c>
      <c r="I53" s="138" t="s">
        <v>3559</v>
      </c>
      <c r="J53" s="136" t="s">
        <v>779</v>
      </c>
      <c r="K53" s="13" t="s">
        <v>6</v>
      </c>
      <c r="L53" s="82" t="s">
        <v>8</v>
      </c>
      <c r="M53" s="146" t="s">
        <v>3576</v>
      </c>
      <c r="N53" s="91"/>
      <c r="O53" s="87"/>
      <c r="P53" s="49" t="s">
        <v>977</v>
      </c>
      <c r="Q53" s="13" t="s">
        <v>15</v>
      </c>
      <c r="R53" s="82" t="s">
        <v>20</v>
      </c>
      <c r="S53" s="91" t="s">
        <v>3577</v>
      </c>
      <c r="T53" s="91"/>
      <c r="U53" s="87"/>
      <c r="V53" s="52" t="s">
        <v>1176</v>
      </c>
      <c r="W53" s="13" t="s">
        <v>6</v>
      </c>
      <c r="X53" s="82" t="s">
        <v>8</v>
      </c>
      <c r="Y53" s="91" t="s">
        <v>3576</v>
      </c>
      <c r="Z53" s="91"/>
      <c r="AA53" s="87"/>
      <c r="AB53" s="19" t="s">
        <v>1375</v>
      </c>
      <c r="AC53" s="13" t="s">
        <v>6</v>
      </c>
      <c r="AD53" s="82" t="s">
        <v>8</v>
      </c>
      <c r="AE53" s="91" t="s">
        <v>3576</v>
      </c>
      <c r="AF53" s="91"/>
      <c r="AG53" s="87"/>
      <c r="AH53" s="56" t="s">
        <v>1573</v>
      </c>
      <c r="AI53" s="13" t="s">
        <v>6</v>
      </c>
      <c r="AJ53" s="82" t="s">
        <v>8</v>
      </c>
      <c r="AK53" s="91" t="s">
        <v>3576</v>
      </c>
      <c r="AL53" s="91"/>
      <c r="AM53" s="105"/>
      <c r="AN53" s="23" t="s">
        <v>1772</v>
      </c>
      <c r="AO53" s="13" t="s">
        <v>6</v>
      </c>
      <c r="AP53" s="82" t="s">
        <v>8</v>
      </c>
      <c r="AQ53" s="91" t="s">
        <v>3576</v>
      </c>
      <c r="AR53" s="91"/>
      <c r="AS53" s="87"/>
      <c r="AT53" s="21" t="s">
        <v>1969</v>
      </c>
      <c r="AU53" s="13" t="s">
        <v>6</v>
      </c>
      <c r="AV53" s="82" t="s">
        <v>8</v>
      </c>
      <c r="AW53" s="91" t="s">
        <v>3576</v>
      </c>
      <c r="AX53" s="91"/>
      <c r="AY53" s="87"/>
      <c r="AZ53" s="22" t="s">
        <v>2165</v>
      </c>
      <c r="BA53" s="13" t="s">
        <v>6</v>
      </c>
      <c r="BB53" s="82" t="s">
        <v>8</v>
      </c>
      <c r="BC53" s="91" t="s">
        <v>3576</v>
      </c>
      <c r="BD53" s="91"/>
      <c r="BE53" s="87"/>
      <c r="BF53" s="24" t="s">
        <v>2356</v>
      </c>
      <c r="BG53" s="13" t="s">
        <v>0</v>
      </c>
      <c r="BH53" s="82" t="s">
        <v>12</v>
      </c>
      <c r="BI53" s="91" t="s">
        <v>3576</v>
      </c>
      <c r="BJ53" s="91"/>
      <c r="BK53" s="87"/>
      <c r="BL53" s="27" t="s">
        <v>2548</v>
      </c>
      <c r="BM53" s="13" t="s">
        <v>6</v>
      </c>
      <c r="BN53" s="82" t="s">
        <v>8</v>
      </c>
      <c r="BO53" s="91" t="s">
        <v>3576</v>
      </c>
      <c r="BP53" s="91"/>
      <c r="BQ53" s="105"/>
      <c r="BR53" s="72" t="s">
        <v>2746</v>
      </c>
      <c r="BS53" s="13" t="s">
        <v>15</v>
      </c>
      <c r="BT53" s="82" t="s">
        <v>4</v>
      </c>
      <c r="BU53" s="91" t="s">
        <v>3576</v>
      </c>
      <c r="BV53" s="91"/>
      <c r="BW53" s="87"/>
      <c r="BX53" s="49" t="s">
        <v>2921</v>
      </c>
      <c r="BY53" s="13" t="s">
        <v>6</v>
      </c>
      <c r="BZ53" s="82" t="s">
        <v>8</v>
      </c>
      <c r="CA53" s="91" t="s">
        <v>3576</v>
      </c>
      <c r="CB53" s="91"/>
      <c r="CC53" s="87"/>
      <c r="CD53" s="52" t="s">
        <v>2746</v>
      </c>
      <c r="CE53" s="13" t="s">
        <v>15</v>
      </c>
      <c r="CF53" s="82" t="s">
        <v>4</v>
      </c>
      <c r="CG53" s="91" t="s">
        <v>3576</v>
      </c>
      <c r="CH53" s="91"/>
      <c r="CI53" s="87"/>
      <c r="CJ53" s="19" t="s">
        <v>3240</v>
      </c>
      <c r="CK53" s="13" t="s">
        <v>15</v>
      </c>
      <c r="CL53" s="82" t="s">
        <v>4</v>
      </c>
      <c r="CM53" s="91" t="s">
        <v>3576</v>
      </c>
      <c r="CN53" s="91"/>
      <c r="CO53" s="87"/>
      <c r="CP53" s="56" t="s">
        <v>3240</v>
      </c>
      <c r="CQ53" s="13" t="s">
        <v>15</v>
      </c>
      <c r="CR53" s="82" t="s">
        <v>4</v>
      </c>
      <c r="CS53" s="91" t="s">
        <v>3576</v>
      </c>
      <c r="CT53" s="91"/>
      <c r="CU53" s="105"/>
    </row>
    <row r="54" spans="1:99" ht="42" customHeight="1" thickBot="1" x14ac:dyDescent="0.4">
      <c r="A54" s="40" t="s">
        <v>110</v>
      </c>
      <c r="B54" s="40" t="s">
        <v>273</v>
      </c>
      <c r="C54" s="40" t="s">
        <v>473</v>
      </c>
      <c r="D54" s="135" t="s">
        <v>3420</v>
      </c>
      <c r="E54" s="314" t="s">
        <v>3855</v>
      </c>
      <c r="F54" s="315" t="s">
        <v>3371</v>
      </c>
      <c r="G54" s="315" t="s">
        <v>3859</v>
      </c>
      <c r="H54" s="142" t="s">
        <v>3631</v>
      </c>
      <c r="I54" s="138" t="s">
        <v>3591</v>
      </c>
      <c r="J54" s="136" t="s">
        <v>653</v>
      </c>
      <c r="K54" s="13" t="s">
        <v>15</v>
      </c>
      <c r="L54" s="82" t="s">
        <v>19</v>
      </c>
      <c r="M54" s="146" t="s">
        <v>3577</v>
      </c>
      <c r="N54" s="91"/>
      <c r="O54" s="87"/>
      <c r="P54" s="49" t="s">
        <v>653</v>
      </c>
      <c r="Q54" s="13" t="s">
        <v>15</v>
      </c>
      <c r="R54" s="82" t="s">
        <v>19</v>
      </c>
      <c r="S54" s="91" t="s">
        <v>3577</v>
      </c>
      <c r="T54" s="91"/>
      <c r="U54" s="87"/>
      <c r="V54" s="52" t="s">
        <v>1051</v>
      </c>
      <c r="W54" s="13" t="s">
        <v>15</v>
      </c>
      <c r="X54" s="82" t="s">
        <v>4</v>
      </c>
      <c r="Y54" s="91" t="s">
        <v>3576</v>
      </c>
      <c r="Z54" s="91"/>
      <c r="AA54" s="87"/>
      <c r="AB54" s="19" t="s">
        <v>1252</v>
      </c>
      <c r="AC54" s="13" t="s">
        <v>15</v>
      </c>
      <c r="AD54" s="82" t="s">
        <v>19</v>
      </c>
      <c r="AE54" s="91" t="s">
        <v>3577</v>
      </c>
      <c r="AF54" s="91"/>
      <c r="AG54" s="87"/>
      <c r="AH54" s="56" t="s">
        <v>653</v>
      </c>
      <c r="AI54" s="13" t="s">
        <v>15</v>
      </c>
      <c r="AJ54" s="82" t="s">
        <v>19</v>
      </c>
      <c r="AK54" s="91" t="s">
        <v>3577</v>
      </c>
      <c r="AL54" s="91"/>
      <c r="AM54" s="105"/>
      <c r="AN54" s="23" t="s">
        <v>1648</v>
      </c>
      <c r="AO54" s="13" t="s">
        <v>15</v>
      </c>
      <c r="AP54" s="82" t="s">
        <v>19</v>
      </c>
      <c r="AQ54" s="91" t="s">
        <v>3577</v>
      </c>
      <c r="AR54" s="91"/>
      <c r="AS54" s="87"/>
      <c r="AT54" s="21" t="s">
        <v>1845</v>
      </c>
      <c r="AU54" s="13" t="s">
        <v>15</v>
      </c>
      <c r="AV54" s="82" t="s">
        <v>19</v>
      </c>
      <c r="AW54" s="91" t="s">
        <v>3577</v>
      </c>
      <c r="AX54" s="91"/>
      <c r="AY54" s="87"/>
      <c r="AZ54" s="22" t="s">
        <v>1648</v>
      </c>
      <c r="BA54" s="13" t="s">
        <v>15</v>
      </c>
      <c r="BB54" s="82" t="s">
        <v>19</v>
      </c>
      <c r="BC54" s="91" t="s">
        <v>3577</v>
      </c>
      <c r="BD54" s="91"/>
      <c r="BE54" s="87"/>
      <c r="BF54" s="24" t="s">
        <v>2237</v>
      </c>
      <c r="BG54" s="13" t="s">
        <v>15</v>
      </c>
      <c r="BH54" s="82" t="s">
        <v>19</v>
      </c>
      <c r="BI54" s="91" t="s">
        <v>3577</v>
      </c>
      <c r="BJ54" s="91"/>
      <c r="BK54" s="87"/>
      <c r="BL54" s="27" t="s">
        <v>2237</v>
      </c>
      <c r="BM54" s="13" t="s">
        <v>15</v>
      </c>
      <c r="BN54" s="82" t="s">
        <v>19</v>
      </c>
      <c r="BO54" s="91" t="s">
        <v>3577</v>
      </c>
      <c r="BP54" s="91"/>
      <c r="BQ54" s="105"/>
      <c r="BR54" s="72" t="s">
        <v>1051</v>
      </c>
      <c r="BS54" s="13" t="s">
        <v>15</v>
      </c>
      <c r="BT54" s="82" t="s">
        <v>4</v>
      </c>
      <c r="BU54" s="91" t="s">
        <v>3576</v>
      </c>
      <c r="BV54" s="91"/>
      <c r="BW54" s="87"/>
      <c r="BX54" s="49" t="s">
        <v>2817</v>
      </c>
      <c r="BY54" s="13" t="s">
        <v>15</v>
      </c>
      <c r="BZ54" s="82" t="s">
        <v>4</v>
      </c>
      <c r="CA54" s="91" t="s">
        <v>3576</v>
      </c>
      <c r="CB54" s="91"/>
      <c r="CC54" s="264"/>
      <c r="CD54" s="52" t="s">
        <v>3632</v>
      </c>
      <c r="CE54" s="13" t="s">
        <v>15</v>
      </c>
      <c r="CF54" s="82" t="s">
        <v>4</v>
      </c>
      <c r="CG54" s="91" t="s">
        <v>3576</v>
      </c>
      <c r="CH54" s="91"/>
      <c r="CI54" s="87"/>
      <c r="CJ54" s="19" t="s">
        <v>1051</v>
      </c>
      <c r="CK54" s="13" t="s">
        <v>15</v>
      </c>
      <c r="CL54" s="82" t="s">
        <v>4</v>
      </c>
      <c r="CM54" s="91" t="s">
        <v>3576</v>
      </c>
      <c r="CN54" s="91"/>
      <c r="CO54" s="87"/>
      <c r="CP54" s="56" t="s">
        <v>1051</v>
      </c>
      <c r="CQ54" s="13" t="s">
        <v>15</v>
      </c>
      <c r="CR54" s="82" t="s">
        <v>4</v>
      </c>
      <c r="CS54" s="91" t="s">
        <v>3576</v>
      </c>
      <c r="CT54" s="91"/>
      <c r="CU54" s="105"/>
    </row>
    <row r="55" spans="1:99" ht="42" customHeight="1" thickBot="1" x14ac:dyDescent="0.4">
      <c r="A55" s="40" t="s">
        <v>96</v>
      </c>
      <c r="B55" s="40" t="s">
        <v>258</v>
      </c>
      <c r="C55" s="40" t="s">
        <v>457</v>
      </c>
      <c r="D55" s="135" t="s">
        <v>3406</v>
      </c>
      <c r="E55" s="314" t="s">
        <v>3855</v>
      </c>
      <c r="F55" s="315" t="s">
        <v>3387</v>
      </c>
      <c r="G55" s="315" t="s">
        <v>3861</v>
      </c>
      <c r="H55" s="142" t="s">
        <v>3612</v>
      </c>
      <c r="I55" s="138" t="s">
        <v>3613</v>
      </c>
      <c r="J55" s="136" t="s">
        <v>637</v>
      </c>
      <c r="K55" s="13" t="s">
        <v>15</v>
      </c>
      <c r="L55" s="82" t="s">
        <v>20</v>
      </c>
      <c r="M55" s="146" t="s">
        <v>3577</v>
      </c>
      <c r="N55" s="91"/>
      <c r="O55" s="87"/>
      <c r="P55" s="49" t="s">
        <v>838</v>
      </c>
      <c r="Q55" s="13" t="s">
        <v>15</v>
      </c>
      <c r="R55" s="82" t="s">
        <v>4</v>
      </c>
      <c r="S55" s="91" t="s">
        <v>3576</v>
      </c>
      <c r="T55" s="91"/>
      <c r="U55" s="87"/>
      <c r="V55" s="52" t="s">
        <v>1036</v>
      </c>
      <c r="W55" s="13" t="s">
        <v>15</v>
      </c>
      <c r="X55" s="82" t="s">
        <v>4</v>
      </c>
      <c r="Y55" s="91" t="s">
        <v>3576</v>
      </c>
      <c r="Z55" s="91"/>
      <c r="AA55" s="87"/>
      <c r="AB55" s="19" t="s">
        <v>1236</v>
      </c>
      <c r="AC55" s="13" t="s">
        <v>15</v>
      </c>
      <c r="AD55" s="82" t="s">
        <v>4</v>
      </c>
      <c r="AE55" s="91" t="s">
        <v>3576</v>
      </c>
      <c r="AF55" s="91"/>
      <c r="AG55" s="87"/>
      <c r="AH55" s="56" t="s">
        <v>1435</v>
      </c>
      <c r="AI55" s="13" t="s">
        <v>15</v>
      </c>
      <c r="AJ55" s="82" t="s">
        <v>20</v>
      </c>
      <c r="AK55" s="91" t="s">
        <v>3577</v>
      </c>
      <c r="AL55" s="91"/>
      <c r="AM55" s="105"/>
      <c r="AN55" s="23" t="s">
        <v>3553</v>
      </c>
      <c r="AO55" s="13" t="s">
        <v>11</v>
      </c>
      <c r="AP55" s="82"/>
      <c r="AQ55" s="91" t="s">
        <v>3576</v>
      </c>
      <c r="AR55" s="91"/>
      <c r="AS55" s="351" t="s">
        <v>3715</v>
      </c>
      <c r="AT55" s="21" t="s">
        <v>1831</v>
      </c>
      <c r="AU55" s="13" t="s">
        <v>0</v>
      </c>
      <c r="AV55" s="82" t="s">
        <v>12</v>
      </c>
      <c r="AW55" s="91" t="s">
        <v>3576</v>
      </c>
      <c r="AX55" s="91"/>
      <c r="AY55" s="87"/>
      <c r="AZ55" s="22" t="s">
        <v>2028</v>
      </c>
      <c r="BA55" s="13" t="s">
        <v>11</v>
      </c>
      <c r="BB55" s="82"/>
      <c r="BC55" s="91" t="s">
        <v>3576</v>
      </c>
      <c r="BD55" s="91"/>
      <c r="BE55" s="87"/>
      <c r="BF55" s="24" t="s">
        <v>2225</v>
      </c>
      <c r="BG55" s="13" t="s">
        <v>0</v>
      </c>
      <c r="BH55" s="82" t="s">
        <v>12</v>
      </c>
      <c r="BI55" s="91" t="s">
        <v>3576</v>
      </c>
      <c r="BJ55" s="91"/>
      <c r="BK55" s="87"/>
      <c r="BL55" s="27" t="s">
        <v>2413</v>
      </c>
      <c r="BM55" s="13" t="s">
        <v>11</v>
      </c>
      <c r="BN55" s="82"/>
      <c r="BO55" s="91" t="s">
        <v>3576</v>
      </c>
      <c r="BP55" s="91"/>
      <c r="BQ55" s="105"/>
      <c r="BR55" s="72" t="s">
        <v>2802</v>
      </c>
      <c r="BS55" s="13" t="s">
        <v>0</v>
      </c>
      <c r="BT55" s="82" t="s">
        <v>12</v>
      </c>
      <c r="BU55" s="91" t="s">
        <v>3576</v>
      </c>
      <c r="BV55" s="91"/>
      <c r="BW55" s="87"/>
      <c r="BX55" s="49" t="s">
        <v>2802</v>
      </c>
      <c r="BY55" s="13" t="s">
        <v>0</v>
      </c>
      <c r="BZ55" s="82" t="s">
        <v>12</v>
      </c>
      <c r="CA55" s="91" t="s">
        <v>3576</v>
      </c>
      <c r="CB55" s="91"/>
      <c r="CC55" s="264"/>
      <c r="CD55" s="52" t="s">
        <v>2976</v>
      </c>
      <c r="CE55" s="13" t="s">
        <v>0</v>
      </c>
      <c r="CF55" s="82" t="s">
        <v>12</v>
      </c>
      <c r="CG55" s="91" t="s">
        <v>3576</v>
      </c>
      <c r="CH55" s="91"/>
      <c r="CI55" s="87"/>
      <c r="CJ55" s="19" t="s">
        <v>3146</v>
      </c>
      <c r="CK55" s="13" t="s">
        <v>0</v>
      </c>
      <c r="CL55" s="82" t="s">
        <v>12</v>
      </c>
      <c r="CM55" s="91" t="s">
        <v>3576</v>
      </c>
      <c r="CN55" s="91"/>
      <c r="CO55" s="87"/>
      <c r="CP55" s="56" t="s">
        <v>3282</v>
      </c>
      <c r="CQ55" s="13" t="s">
        <v>15</v>
      </c>
      <c r="CR55" s="82" t="s">
        <v>20</v>
      </c>
      <c r="CS55" s="91" t="s">
        <v>3577</v>
      </c>
      <c r="CT55" s="91"/>
      <c r="CU55" s="311" t="s">
        <v>3565</v>
      </c>
    </row>
    <row r="56" spans="1:99" ht="42" customHeight="1" thickBot="1" x14ac:dyDescent="0.4">
      <c r="A56" s="40" t="s">
        <v>226</v>
      </c>
      <c r="B56" s="40" t="s">
        <v>424</v>
      </c>
      <c r="C56" s="40" t="s">
        <v>605</v>
      </c>
      <c r="D56" s="135" t="s">
        <v>3550</v>
      </c>
      <c r="E56" s="314" t="s">
        <v>3855</v>
      </c>
      <c r="F56" s="315" t="s">
        <v>3387</v>
      </c>
      <c r="G56" s="315" t="s">
        <v>3861</v>
      </c>
      <c r="H56" s="142"/>
      <c r="I56" s="138"/>
      <c r="J56" s="136" t="s">
        <v>805</v>
      </c>
      <c r="K56" s="13" t="s">
        <v>15</v>
      </c>
      <c r="L56" s="82" t="s">
        <v>20</v>
      </c>
      <c r="M56" s="146" t="s">
        <v>3577</v>
      </c>
      <c r="N56" s="91"/>
      <c r="O56" s="87"/>
      <c r="P56" s="49" t="s">
        <v>1002</v>
      </c>
      <c r="Q56" s="13" t="s">
        <v>15</v>
      </c>
      <c r="R56" s="82" t="s">
        <v>20</v>
      </c>
      <c r="S56" s="91" t="s">
        <v>3577</v>
      </c>
      <c r="T56" s="91"/>
      <c r="U56" s="87"/>
      <c r="V56" s="52" t="s">
        <v>1202</v>
      </c>
      <c r="W56" s="13" t="s">
        <v>0</v>
      </c>
      <c r="X56" s="82" t="s">
        <v>12</v>
      </c>
      <c r="Y56" s="91" t="s">
        <v>3577</v>
      </c>
      <c r="Z56" s="91"/>
      <c r="AA56" s="87"/>
      <c r="AB56" s="19" t="s">
        <v>1401</v>
      </c>
      <c r="AC56" s="13" t="s">
        <v>15</v>
      </c>
      <c r="AD56" s="82" t="s">
        <v>20</v>
      </c>
      <c r="AE56" s="91" t="s">
        <v>3577</v>
      </c>
      <c r="AF56" s="91"/>
      <c r="AG56" s="87"/>
      <c r="AH56" s="56" t="s">
        <v>1599</v>
      </c>
      <c r="AI56" s="13" t="s">
        <v>0</v>
      </c>
      <c r="AJ56" s="82" t="s">
        <v>12</v>
      </c>
      <c r="AK56" s="91" t="s">
        <v>3577</v>
      </c>
      <c r="AL56" s="91"/>
      <c r="AM56" s="105"/>
      <c r="AN56" s="23" t="s">
        <v>1798</v>
      </c>
      <c r="AO56" s="13" t="s">
        <v>0</v>
      </c>
      <c r="AP56" s="82" t="s">
        <v>12</v>
      </c>
      <c r="AQ56" s="91" t="s">
        <v>3577</v>
      </c>
      <c r="AR56" s="91"/>
      <c r="AS56" s="87"/>
      <c r="AT56" s="21" t="s">
        <v>1995</v>
      </c>
      <c r="AU56" s="13" t="s">
        <v>0</v>
      </c>
      <c r="AV56" s="82" t="s">
        <v>12</v>
      </c>
      <c r="AW56" s="91" t="s">
        <v>3577</v>
      </c>
      <c r="AX56" s="91"/>
      <c r="AY56" s="87"/>
      <c r="AZ56" s="22" t="s">
        <v>2191</v>
      </c>
      <c r="BA56" s="13" t="s">
        <v>0</v>
      </c>
      <c r="BB56" s="82" t="s">
        <v>12</v>
      </c>
      <c r="BC56" s="91" t="s">
        <v>3577</v>
      </c>
      <c r="BD56" s="91"/>
      <c r="BE56" s="87"/>
      <c r="BF56" s="24" t="s">
        <v>1798</v>
      </c>
      <c r="BG56" s="13" t="s">
        <v>0</v>
      </c>
      <c r="BH56" s="82" t="s">
        <v>12</v>
      </c>
      <c r="BI56" s="91" t="s">
        <v>3577</v>
      </c>
      <c r="BJ56" s="91"/>
      <c r="BK56" s="87"/>
      <c r="BL56" s="27" t="s">
        <v>2573</v>
      </c>
      <c r="BM56" s="13" t="s">
        <v>0</v>
      </c>
      <c r="BN56" s="82" t="s">
        <v>12</v>
      </c>
      <c r="BO56" s="91" t="s">
        <v>3577</v>
      </c>
      <c r="BP56" s="91"/>
      <c r="BQ56" s="105"/>
      <c r="BR56" s="72" t="s">
        <v>2772</v>
      </c>
      <c r="BS56" s="13" t="s">
        <v>0</v>
      </c>
      <c r="BT56" s="82" t="s">
        <v>12</v>
      </c>
      <c r="BU56" s="91" t="s">
        <v>3577</v>
      </c>
      <c r="BV56" s="91"/>
      <c r="BW56" s="87"/>
      <c r="BX56" s="49" t="s">
        <v>2945</v>
      </c>
      <c r="BY56" s="13" t="s">
        <v>0</v>
      </c>
      <c r="BZ56" s="82" t="s">
        <v>12</v>
      </c>
      <c r="CA56" s="91" t="s">
        <v>3577</v>
      </c>
      <c r="CB56" s="91"/>
      <c r="CC56" s="87"/>
      <c r="CD56" s="52" t="s">
        <v>3121</v>
      </c>
      <c r="CE56" s="13" t="s">
        <v>0</v>
      </c>
      <c r="CF56" s="82" t="s">
        <v>12</v>
      </c>
      <c r="CG56" s="91" t="s">
        <v>3577</v>
      </c>
      <c r="CH56" s="91"/>
      <c r="CI56" s="87"/>
      <c r="CJ56" s="19" t="s">
        <v>3121</v>
      </c>
      <c r="CK56" s="13" t="s">
        <v>0</v>
      </c>
      <c r="CL56" s="82" t="s">
        <v>12</v>
      </c>
      <c r="CM56" s="91" t="s">
        <v>3577</v>
      </c>
      <c r="CN56" s="91"/>
      <c r="CO56" s="87"/>
      <c r="CP56" s="56" t="s">
        <v>2772</v>
      </c>
      <c r="CQ56" s="13" t="s">
        <v>0</v>
      </c>
      <c r="CR56" s="82" t="s">
        <v>12</v>
      </c>
      <c r="CS56" s="91" t="s">
        <v>3577</v>
      </c>
      <c r="CT56" s="91"/>
      <c r="CU56" s="105"/>
    </row>
    <row r="57" spans="1:99" ht="42" customHeight="1" thickBot="1" x14ac:dyDescent="0.4">
      <c r="A57" s="40" t="s">
        <v>121</v>
      </c>
      <c r="B57" s="40" t="s">
        <v>284</v>
      </c>
      <c r="C57" s="40" t="s">
        <v>485</v>
      </c>
      <c r="D57" s="135" t="s">
        <v>3837</v>
      </c>
      <c r="E57" s="314" t="s">
        <v>3855</v>
      </c>
      <c r="F57" s="315" t="s">
        <v>3371</v>
      </c>
      <c r="G57" s="315" t="s">
        <v>3859</v>
      </c>
      <c r="H57" s="178" t="s">
        <v>3649</v>
      </c>
      <c r="I57" s="178" t="s">
        <v>3650</v>
      </c>
      <c r="J57" s="136" t="s">
        <v>665</v>
      </c>
      <c r="K57" s="13" t="s">
        <v>15</v>
      </c>
      <c r="L57" s="82" t="s">
        <v>9</v>
      </c>
      <c r="M57" s="146" t="s">
        <v>3576</v>
      </c>
      <c r="N57" s="91"/>
      <c r="O57" s="87"/>
      <c r="P57" s="49" t="s">
        <v>864</v>
      </c>
      <c r="Q57" s="13" t="s">
        <v>15</v>
      </c>
      <c r="R57" s="82" t="s">
        <v>9</v>
      </c>
      <c r="S57" s="91" t="s">
        <v>3576</v>
      </c>
      <c r="T57" s="91"/>
      <c r="U57" s="87"/>
      <c r="V57" s="52" t="s">
        <v>1063</v>
      </c>
      <c r="W57" s="13" t="s">
        <v>15</v>
      </c>
      <c r="X57" s="82" t="s">
        <v>9</v>
      </c>
      <c r="Y57" s="91" t="s">
        <v>3576</v>
      </c>
      <c r="Z57" s="91"/>
      <c r="AA57" s="87"/>
      <c r="AB57" s="19" t="s">
        <v>1264</v>
      </c>
      <c r="AC57" s="13" t="s">
        <v>15</v>
      </c>
      <c r="AD57" s="82" t="s">
        <v>9</v>
      </c>
      <c r="AE57" s="91" t="s">
        <v>3576</v>
      </c>
      <c r="AF57" s="91"/>
      <c r="AG57" s="87"/>
      <c r="AH57" s="56" t="s">
        <v>1461</v>
      </c>
      <c r="AI57" s="13" t="s">
        <v>15</v>
      </c>
      <c r="AJ57" s="82" t="s">
        <v>9</v>
      </c>
      <c r="AK57" s="91" t="s">
        <v>3576</v>
      </c>
      <c r="AL57" s="91"/>
      <c r="AM57" s="105"/>
      <c r="AN57" s="23" t="s">
        <v>1660</v>
      </c>
      <c r="AO57" s="13" t="s">
        <v>15</v>
      </c>
      <c r="AP57" s="82" t="s">
        <v>9</v>
      </c>
      <c r="AQ57" s="91" t="s">
        <v>3576</v>
      </c>
      <c r="AR57" s="91"/>
      <c r="AS57" s="87"/>
      <c r="AT57" s="21" t="s">
        <v>1857</v>
      </c>
      <c r="AU57" s="13" t="s">
        <v>15</v>
      </c>
      <c r="AV57" s="82" t="s">
        <v>9</v>
      </c>
      <c r="AW57" s="91" t="s">
        <v>3576</v>
      </c>
      <c r="AX57" s="91"/>
      <c r="AY57" s="87"/>
      <c r="AZ57" s="22" t="s">
        <v>2055</v>
      </c>
      <c r="BA57" s="13" t="s">
        <v>15</v>
      </c>
      <c r="BB57" s="82" t="s">
        <v>9</v>
      </c>
      <c r="BC57" s="91" t="s">
        <v>3576</v>
      </c>
      <c r="BD57" s="91"/>
      <c r="BE57" s="87"/>
      <c r="BF57" s="24" t="s">
        <v>2249</v>
      </c>
      <c r="BG57" s="13" t="s">
        <v>15</v>
      </c>
      <c r="BH57" s="82" t="s">
        <v>9</v>
      </c>
      <c r="BI57" s="91" t="s">
        <v>3576</v>
      </c>
      <c r="BJ57" s="91"/>
      <c r="BK57" s="87"/>
      <c r="BL57" s="27" t="s">
        <v>2438</v>
      </c>
      <c r="BM57" s="13" t="s">
        <v>15</v>
      </c>
      <c r="BN57" s="82" t="s">
        <v>9</v>
      </c>
      <c r="BO57" s="91" t="s">
        <v>3576</v>
      </c>
      <c r="BP57" s="91"/>
      <c r="BQ57" s="105"/>
      <c r="BR57" s="72" t="s">
        <v>2634</v>
      </c>
      <c r="BS57" s="13" t="s">
        <v>15</v>
      </c>
      <c r="BT57" s="82" t="s">
        <v>9</v>
      </c>
      <c r="BU57" s="91" t="s">
        <v>3576</v>
      </c>
      <c r="BV57" s="91"/>
      <c r="BW57" s="87"/>
      <c r="BX57" s="49" t="s">
        <v>2828</v>
      </c>
      <c r="BY57" s="13" t="s">
        <v>15</v>
      </c>
      <c r="BZ57" s="82" t="s">
        <v>9</v>
      </c>
      <c r="CA57" s="91" t="s">
        <v>3576</v>
      </c>
      <c r="CB57" s="91"/>
      <c r="CC57" s="264"/>
      <c r="CD57" s="52" t="s">
        <v>3000</v>
      </c>
      <c r="CE57" s="13" t="s">
        <v>15</v>
      </c>
      <c r="CF57" s="82" t="s">
        <v>9</v>
      </c>
      <c r="CG57" s="91" t="s">
        <v>3576</v>
      </c>
      <c r="CH57" s="91"/>
      <c r="CI57" s="87"/>
      <c r="CJ57" s="19" t="s">
        <v>3162</v>
      </c>
      <c r="CK57" s="13" t="s">
        <v>15</v>
      </c>
      <c r="CL57" s="82" t="s">
        <v>9</v>
      </c>
      <c r="CM57" s="91" t="s">
        <v>3576</v>
      </c>
      <c r="CN57" s="91"/>
      <c r="CO57" s="87"/>
      <c r="CP57" s="56" t="s">
        <v>3162</v>
      </c>
      <c r="CQ57" s="13" t="s">
        <v>15</v>
      </c>
      <c r="CR57" s="82" t="s">
        <v>9</v>
      </c>
      <c r="CS57" s="91" t="s">
        <v>3576</v>
      </c>
      <c r="CT57" s="91"/>
      <c r="CU57" s="105"/>
    </row>
    <row r="58" spans="1:99" ht="42" customHeight="1" thickBot="1" x14ac:dyDescent="0.4">
      <c r="A58" s="40" t="s">
        <v>144</v>
      </c>
      <c r="B58" s="40" t="s">
        <v>313</v>
      </c>
      <c r="C58" s="40" t="s">
        <v>512</v>
      </c>
      <c r="D58" s="135" t="s">
        <v>3459</v>
      </c>
      <c r="E58" s="314" t="s">
        <v>3855</v>
      </c>
      <c r="F58" s="315" t="s">
        <v>3423</v>
      </c>
      <c r="G58" s="315" t="s">
        <v>3865</v>
      </c>
      <c r="H58" s="142" t="s">
        <v>3676</v>
      </c>
      <c r="I58" s="138" t="s">
        <v>3559</v>
      </c>
      <c r="J58" s="136" t="s">
        <v>694</v>
      </c>
      <c r="K58" s="13" t="s">
        <v>0</v>
      </c>
      <c r="L58" s="82" t="s">
        <v>1</v>
      </c>
      <c r="M58" s="146" t="s">
        <v>3576</v>
      </c>
      <c r="N58" s="91"/>
      <c r="O58" s="87"/>
      <c r="P58" s="49" t="s">
        <v>893</v>
      </c>
      <c r="Q58" s="13" t="s">
        <v>0</v>
      </c>
      <c r="R58" s="82" t="s">
        <v>1</v>
      </c>
      <c r="S58" s="91" t="s">
        <v>3576</v>
      </c>
      <c r="T58" s="91"/>
      <c r="U58" s="87"/>
      <c r="V58" s="52" t="s">
        <v>1092</v>
      </c>
      <c r="W58" s="13" t="s">
        <v>0</v>
      </c>
      <c r="X58" s="82" t="s">
        <v>1</v>
      </c>
      <c r="Y58" s="91" t="s">
        <v>3576</v>
      </c>
      <c r="Z58" s="91"/>
      <c r="AA58" s="87"/>
      <c r="AB58" s="19" t="s">
        <v>1292</v>
      </c>
      <c r="AC58" s="13" t="s">
        <v>0</v>
      </c>
      <c r="AD58" s="82" t="s">
        <v>1</v>
      </c>
      <c r="AE58" s="91" t="s">
        <v>3576</v>
      </c>
      <c r="AF58" s="91"/>
      <c r="AG58" s="87"/>
      <c r="AH58" s="56" t="s">
        <v>1489</v>
      </c>
      <c r="AI58" s="13" t="s">
        <v>0</v>
      </c>
      <c r="AJ58" s="82" t="s">
        <v>1</v>
      </c>
      <c r="AK58" s="91" t="s">
        <v>3576</v>
      </c>
      <c r="AL58" s="91"/>
      <c r="AM58" s="105"/>
      <c r="AN58" s="23" t="s">
        <v>1688</v>
      </c>
      <c r="AO58" s="13" t="s">
        <v>0</v>
      </c>
      <c r="AP58" s="82" t="s">
        <v>1</v>
      </c>
      <c r="AQ58" s="91" t="s">
        <v>3576</v>
      </c>
      <c r="AR58" s="91"/>
      <c r="AS58" s="87"/>
      <c r="AT58" s="21" t="s">
        <v>1886</v>
      </c>
      <c r="AU58" s="13" t="s">
        <v>0</v>
      </c>
      <c r="AV58" s="82" t="s">
        <v>1</v>
      </c>
      <c r="AW58" s="91" t="s">
        <v>3576</v>
      </c>
      <c r="AX58" s="91"/>
      <c r="AY58" s="87"/>
      <c r="AZ58" s="22" t="s">
        <v>2082</v>
      </c>
      <c r="BA58" s="13" t="s">
        <v>0</v>
      </c>
      <c r="BB58" s="82" t="s">
        <v>1</v>
      </c>
      <c r="BC58" s="91" t="s">
        <v>3576</v>
      </c>
      <c r="BD58" s="91"/>
      <c r="BE58" s="87"/>
      <c r="BF58" s="24" t="s">
        <v>1688</v>
      </c>
      <c r="BG58" s="13" t="s">
        <v>0</v>
      </c>
      <c r="BH58" s="82" t="s">
        <v>1</v>
      </c>
      <c r="BI58" s="91" t="s">
        <v>3576</v>
      </c>
      <c r="BJ58" s="91"/>
      <c r="BK58" s="87"/>
      <c r="BL58" s="27" t="s">
        <v>2465</v>
      </c>
      <c r="BM58" s="13" t="s">
        <v>0</v>
      </c>
      <c r="BN58" s="82" t="s">
        <v>1</v>
      </c>
      <c r="BO58" s="91" t="s">
        <v>3576</v>
      </c>
      <c r="BP58" s="91"/>
      <c r="BQ58" s="105"/>
      <c r="BR58" s="72" t="s">
        <v>2662</v>
      </c>
      <c r="BS58" s="13" t="s">
        <v>0</v>
      </c>
      <c r="BT58" s="82" t="s">
        <v>1</v>
      </c>
      <c r="BU58" s="91" t="s">
        <v>3576</v>
      </c>
      <c r="BV58" s="91"/>
      <c r="BW58" s="87"/>
      <c r="BX58" s="49" t="s">
        <v>2850</v>
      </c>
      <c r="BY58" s="13" t="s">
        <v>0</v>
      </c>
      <c r="BZ58" s="82" t="s">
        <v>1</v>
      </c>
      <c r="CA58" s="91" t="s">
        <v>3576</v>
      </c>
      <c r="CB58" s="91"/>
      <c r="CC58" s="87"/>
      <c r="CD58" s="52" t="s">
        <v>3026</v>
      </c>
      <c r="CE58" s="13" t="s">
        <v>0</v>
      </c>
      <c r="CF58" s="82" t="s">
        <v>1</v>
      </c>
      <c r="CG58" s="91" t="s">
        <v>3576</v>
      </c>
      <c r="CH58" s="91"/>
      <c r="CI58" s="87"/>
      <c r="CJ58" s="19" t="s">
        <v>2850</v>
      </c>
      <c r="CK58" s="13" t="s">
        <v>0</v>
      </c>
      <c r="CL58" s="82" t="s">
        <v>1</v>
      </c>
      <c r="CM58" s="91" t="s">
        <v>3576</v>
      </c>
      <c r="CN58" s="91"/>
      <c r="CO58" s="87"/>
      <c r="CP58" s="56" t="s">
        <v>2850</v>
      </c>
      <c r="CQ58" s="13" t="s">
        <v>0</v>
      </c>
      <c r="CR58" s="82" t="s">
        <v>1</v>
      </c>
      <c r="CS58" s="91" t="s">
        <v>3576</v>
      </c>
      <c r="CT58" s="91"/>
      <c r="CU58" s="105"/>
    </row>
    <row r="59" spans="1:99" ht="42" customHeight="1" thickBot="1" x14ac:dyDescent="0.4">
      <c r="A59" s="40" t="s">
        <v>103</v>
      </c>
      <c r="B59" s="40" t="s">
        <v>265</v>
      </c>
      <c r="C59" s="40" t="s">
        <v>464</v>
      </c>
      <c r="D59" s="135" t="s">
        <v>3412</v>
      </c>
      <c r="E59" s="314" t="s">
        <v>3855</v>
      </c>
      <c r="F59" s="315" t="s">
        <v>3371</v>
      </c>
      <c r="G59" s="315" t="s">
        <v>3859</v>
      </c>
      <c r="H59" s="142" t="s">
        <v>3621</v>
      </c>
      <c r="I59" s="138" t="s">
        <v>3559</v>
      </c>
      <c r="J59" s="136" t="s">
        <v>644</v>
      </c>
      <c r="K59" s="13" t="s">
        <v>15</v>
      </c>
      <c r="L59" s="82" t="s">
        <v>19</v>
      </c>
      <c r="M59" s="150" t="s">
        <v>3577</v>
      </c>
      <c r="N59" s="91"/>
      <c r="O59" s="87"/>
      <c r="P59" s="49" t="s">
        <v>845</v>
      </c>
      <c r="Q59" s="13" t="s">
        <v>15</v>
      </c>
      <c r="R59" s="82" t="s">
        <v>19</v>
      </c>
      <c r="S59" s="91" t="s">
        <v>3577</v>
      </c>
      <c r="T59" s="91"/>
      <c r="U59" s="87"/>
      <c r="V59" s="52" t="s">
        <v>1043</v>
      </c>
      <c r="W59" s="13" t="s">
        <v>15</v>
      </c>
      <c r="X59" s="82" t="s">
        <v>19</v>
      </c>
      <c r="Y59" s="91" t="s">
        <v>3577</v>
      </c>
      <c r="Z59" s="91"/>
      <c r="AA59" s="87"/>
      <c r="AB59" s="19" t="s">
        <v>1243</v>
      </c>
      <c r="AC59" s="13" t="s">
        <v>15</v>
      </c>
      <c r="AD59" s="82" t="s">
        <v>9</v>
      </c>
      <c r="AE59" s="91" t="s">
        <v>3576</v>
      </c>
      <c r="AF59" s="91"/>
      <c r="AG59" s="87"/>
      <c r="AH59" s="56" t="s">
        <v>1442</v>
      </c>
      <c r="AI59" s="13" t="s">
        <v>15</v>
      </c>
      <c r="AJ59" s="82" t="s">
        <v>19</v>
      </c>
      <c r="AK59" s="91" t="s">
        <v>3577</v>
      </c>
      <c r="AL59" s="91"/>
      <c r="AM59" s="105"/>
      <c r="AN59" s="23" t="s">
        <v>1639</v>
      </c>
      <c r="AO59" s="13" t="s">
        <v>15</v>
      </c>
      <c r="AP59" s="82" t="s">
        <v>9</v>
      </c>
      <c r="AQ59" s="91" t="s">
        <v>3576</v>
      </c>
      <c r="AR59" s="91"/>
      <c r="AS59" s="87"/>
      <c r="AT59" s="21" t="s">
        <v>1838</v>
      </c>
      <c r="AU59" s="13" t="s">
        <v>15</v>
      </c>
      <c r="AV59" s="82" t="s">
        <v>9</v>
      </c>
      <c r="AW59" s="91" t="s">
        <v>3576</v>
      </c>
      <c r="AX59" s="91"/>
      <c r="AY59" s="87"/>
      <c r="AZ59" s="22" t="s">
        <v>2035</v>
      </c>
      <c r="BA59" s="13" t="s">
        <v>15</v>
      </c>
      <c r="BB59" s="82" t="s">
        <v>9</v>
      </c>
      <c r="BC59" s="91" t="s">
        <v>3576</v>
      </c>
      <c r="BD59" s="91"/>
      <c r="BE59" s="87"/>
      <c r="BF59" s="24" t="s">
        <v>2232</v>
      </c>
      <c r="BG59" s="13" t="s">
        <v>15</v>
      </c>
      <c r="BH59" s="82" t="s">
        <v>9</v>
      </c>
      <c r="BI59" s="91" t="s">
        <v>3576</v>
      </c>
      <c r="BJ59" s="91"/>
      <c r="BK59" s="87"/>
      <c r="BL59" s="27" t="s">
        <v>1639</v>
      </c>
      <c r="BM59" s="13" t="s">
        <v>15</v>
      </c>
      <c r="BN59" s="82" t="s">
        <v>9</v>
      </c>
      <c r="BO59" s="91" t="s">
        <v>3576</v>
      </c>
      <c r="BP59" s="91"/>
      <c r="BQ59" s="105"/>
      <c r="BR59" s="72" t="s">
        <v>2808</v>
      </c>
      <c r="BS59" s="13" t="s">
        <v>15</v>
      </c>
      <c r="BT59" s="82" t="s">
        <v>9</v>
      </c>
      <c r="BU59" s="91" t="s">
        <v>3576</v>
      </c>
      <c r="BV59" s="91"/>
      <c r="BW59" s="87"/>
      <c r="BX59" s="49" t="s">
        <v>2808</v>
      </c>
      <c r="BY59" s="13" t="s">
        <v>15</v>
      </c>
      <c r="BZ59" s="82" t="s">
        <v>9</v>
      </c>
      <c r="CA59" s="91" t="s">
        <v>3576</v>
      </c>
      <c r="CB59" s="91"/>
      <c r="CC59" s="264"/>
      <c r="CD59" s="52" t="s">
        <v>2983</v>
      </c>
      <c r="CE59" s="13" t="s">
        <v>11</v>
      </c>
      <c r="CF59" s="82"/>
      <c r="CG59" s="91" t="s">
        <v>3576</v>
      </c>
      <c r="CH59" s="91"/>
      <c r="CI59" s="87" t="s">
        <v>3717</v>
      </c>
      <c r="CJ59" s="19" t="s">
        <v>3150</v>
      </c>
      <c r="CK59" s="13" t="s">
        <v>11</v>
      </c>
      <c r="CL59" s="82"/>
      <c r="CM59" s="91" t="s">
        <v>3576</v>
      </c>
      <c r="CN59" s="91"/>
      <c r="CO59" s="87" t="s">
        <v>3717</v>
      </c>
      <c r="CP59" s="56" t="s">
        <v>3287</v>
      </c>
      <c r="CQ59" s="13" t="s">
        <v>15</v>
      </c>
      <c r="CR59" s="82" t="s">
        <v>9</v>
      </c>
      <c r="CS59" s="91" t="s">
        <v>3577</v>
      </c>
      <c r="CT59" s="91"/>
      <c r="CU59" s="105"/>
    </row>
    <row r="60" spans="1:99" ht="42" customHeight="1" thickBot="1" x14ac:dyDescent="0.4">
      <c r="A60" s="40" t="s">
        <v>222</v>
      </c>
      <c r="B60" s="40" t="s">
        <v>418</v>
      </c>
      <c r="C60" s="40" t="s">
        <v>599</v>
      </c>
      <c r="D60" s="135" t="s">
        <v>3545</v>
      </c>
      <c r="E60" s="314" t="s">
        <v>3855</v>
      </c>
      <c r="F60" s="315" t="s">
        <v>3383</v>
      </c>
      <c r="G60" s="315" t="s">
        <v>3863</v>
      </c>
      <c r="H60" s="142" t="s">
        <v>3815</v>
      </c>
      <c r="I60" s="138" t="s">
        <v>3559</v>
      </c>
      <c r="J60" s="136" t="s">
        <v>799</v>
      </c>
      <c r="K60" s="13" t="s">
        <v>15</v>
      </c>
      <c r="L60" s="82" t="s">
        <v>4</v>
      </c>
      <c r="M60" s="169" t="s">
        <v>3576</v>
      </c>
      <c r="N60" s="165"/>
      <c r="O60" s="87"/>
      <c r="P60" s="49" t="s">
        <v>799</v>
      </c>
      <c r="Q60" s="13" t="s">
        <v>15</v>
      </c>
      <c r="R60" s="82" t="s">
        <v>4</v>
      </c>
      <c r="S60" s="91" t="s">
        <v>3576</v>
      </c>
      <c r="T60" s="91"/>
      <c r="U60" s="87"/>
      <c r="V60" s="52" t="s">
        <v>1196</v>
      </c>
      <c r="W60" s="13" t="s">
        <v>15</v>
      </c>
      <c r="X60" s="82" t="s">
        <v>4</v>
      </c>
      <c r="Y60" s="91" t="s">
        <v>3576</v>
      </c>
      <c r="Z60" s="91"/>
      <c r="AA60" s="87"/>
      <c r="AB60" s="19" t="s">
        <v>1395</v>
      </c>
      <c r="AC60" s="13" t="s">
        <v>15</v>
      </c>
      <c r="AD60" s="82" t="s">
        <v>4</v>
      </c>
      <c r="AE60" s="91" t="s">
        <v>3576</v>
      </c>
      <c r="AF60" s="91"/>
      <c r="AG60" s="87"/>
      <c r="AH60" s="56" t="s">
        <v>1593</v>
      </c>
      <c r="AI60" s="13" t="s">
        <v>15</v>
      </c>
      <c r="AJ60" s="82" t="s">
        <v>4</v>
      </c>
      <c r="AK60" s="91" t="s">
        <v>3576</v>
      </c>
      <c r="AL60" s="91"/>
      <c r="AM60" s="105"/>
      <c r="AN60" s="23" t="s">
        <v>1792</v>
      </c>
      <c r="AO60" s="13" t="s">
        <v>15</v>
      </c>
      <c r="AP60" s="82" t="s">
        <v>4</v>
      </c>
      <c r="AQ60" s="91" t="s">
        <v>3576</v>
      </c>
      <c r="AR60" s="91"/>
      <c r="AS60" s="87"/>
      <c r="AT60" s="21" t="s">
        <v>1989</v>
      </c>
      <c r="AU60" s="13" t="s">
        <v>15</v>
      </c>
      <c r="AV60" s="82" t="s">
        <v>17</v>
      </c>
      <c r="AW60" s="91" t="s">
        <v>3576</v>
      </c>
      <c r="AX60" s="91"/>
      <c r="AY60" s="87"/>
      <c r="AZ60" s="22" t="s">
        <v>2185</v>
      </c>
      <c r="BA60" s="13" t="s">
        <v>15</v>
      </c>
      <c r="BB60" s="82" t="s">
        <v>4</v>
      </c>
      <c r="BC60" s="91" t="s">
        <v>3576</v>
      </c>
      <c r="BD60" s="91"/>
      <c r="BE60" s="87"/>
      <c r="BF60" s="24" t="s">
        <v>2374</v>
      </c>
      <c r="BG60" s="13" t="s">
        <v>15</v>
      </c>
      <c r="BH60" s="82" t="s">
        <v>17</v>
      </c>
      <c r="BI60" s="91" t="s">
        <v>3576</v>
      </c>
      <c r="BJ60" s="91"/>
      <c r="BK60" s="87"/>
      <c r="BL60" s="27" t="s">
        <v>2567</v>
      </c>
      <c r="BM60" s="13" t="s">
        <v>15</v>
      </c>
      <c r="BN60" s="82" t="s">
        <v>4</v>
      </c>
      <c r="BO60" s="91" t="s">
        <v>3576</v>
      </c>
      <c r="BP60" s="91"/>
      <c r="BQ60" s="105"/>
      <c r="BR60" s="72" t="s">
        <v>2766</v>
      </c>
      <c r="BS60" s="13" t="s">
        <v>15</v>
      </c>
      <c r="BT60" s="82" t="s">
        <v>20</v>
      </c>
      <c r="BU60" s="91" t="s">
        <v>3576</v>
      </c>
      <c r="BV60" s="91"/>
      <c r="BW60" s="351" t="s">
        <v>3816</v>
      </c>
      <c r="BX60" s="49" t="s">
        <v>2939</v>
      </c>
      <c r="BY60" s="13" t="s">
        <v>15</v>
      </c>
      <c r="BZ60" s="82" t="s">
        <v>20</v>
      </c>
      <c r="CA60" s="91" t="s">
        <v>3576</v>
      </c>
      <c r="CB60" s="91"/>
      <c r="CC60" s="87"/>
      <c r="CD60" s="52" t="s">
        <v>3115</v>
      </c>
      <c r="CE60" s="13" t="s">
        <v>15</v>
      </c>
      <c r="CF60" s="82" t="s">
        <v>20</v>
      </c>
      <c r="CG60" s="91" t="s">
        <v>3576</v>
      </c>
      <c r="CH60" s="91"/>
      <c r="CI60" s="87"/>
      <c r="CJ60" s="19" t="s">
        <v>3254</v>
      </c>
      <c r="CK60" s="13" t="s">
        <v>15</v>
      </c>
      <c r="CL60" s="82" t="s">
        <v>20</v>
      </c>
      <c r="CM60" s="91" t="s">
        <v>3576</v>
      </c>
      <c r="CN60" s="91"/>
      <c r="CO60" s="87"/>
      <c r="CP60" s="56" t="s">
        <v>3364</v>
      </c>
      <c r="CQ60" s="13" t="s">
        <v>15</v>
      </c>
      <c r="CR60" s="82" t="s">
        <v>20</v>
      </c>
      <c r="CS60" s="91" t="s">
        <v>3576</v>
      </c>
      <c r="CT60" s="91"/>
      <c r="CU60" s="105"/>
    </row>
    <row r="61" spans="1:99" ht="66" customHeight="1" thickBot="1" x14ac:dyDescent="0.4">
      <c r="A61" s="40" t="s">
        <v>198</v>
      </c>
      <c r="B61" s="40" t="s">
        <v>384</v>
      </c>
      <c r="C61" s="40" t="s">
        <v>517</v>
      </c>
      <c r="D61" s="135" t="s">
        <v>3516</v>
      </c>
      <c r="E61" s="314" t="s">
        <v>3855</v>
      </c>
      <c r="F61" s="315" t="s">
        <v>3371</v>
      </c>
      <c r="G61" s="315" t="s">
        <v>3859</v>
      </c>
      <c r="H61" s="142" t="s">
        <v>3781</v>
      </c>
      <c r="I61" s="265" t="s">
        <v>3782</v>
      </c>
      <c r="J61" s="136" t="s">
        <v>765</v>
      </c>
      <c r="K61" s="13" t="s">
        <v>11</v>
      </c>
      <c r="L61" s="82"/>
      <c r="M61" s="170" t="s">
        <v>3576</v>
      </c>
      <c r="N61" s="165"/>
      <c r="O61" s="87"/>
      <c r="P61" s="49" t="s">
        <v>964</v>
      </c>
      <c r="Q61" s="13" t="s">
        <v>11</v>
      </c>
      <c r="R61" s="82"/>
      <c r="S61" s="91" t="s">
        <v>3576</v>
      </c>
      <c r="T61" s="91"/>
      <c r="U61" s="87"/>
      <c r="V61" s="52" t="s">
        <v>1162</v>
      </c>
      <c r="W61" s="13" t="s">
        <v>11</v>
      </c>
      <c r="X61" s="82"/>
      <c r="Y61" s="91" t="s">
        <v>3576</v>
      </c>
      <c r="Z61" s="91"/>
      <c r="AA61" s="87"/>
      <c r="AB61" s="19" t="s">
        <v>1361</v>
      </c>
      <c r="AC61" s="13" t="s">
        <v>11</v>
      </c>
      <c r="AD61" s="82"/>
      <c r="AE61" s="91" t="s">
        <v>3576</v>
      </c>
      <c r="AF61" s="91"/>
      <c r="AG61" s="87"/>
      <c r="AH61" s="56" t="s">
        <v>1559</v>
      </c>
      <c r="AI61" s="13" t="s">
        <v>11</v>
      </c>
      <c r="AJ61" s="82"/>
      <c r="AK61" s="91" t="s">
        <v>3576</v>
      </c>
      <c r="AL61" s="91"/>
      <c r="AM61" s="105"/>
      <c r="AN61" s="23" t="s">
        <v>1758</v>
      </c>
      <c r="AO61" s="13" t="s">
        <v>15</v>
      </c>
      <c r="AP61" s="82" t="s">
        <v>20</v>
      </c>
      <c r="AQ61" s="91" t="s">
        <v>3577</v>
      </c>
      <c r="AR61" s="91"/>
      <c r="AS61" s="87"/>
      <c r="AT61" s="21" t="s">
        <v>1955</v>
      </c>
      <c r="AU61" s="13" t="s">
        <v>11</v>
      </c>
      <c r="AV61" s="82"/>
      <c r="AW61" s="91" t="s">
        <v>3576</v>
      </c>
      <c r="AX61" s="91"/>
      <c r="AY61" s="87"/>
      <c r="AZ61" s="22" t="s">
        <v>2151</v>
      </c>
      <c r="BA61" s="13" t="s">
        <v>15</v>
      </c>
      <c r="BB61" s="82" t="s">
        <v>20</v>
      </c>
      <c r="BC61" s="91" t="s">
        <v>3577</v>
      </c>
      <c r="BD61" s="91"/>
      <c r="BE61" s="87"/>
      <c r="BF61" s="24" t="s">
        <v>2342</v>
      </c>
      <c r="BG61" s="13" t="s">
        <v>11</v>
      </c>
      <c r="BH61" s="82"/>
      <c r="BI61" s="91" t="s">
        <v>3576</v>
      </c>
      <c r="BJ61" s="91"/>
      <c r="BK61" s="87"/>
      <c r="BL61" s="27" t="s">
        <v>2534</v>
      </c>
      <c r="BM61" s="13" t="s">
        <v>15</v>
      </c>
      <c r="BN61" s="82" t="s">
        <v>20</v>
      </c>
      <c r="BO61" s="91" t="s">
        <v>3577</v>
      </c>
      <c r="BP61" s="91"/>
      <c r="BQ61" s="105"/>
      <c r="BR61" s="72" t="s">
        <v>2732</v>
      </c>
      <c r="BS61" s="13" t="s">
        <v>0</v>
      </c>
      <c r="BT61" s="82" t="s">
        <v>12</v>
      </c>
      <c r="BU61" s="91" t="s">
        <v>3576</v>
      </c>
      <c r="BV61" s="91"/>
      <c r="BW61" s="87"/>
      <c r="BX61" s="49" t="s">
        <v>2909</v>
      </c>
      <c r="BY61" s="13" t="s">
        <v>0</v>
      </c>
      <c r="BZ61" s="82" t="s">
        <v>12</v>
      </c>
      <c r="CA61" s="91" t="s">
        <v>3576</v>
      </c>
      <c r="CB61" s="91"/>
      <c r="CC61" s="87"/>
      <c r="CD61" s="52" t="s">
        <v>3084</v>
      </c>
      <c r="CE61" s="13" t="s">
        <v>0</v>
      </c>
      <c r="CF61" s="82" t="s">
        <v>12</v>
      </c>
      <c r="CG61" s="91" t="s">
        <v>3576</v>
      </c>
      <c r="CH61" s="91"/>
      <c r="CI61" s="87"/>
      <c r="CJ61" s="19" t="s">
        <v>3084</v>
      </c>
      <c r="CK61" s="13" t="s">
        <v>0</v>
      </c>
      <c r="CL61" s="82" t="s">
        <v>12</v>
      </c>
      <c r="CM61" s="91" t="s">
        <v>3576</v>
      </c>
      <c r="CN61" s="91"/>
      <c r="CO61" s="87"/>
      <c r="CP61" s="56" t="s">
        <v>3084</v>
      </c>
      <c r="CQ61" s="13" t="s">
        <v>0</v>
      </c>
      <c r="CR61" s="82" t="s">
        <v>12</v>
      </c>
      <c r="CS61" s="91" t="s">
        <v>3576</v>
      </c>
      <c r="CT61" s="91"/>
      <c r="CU61" s="105"/>
    </row>
    <row r="62" spans="1:99" ht="42" customHeight="1" thickBot="1" x14ac:dyDescent="0.4">
      <c r="A62" s="40" t="s">
        <v>146</v>
      </c>
      <c r="B62" s="40" t="s">
        <v>316</v>
      </c>
      <c r="C62" s="40" t="s">
        <v>515</v>
      </c>
      <c r="D62" s="135" t="s">
        <v>3678</v>
      </c>
      <c r="E62" s="314" t="s">
        <v>3855</v>
      </c>
      <c r="F62" s="315" t="s">
        <v>3371</v>
      </c>
      <c r="G62" s="315" t="s">
        <v>3859</v>
      </c>
      <c r="H62" s="142"/>
      <c r="I62" s="138"/>
      <c r="J62" s="136" t="s">
        <v>697</v>
      </c>
      <c r="K62" s="13" t="s">
        <v>11</v>
      </c>
      <c r="L62" s="82"/>
      <c r="M62" s="170" t="s">
        <v>3576</v>
      </c>
      <c r="N62" s="165"/>
      <c r="O62" s="87"/>
      <c r="P62" s="49" t="s">
        <v>896</v>
      </c>
      <c r="Q62" s="13" t="s">
        <v>11</v>
      </c>
      <c r="R62" s="82"/>
      <c r="S62" s="91" t="s">
        <v>3576</v>
      </c>
      <c r="T62" s="91"/>
      <c r="U62" s="87"/>
      <c r="V62" s="52" t="s">
        <v>1095</v>
      </c>
      <c r="W62" s="13" t="s">
        <v>11</v>
      </c>
      <c r="X62" s="82"/>
      <c r="Y62" s="91" t="s">
        <v>3576</v>
      </c>
      <c r="Z62" s="91"/>
      <c r="AA62" s="87"/>
      <c r="AB62" s="19" t="s">
        <v>1295</v>
      </c>
      <c r="AC62" s="13" t="s">
        <v>11</v>
      </c>
      <c r="AD62" s="82"/>
      <c r="AE62" s="91" t="s">
        <v>3576</v>
      </c>
      <c r="AF62" s="91"/>
      <c r="AG62" s="87"/>
      <c r="AH62" s="56" t="s">
        <v>1492</v>
      </c>
      <c r="AI62" s="13" t="s">
        <v>11</v>
      </c>
      <c r="AJ62" s="82"/>
      <c r="AK62" s="91" t="s">
        <v>3576</v>
      </c>
      <c r="AL62" s="91"/>
      <c r="AM62" s="105"/>
      <c r="AN62" s="23" t="s">
        <v>1691</v>
      </c>
      <c r="AO62" s="13" t="s">
        <v>15</v>
      </c>
      <c r="AP62" s="82" t="s">
        <v>4</v>
      </c>
      <c r="AQ62" s="91" t="s">
        <v>3576</v>
      </c>
      <c r="AR62" s="91"/>
      <c r="AS62" s="87"/>
      <c r="AT62" s="21" t="s">
        <v>1889</v>
      </c>
      <c r="AU62" s="13" t="s">
        <v>15</v>
      </c>
      <c r="AV62" s="82" t="s">
        <v>4</v>
      </c>
      <c r="AW62" s="91" t="s">
        <v>3576</v>
      </c>
      <c r="AX62" s="91"/>
      <c r="AY62" s="87"/>
      <c r="AZ62" s="22" t="s">
        <v>2085</v>
      </c>
      <c r="BA62" s="13" t="s">
        <v>15</v>
      </c>
      <c r="BB62" s="82" t="s">
        <v>4</v>
      </c>
      <c r="BC62" s="91" t="s">
        <v>3576</v>
      </c>
      <c r="BD62" s="91"/>
      <c r="BE62" s="87"/>
      <c r="BF62" s="24" t="s">
        <v>2279</v>
      </c>
      <c r="BG62" s="13" t="s">
        <v>15</v>
      </c>
      <c r="BH62" s="82" t="s">
        <v>4</v>
      </c>
      <c r="BI62" s="91" t="s">
        <v>3576</v>
      </c>
      <c r="BJ62" s="91"/>
      <c r="BK62" s="87"/>
      <c r="BL62" s="27" t="s">
        <v>2468</v>
      </c>
      <c r="BM62" s="13" t="s">
        <v>15</v>
      </c>
      <c r="BN62" s="82" t="s">
        <v>4</v>
      </c>
      <c r="BO62" s="91" t="s">
        <v>3576</v>
      </c>
      <c r="BP62" s="91"/>
      <c r="BQ62" s="105"/>
      <c r="BR62" s="72" t="s">
        <v>2665</v>
      </c>
      <c r="BS62" s="13" t="s">
        <v>0</v>
      </c>
      <c r="BT62" s="82" t="s">
        <v>12</v>
      </c>
      <c r="BU62" s="91" t="s">
        <v>3576</v>
      </c>
      <c r="BV62" s="91"/>
      <c r="BW62" s="87"/>
      <c r="BX62" s="49" t="s">
        <v>2853</v>
      </c>
      <c r="BY62" s="13" t="s">
        <v>0</v>
      </c>
      <c r="BZ62" s="82" t="s">
        <v>12</v>
      </c>
      <c r="CA62" s="91" t="s">
        <v>3576</v>
      </c>
      <c r="CB62" s="91"/>
      <c r="CC62" s="87"/>
      <c r="CD62" s="52" t="s">
        <v>2853</v>
      </c>
      <c r="CE62" s="13" t="s">
        <v>0</v>
      </c>
      <c r="CF62" s="82" t="s">
        <v>12</v>
      </c>
      <c r="CG62" s="91" t="s">
        <v>3576</v>
      </c>
      <c r="CH62" s="91"/>
      <c r="CI62" s="87"/>
      <c r="CJ62" s="19" t="s">
        <v>3185</v>
      </c>
      <c r="CK62" s="13" t="s">
        <v>0</v>
      </c>
      <c r="CL62" s="82" t="s">
        <v>12</v>
      </c>
      <c r="CM62" s="91" t="s">
        <v>3576</v>
      </c>
      <c r="CN62" s="91"/>
      <c r="CO62" s="87"/>
      <c r="CP62" s="56" t="s">
        <v>3311</v>
      </c>
      <c r="CQ62" s="13" t="s">
        <v>0</v>
      </c>
      <c r="CR62" s="82" t="s">
        <v>12</v>
      </c>
      <c r="CS62" s="91" t="s">
        <v>3576</v>
      </c>
      <c r="CT62" s="91"/>
      <c r="CU62" s="105"/>
    </row>
    <row r="63" spans="1:99" ht="42" customHeight="1" thickBot="1" x14ac:dyDescent="0.4">
      <c r="A63" s="40" t="s">
        <v>168</v>
      </c>
      <c r="B63" s="40" t="s">
        <v>344</v>
      </c>
      <c r="C63" s="40" t="s">
        <v>539</v>
      </c>
      <c r="D63" s="135" t="s">
        <v>3485</v>
      </c>
      <c r="E63" s="314" t="s">
        <v>3855</v>
      </c>
      <c r="F63" s="315" t="s">
        <v>3376</v>
      </c>
      <c r="G63" s="315" t="s">
        <v>3856</v>
      </c>
      <c r="H63" s="142" t="s">
        <v>3739</v>
      </c>
      <c r="I63" s="138" t="s">
        <v>3562</v>
      </c>
      <c r="J63" s="136" t="s">
        <v>725</v>
      </c>
      <c r="K63" s="13" t="s">
        <v>6</v>
      </c>
      <c r="L63" s="82" t="s">
        <v>8</v>
      </c>
      <c r="M63" s="170" t="s">
        <v>3576</v>
      </c>
      <c r="N63" s="165"/>
      <c r="O63" s="87"/>
      <c r="P63" s="49" t="s">
        <v>924</v>
      </c>
      <c r="Q63" s="13" t="s">
        <v>6</v>
      </c>
      <c r="R63" s="82" t="s">
        <v>8</v>
      </c>
      <c r="S63" s="91" t="s">
        <v>3576</v>
      </c>
      <c r="T63" s="91"/>
      <c r="U63" s="87"/>
      <c r="V63" s="52" t="s">
        <v>1123</v>
      </c>
      <c r="W63" s="13" t="s">
        <v>6</v>
      </c>
      <c r="X63" s="82" t="s">
        <v>8</v>
      </c>
      <c r="Y63" s="91" t="s">
        <v>3576</v>
      </c>
      <c r="Z63" s="91"/>
      <c r="AA63" s="87"/>
      <c r="AB63" s="19" t="s">
        <v>1321</v>
      </c>
      <c r="AC63" s="13" t="s">
        <v>6</v>
      </c>
      <c r="AD63" s="82" t="s">
        <v>8</v>
      </c>
      <c r="AE63" s="91" t="s">
        <v>3576</v>
      </c>
      <c r="AF63" s="91"/>
      <c r="AG63" s="87"/>
      <c r="AH63" s="56" t="s">
        <v>1519</v>
      </c>
      <c r="AI63" s="13" t="s">
        <v>6</v>
      </c>
      <c r="AJ63" s="82" t="s">
        <v>8</v>
      </c>
      <c r="AK63" s="91" t="s">
        <v>3576</v>
      </c>
      <c r="AL63" s="91"/>
      <c r="AM63" s="105"/>
      <c r="AN63" s="23" t="s">
        <v>1718</v>
      </c>
      <c r="AO63" s="13" t="s">
        <v>15</v>
      </c>
      <c r="AP63" s="82" t="s">
        <v>19</v>
      </c>
      <c r="AQ63" s="91" t="s">
        <v>3577</v>
      </c>
      <c r="AR63" s="91"/>
      <c r="AS63" s="87"/>
      <c r="AT63" s="21" t="s">
        <v>1917</v>
      </c>
      <c r="AU63" s="13" t="s">
        <v>15</v>
      </c>
      <c r="AV63" s="82" t="s">
        <v>4</v>
      </c>
      <c r="AW63" s="91" t="s">
        <v>3576</v>
      </c>
      <c r="AX63" s="91"/>
      <c r="AY63" s="87"/>
      <c r="AZ63" s="22" t="s">
        <v>2112</v>
      </c>
      <c r="BA63" s="13" t="s">
        <v>15</v>
      </c>
      <c r="BB63" s="82" t="s">
        <v>19</v>
      </c>
      <c r="BC63" s="91" t="s">
        <v>3577</v>
      </c>
      <c r="BD63" s="91"/>
      <c r="BE63" s="87"/>
      <c r="BF63" s="24" t="s">
        <v>2304</v>
      </c>
      <c r="BG63" s="13" t="s">
        <v>0</v>
      </c>
      <c r="BH63" s="82" t="s">
        <v>12</v>
      </c>
      <c r="BI63" s="91" t="s">
        <v>3577</v>
      </c>
      <c r="BJ63" s="91"/>
      <c r="BK63" s="87"/>
      <c r="BL63" s="27" t="s">
        <v>2494</v>
      </c>
      <c r="BM63" s="13" t="s">
        <v>0</v>
      </c>
      <c r="BN63" s="82" t="s">
        <v>12</v>
      </c>
      <c r="BO63" s="91" t="s">
        <v>3577</v>
      </c>
      <c r="BP63" s="91"/>
      <c r="BQ63" s="105"/>
      <c r="BR63" s="72" t="s">
        <v>2692</v>
      </c>
      <c r="BS63" s="13" t="s">
        <v>15</v>
      </c>
      <c r="BT63" s="82" t="s">
        <v>19</v>
      </c>
      <c r="BU63" s="91" t="s">
        <v>3577</v>
      </c>
      <c r="BV63" s="91"/>
      <c r="BW63" s="87"/>
      <c r="BX63" s="49" t="s">
        <v>2692</v>
      </c>
      <c r="BY63" s="13" t="s">
        <v>15</v>
      </c>
      <c r="BZ63" s="82" t="s">
        <v>19</v>
      </c>
      <c r="CA63" s="91" t="s">
        <v>3577</v>
      </c>
      <c r="CB63" s="91"/>
      <c r="CC63" s="87"/>
      <c r="CD63" s="52" t="s">
        <v>3050</v>
      </c>
      <c r="CE63" s="13" t="s">
        <v>0</v>
      </c>
      <c r="CF63" s="82" t="s">
        <v>12</v>
      </c>
      <c r="CG63" s="91" t="s">
        <v>3577</v>
      </c>
      <c r="CH63" s="91"/>
      <c r="CI63" s="87"/>
      <c r="CJ63" s="19" t="s">
        <v>3201</v>
      </c>
      <c r="CK63" s="13" t="s">
        <v>6</v>
      </c>
      <c r="CL63" s="82" t="s">
        <v>8</v>
      </c>
      <c r="CM63" s="91" t="s">
        <v>3576</v>
      </c>
      <c r="CN63" s="91"/>
      <c r="CO63" s="87"/>
      <c r="CP63" s="56" t="s">
        <v>3328</v>
      </c>
      <c r="CQ63" s="13" t="s">
        <v>6</v>
      </c>
      <c r="CR63" s="82" t="s">
        <v>8</v>
      </c>
      <c r="CS63" s="91" t="s">
        <v>3576</v>
      </c>
      <c r="CT63" s="91"/>
      <c r="CU63" s="105"/>
    </row>
    <row r="64" spans="1:99" ht="89.5" customHeight="1" thickBot="1" x14ac:dyDescent="0.4">
      <c r="A64" s="40" t="s">
        <v>193</v>
      </c>
      <c r="B64" s="40" t="s">
        <v>378</v>
      </c>
      <c r="C64" s="40" t="s">
        <v>568</v>
      </c>
      <c r="D64" s="135" t="s">
        <v>3773</v>
      </c>
      <c r="E64" s="323" t="s">
        <v>3869</v>
      </c>
      <c r="F64" s="324" t="s">
        <v>3372</v>
      </c>
      <c r="G64" s="324" t="s">
        <v>3871</v>
      </c>
      <c r="H64" s="142" t="s">
        <v>3774</v>
      </c>
      <c r="I64" s="138" t="s">
        <v>3559</v>
      </c>
      <c r="J64" s="136" t="s">
        <v>759</v>
      </c>
      <c r="K64" s="13" t="s">
        <v>15</v>
      </c>
      <c r="L64" s="82" t="s">
        <v>19</v>
      </c>
      <c r="M64" s="170" t="s">
        <v>3577</v>
      </c>
      <c r="N64" s="165"/>
      <c r="O64" s="87"/>
      <c r="P64" s="49" t="s">
        <v>958</v>
      </c>
      <c r="Q64" s="13" t="s">
        <v>15</v>
      </c>
      <c r="R64" s="82" t="s">
        <v>19</v>
      </c>
      <c r="S64" s="91" t="s">
        <v>3577</v>
      </c>
      <c r="T64" s="91"/>
      <c r="U64" s="87"/>
      <c r="V64" s="52" t="s">
        <v>1156</v>
      </c>
      <c r="W64" s="13" t="s">
        <v>15</v>
      </c>
      <c r="X64" s="82" t="s">
        <v>19</v>
      </c>
      <c r="Y64" s="91" t="s">
        <v>3577</v>
      </c>
      <c r="Z64" s="91"/>
      <c r="AA64" s="87"/>
      <c r="AB64" s="19" t="s">
        <v>1355</v>
      </c>
      <c r="AC64" s="13" t="s">
        <v>15</v>
      </c>
      <c r="AD64" s="82" t="s">
        <v>19</v>
      </c>
      <c r="AE64" s="91" t="s">
        <v>3577</v>
      </c>
      <c r="AF64" s="91"/>
      <c r="AG64" s="87"/>
      <c r="AH64" s="56" t="s">
        <v>1553</v>
      </c>
      <c r="AI64" s="13" t="s">
        <v>15</v>
      </c>
      <c r="AJ64" s="82" t="s">
        <v>19</v>
      </c>
      <c r="AK64" s="91" t="s">
        <v>3577</v>
      </c>
      <c r="AL64" s="91"/>
      <c r="AM64" s="105"/>
      <c r="AN64" s="23" t="s">
        <v>1752</v>
      </c>
      <c r="AO64" s="13" t="s">
        <v>15</v>
      </c>
      <c r="AP64" s="82" t="s">
        <v>19</v>
      </c>
      <c r="AQ64" s="91" t="s">
        <v>3577</v>
      </c>
      <c r="AR64" s="91"/>
      <c r="AS64" s="87"/>
      <c r="AT64" s="21" t="s">
        <v>1949</v>
      </c>
      <c r="AU64" s="13" t="s">
        <v>15</v>
      </c>
      <c r="AV64" s="82" t="s">
        <v>19</v>
      </c>
      <c r="AW64" s="91" t="s">
        <v>3577</v>
      </c>
      <c r="AX64" s="91"/>
      <c r="AY64" s="87"/>
      <c r="AZ64" s="22" t="s">
        <v>2145</v>
      </c>
      <c r="BA64" s="13" t="s">
        <v>15</v>
      </c>
      <c r="BB64" s="82" t="s">
        <v>19</v>
      </c>
      <c r="BC64" s="91" t="s">
        <v>3577</v>
      </c>
      <c r="BD64" s="91"/>
      <c r="BE64" s="87"/>
      <c r="BF64" s="26" t="s">
        <v>2336</v>
      </c>
      <c r="BG64" s="13" t="s">
        <v>15</v>
      </c>
      <c r="BH64" s="82" t="s">
        <v>19</v>
      </c>
      <c r="BI64" s="91" t="s">
        <v>3577</v>
      </c>
      <c r="BJ64" s="91"/>
      <c r="BK64" s="87"/>
      <c r="BL64" s="27" t="s">
        <v>2528</v>
      </c>
      <c r="BM64" s="13" t="s">
        <v>15</v>
      </c>
      <c r="BN64" s="82" t="s">
        <v>19</v>
      </c>
      <c r="BO64" s="91" t="s">
        <v>3577</v>
      </c>
      <c r="BP64" s="91"/>
      <c r="BQ64" s="105"/>
      <c r="BR64" s="72" t="s">
        <v>2726</v>
      </c>
      <c r="BS64" s="13" t="s">
        <v>15</v>
      </c>
      <c r="BT64" s="82" t="s">
        <v>19</v>
      </c>
      <c r="BU64" s="91" t="s">
        <v>3577</v>
      </c>
      <c r="BV64" s="91"/>
      <c r="BW64" s="87"/>
      <c r="BX64" s="49" t="s">
        <v>2906</v>
      </c>
      <c r="BY64" s="13" t="s">
        <v>15</v>
      </c>
      <c r="BZ64" s="82" t="s">
        <v>19</v>
      </c>
      <c r="CA64" s="91" t="s">
        <v>3577</v>
      </c>
      <c r="CB64" s="91"/>
      <c r="CC64" s="87"/>
      <c r="CD64" s="52" t="s">
        <v>3078</v>
      </c>
      <c r="CE64" s="13" t="s">
        <v>15</v>
      </c>
      <c r="CF64" s="82" t="s">
        <v>19</v>
      </c>
      <c r="CG64" s="91" t="s">
        <v>3577</v>
      </c>
      <c r="CH64" s="91"/>
      <c r="CI64" s="87"/>
      <c r="CJ64" s="19" t="s">
        <v>3226</v>
      </c>
      <c r="CK64" s="13" t="s">
        <v>15</v>
      </c>
      <c r="CL64" s="82" t="s">
        <v>19</v>
      </c>
      <c r="CM64" s="91" t="s">
        <v>3577</v>
      </c>
      <c r="CN64" s="91"/>
      <c r="CO64" s="87"/>
      <c r="CP64" s="56" t="s">
        <v>3226</v>
      </c>
      <c r="CQ64" s="13" t="s">
        <v>15</v>
      </c>
      <c r="CR64" s="82" t="s">
        <v>19</v>
      </c>
      <c r="CS64" s="91" t="s">
        <v>3577</v>
      </c>
      <c r="CT64" s="91"/>
      <c r="CU64" s="105"/>
    </row>
    <row r="65" spans="1:99" ht="42" customHeight="1" thickBot="1" x14ac:dyDescent="0.4">
      <c r="A65" s="40" t="s">
        <v>210</v>
      </c>
      <c r="B65" s="40" t="s">
        <v>400</v>
      </c>
      <c r="C65" s="40" t="s">
        <v>584</v>
      </c>
      <c r="D65" s="135" t="s">
        <v>3530</v>
      </c>
      <c r="E65" s="323" t="s">
        <v>3869</v>
      </c>
      <c r="F65" s="324" t="s">
        <v>3392</v>
      </c>
      <c r="G65" s="324" t="s">
        <v>3870</v>
      </c>
      <c r="H65" s="142" t="s">
        <v>3793</v>
      </c>
      <c r="I65" s="138"/>
      <c r="J65" s="136" t="s">
        <v>781</v>
      </c>
      <c r="K65" s="13" t="s">
        <v>0</v>
      </c>
      <c r="L65" s="82" t="s">
        <v>12</v>
      </c>
      <c r="M65" s="170" t="s">
        <v>3577</v>
      </c>
      <c r="N65" s="165"/>
      <c r="O65" s="87"/>
      <c r="P65" s="49" t="s">
        <v>979</v>
      </c>
      <c r="Q65" s="13" t="s">
        <v>0</v>
      </c>
      <c r="R65" s="82" t="s">
        <v>12</v>
      </c>
      <c r="S65" s="91" t="s">
        <v>3577</v>
      </c>
      <c r="T65" s="91"/>
      <c r="U65" s="87"/>
      <c r="V65" s="52" t="s">
        <v>1178</v>
      </c>
      <c r="W65" s="13" t="s">
        <v>0</v>
      </c>
      <c r="X65" s="82" t="s">
        <v>12</v>
      </c>
      <c r="Y65" s="91" t="s">
        <v>3577</v>
      </c>
      <c r="Z65" s="91"/>
      <c r="AA65" s="87"/>
      <c r="AB65" s="19" t="s">
        <v>1377</v>
      </c>
      <c r="AC65" s="13" t="s">
        <v>0</v>
      </c>
      <c r="AD65" s="82" t="s">
        <v>12</v>
      </c>
      <c r="AE65" s="91" t="s">
        <v>3577</v>
      </c>
      <c r="AF65" s="91"/>
      <c r="AG65" s="87"/>
      <c r="AH65" s="56" t="s">
        <v>1575</v>
      </c>
      <c r="AI65" s="13" t="s">
        <v>0</v>
      </c>
      <c r="AJ65" s="82" t="s">
        <v>12</v>
      </c>
      <c r="AK65" s="91" t="s">
        <v>3577</v>
      </c>
      <c r="AL65" s="91"/>
      <c r="AM65" s="105"/>
      <c r="AN65" s="23" t="s">
        <v>1774</v>
      </c>
      <c r="AO65" s="13" t="s">
        <v>0</v>
      </c>
      <c r="AP65" s="82" t="s">
        <v>12</v>
      </c>
      <c r="AQ65" s="91" t="s">
        <v>3577</v>
      </c>
      <c r="AR65" s="91"/>
      <c r="AS65" s="87"/>
      <c r="AT65" s="21" t="s">
        <v>1971</v>
      </c>
      <c r="AU65" s="13" t="s">
        <v>0</v>
      </c>
      <c r="AV65" s="82" t="s">
        <v>12</v>
      </c>
      <c r="AW65" s="91" t="s">
        <v>3577</v>
      </c>
      <c r="AX65" s="91"/>
      <c r="AY65" s="87"/>
      <c r="AZ65" s="22" t="s">
        <v>2167</v>
      </c>
      <c r="BA65" s="13" t="s">
        <v>0</v>
      </c>
      <c r="BB65" s="82" t="s">
        <v>12</v>
      </c>
      <c r="BC65" s="91" t="s">
        <v>3577</v>
      </c>
      <c r="BD65" s="91"/>
      <c r="BE65" s="87"/>
      <c r="BF65" s="25" t="s">
        <v>2358</v>
      </c>
      <c r="BG65" s="13" t="s">
        <v>0</v>
      </c>
      <c r="BH65" s="82" t="s">
        <v>12</v>
      </c>
      <c r="BI65" s="91" t="s">
        <v>3577</v>
      </c>
      <c r="BJ65" s="91"/>
      <c r="BK65" s="87"/>
      <c r="BL65" s="27" t="s">
        <v>2550</v>
      </c>
      <c r="BM65" s="13" t="s">
        <v>0</v>
      </c>
      <c r="BN65" s="82" t="s">
        <v>12</v>
      </c>
      <c r="BO65" s="91" t="s">
        <v>3577</v>
      </c>
      <c r="BP65" s="91"/>
      <c r="BQ65" s="105"/>
      <c r="BR65" s="72" t="s">
        <v>2748</v>
      </c>
      <c r="BS65" s="13" t="s">
        <v>0</v>
      </c>
      <c r="BT65" s="82" t="s">
        <v>12</v>
      </c>
      <c r="BU65" s="91" t="s">
        <v>3577</v>
      </c>
      <c r="BV65" s="91"/>
      <c r="BW65" s="87"/>
      <c r="BX65" s="49" t="s">
        <v>2923</v>
      </c>
      <c r="BY65" s="13" t="s">
        <v>0</v>
      </c>
      <c r="BZ65" s="82" t="s">
        <v>12</v>
      </c>
      <c r="CA65" s="91" t="s">
        <v>3577</v>
      </c>
      <c r="CB65" s="91"/>
      <c r="CC65" s="87"/>
      <c r="CD65" s="52" t="s">
        <v>3097</v>
      </c>
      <c r="CE65" s="13" t="s">
        <v>0</v>
      </c>
      <c r="CF65" s="82" t="s">
        <v>12</v>
      </c>
      <c r="CG65" s="91" t="s">
        <v>3577</v>
      </c>
      <c r="CH65" s="91"/>
      <c r="CI65" s="87"/>
      <c r="CJ65" s="19" t="s">
        <v>3242</v>
      </c>
      <c r="CK65" s="13" t="s">
        <v>0</v>
      </c>
      <c r="CL65" s="82" t="s">
        <v>12</v>
      </c>
      <c r="CM65" s="91" t="s">
        <v>3577</v>
      </c>
      <c r="CN65" s="91"/>
      <c r="CO65" s="87"/>
      <c r="CP65" s="56" t="s">
        <v>3355</v>
      </c>
      <c r="CQ65" s="13" t="s">
        <v>0</v>
      </c>
      <c r="CR65" s="82" t="s">
        <v>12</v>
      </c>
      <c r="CS65" s="91" t="s">
        <v>3577</v>
      </c>
      <c r="CT65" s="91"/>
      <c r="CU65" s="105"/>
    </row>
    <row r="66" spans="1:99" ht="42" customHeight="1" thickBot="1" x14ac:dyDescent="0.4">
      <c r="A66" s="40" t="s">
        <v>199</v>
      </c>
      <c r="B66" s="40" t="s">
        <v>385</v>
      </c>
      <c r="C66" s="40" t="s">
        <v>572</v>
      </c>
      <c r="D66" s="135" t="s">
        <v>3517</v>
      </c>
      <c r="E66" s="314" t="s">
        <v>3855</v>
      </c>
      <c r="F66" s="315" t="s">
        <v>3423</v>
      </c>
      <c r="G66" s="315" t="s">
        <v>3865</v>
      </c>
      <c r="H66" s="340"/>
      <c r="I66" s="138"/>
      <c r="J66" s="136" t="s">
        <v>766</v>
      </c>
      <c r="K66" s="13" t="s">
        <v>0</v>
      </c>
      <c r="L66" s="82" t="s">
        <v>1</v>
      </c>
      <c r="M66" s="170" t="s">
        <v>3576</v>
      </c>
      <c r="N66" s="165"/>
      <c r="O66" s="87"/>
      <c r="P66" s="49" t="s">
        <v>965</v>
      </c>
      <c r="Q66" s="13" t="s">
        <v>0</v>
      </c>
      <c r="R66" s="82" t="s">
        <v>1</v>
      </c>
      <c r="S66" s="91" t="s">
        <v>3576</v>
      </c>
      <c r="T66" s="91"/>
      <c r="U66" s="87"/>
      <c r="V66" s="52" t="s">
        <v>1163</v>
      </c>
      <c r="W66" s="13" t="s">
        <v>0</v>
      </c>
      <c r="X66" s="82" t="s">
        <v>1</v>
      </c>
      <c r="Y66" s="91" t="s">
        <v>3576</v>
      </c>
      <c r="Z66" s="91"/>
      <c r="AA66" s="87"/>
      <c r="AB66" s="19" t="s">
        <v>1362</v>
      </c>
      <c r="AC66" s="13" t="s">
        <v>0</v>
      </c>
      <c r="AD66" s="82" t="s">
        <v>1</v>
      </c>
      <c r="AE66" s="91" t="s">
        <v>3576</v>
      </c>
      <c r="AF66" s="91"/>
      <c r="AG66" s="87"/>
      <c r="AH66" s="56" t="s">
        <v>1560</v>
      </c>
      <c r="AI66" s="13" t="s">
        <v>0</v>
      </c>
      <c r="AJ66" s="82" t="s">
        <v>1</v>
      </c>
      <c r="AK66" s="91" t="s">
        <v>3576</v>
      </c>
      <c r="AL66" s="91"/>
      <c r="AM66" s="105"/>
      <c r="AN66" s="23" t="s">
        <v>1759</v>
      </c>
      <c r="AO66" s="13" t="s">
        <v>0</v>
      </c>
      <c r="AP66" s="82" t="s">
        <v>1</v>
      </c>
      <c r="AQ66" s="91" t="s">
        <v>3576</v>
      </c>
      <c r="AR66" s="91"/>
      <c r="AS66" s="87"/>
      <c r="AT66" s="21" t="s">
        <v>1956</v>
      </c>
      <c r="AU66" s="13" t="s">
        <v>0</v>
      </c>
      <c r="AV66" s="82" t="s">
        <v>1</v>
      </c>
      <c r="AW66" s="91" t="s">
        <v>3576</v>
      </c>
      <c r="AX66" s="91"/>
      <c r="AY66" s="87"/>
      <c r="AZ66" s="22" t="s">
        <v>2152</v>
      </c>
      <c r="BA66" s="13" t="s">
        <v>0</v>
      </c>
      <c r="BB66" s="82" t="s">
        <v>1</v>
      </c>
      <c r="BC66" s="91" t="s">
        <v>3576</v>
      </c>
      <c r="BD66" s="91"/>
      <c r="BE66" s="87"/>
      <c r="BF66" s="24" t="s">
        <v>2343</v>
      </c>
      <c r="BG66" s="13" t="s">
        <v>0</v>
      </c>
      <c r="BH66" s="82" t="s">
        <v>1</v>
      </c>
      <c r="BI66" s="91" t="s">
        <v>3576</v>
      </c>
      <c r="BJ66" s="91"/>
      <c r="BK66" s="87"/>
      <c r="BL66" s="27" t="s">
        <v>2535</v>
      </c>
      <c r="BM66" s="13" t="s">
        <v>0</v>
      </c>
      <c r="BN66" s="82" t="s">
        <v>1</v>
      </c>
      <c r="BO66" s="91" t="s">
        <v>3576</v>
      </c>
      <c r="BP66" s="91"/>
      <c r="BQ66" s="105"/>
      <c r="BR66" s="72" t="s">
        <v>2733</v>
      </c>
      <c r="BS66" s="13" t="s">
        <v>0</v>
      </c>
      <c r="BT66" s="82" t="s">
        <v>1</v>
      </c>
      <c r="BU66" s="91" t="s">
        <v>3576</v>
      </c>
      <c r="BV66" s="91"/>
      <c r="BW66" s="87"/>
      <c r="BX66" s="49" t="s">
        <v>2910</v>
      </c>
      <c r="BY66" s="13" t="s">
        <v>0</v>
      </c>
      <c r="BZ66" s="82" t="s">
        <v>1</v>
      </c>
      <c r="CA66" s="91" t="s">
        <v>3576</v>
      </c>
      <c r="CB66" s="91"/>
      <c r="CC66" s="87"/>
      <c r="CD66" s="52" t="s">
        <v>3085</v>
      </c>
      <c r="CE66" s="13" t="s">
        <v>0</v>
      </c>
      <c r="CF66" s="82" t="s">
        <v>1</v>
      </c>
      <c r="CG66" s="91" t="s">
        <v>3576</v>
      </c>
      <c r="CH66" s="91"/>
      <c r="CI66" s="87"/>
      <c r="CJ66" s="19" t="s">
        <v>2733</v>
      </c>
      <c r="CK66" s="13" t="s">
        <v>0</v>
      </c>
      <c r="CL66" s="82" t="s">
        <v>1</v>
      </c>
      <c r="CM66" s="91" t="s">
        <v>3576</v>
      </c>
      <c r="CN66" s="91"/>
      <c r="CO66" s="87"/>
      <c r="CP66" s="56" t="s">
        <v>2733</v>
      </c>
      <c r="CQ66" s="13" t="s">
        <v>0</v>
      </c>
      <c r="CR66" s="82" t="s">
        <v>1</v>
      </c>
      <c r="CS66" s="91" t="s">
        <v>3576</v>
      </c>
      <c r="CT66" s="91"/>
      <c r="CU66" s="105"/>
    </row>
    <row r="67" spans="1:99" ht="42" customHeight="1" thickBot="1" x14ac:dyDescent="0.4">
      <c r="A67" s="40" t="s">
        <v>75</v>
      </c>
      <c r="B67" s="40" t="s">
        <v>236</v>
      </c>
      <c r="C67" s="40" t="s">
        <v>435</v>
      </c>
      <c r="D67" s="135" t="s">
        <v>3380</v>
      </c>
      <c r="E67" s="314" t="s">
        <v>3855</v>
      </c>
      <c r="F67" s="315" t="s">
        <v>3376</v>
      </c>
      <c r="G67" s="315" t="s">
        <v>3856</v>
      </c>
      <c r="H67" s="142" t="s">
        <v>3588</v>
      </c>
      <c r="I67" s="138" t="s">
        <v>3559</v>
      </c>
      <c r="J67" s="136" t="s">
        <v>615</v>
      </c>
      <c r="K67" s="13" t="s">
        <v>15</v>
      </c>
      <c r="L67" s="82" t="s">
        <v>13</v>
      </c>
      <c r="M67" s="170" t="s">
        <v>3576</v>
      </c>
      <c r="N67" s="165"/>
      <c r="O67" s="87"/>
      <c r="P67" s="49" t="s">
        <v>815</v>
      </c>
      <c r="Q67" s="13" t="s">
        <v>15</v>
      </c>
      <c r="R67" s="82" t="s">
        <v>13</v>
      </c>
      <c r="S67" s="91" t="s">
        <v>3576</v>
      </c>
      <c r="T67" s="91"/>
      <c r="U67" s="87"/>
      <c r="V67" s="52" t="s">
        <v>1013</v>
      </c>
      <c r="W67" s="13" t="s">
        <v>15</v>
      </c>
      <c r="X67" s="82" t="s">
        <v>13</v>
      </c>
      <c r="Y67" s="91" t="s">
        <v>3576</v>
      </c>
      <c r="Z67" s="91"/>
      <c r="AA67" s="87"/>
      <c r="AB67" s="19" t="s">
        <v>1213</v>
      </c>
      <c r="AC67" s="13" t="s">
        <v>15</v>
      </c>
      <c r="AD67" s="82" t="s">
        <v>13</v>
      </c>
      <c r="AE67" s="91" t="s">
        <v>3576</v>
      </c>
      <c r="AF67" s="91"/>
      <c r="AG67" s="87"/>
      <c r="AH67" s="56" t="s">
        <v>1412</v>
      </c>
      <c r="AI67" s="13" t="s">
        <v>15</v>
      </c>
      <c r="AJ67" s="82" t="s">
        <v>13</v>
      </c>
      <c r="AK67" s="91" t="s">
        <v>3576</v>
      </c>
      <c r="AL67" s="91"/>
      <c r="AM67" s="105"/>
      <c r="AN67" s="23" t="s">
        <v>1610</v>
      </c>
      <c r="AO67" s="13" t="s">
        <v>0</v>
      </c>
      <c r="AP67" s="82" t="s">
        <v>12</v>
      </c>
      <c r="AQ67" s="91" t="s">
        <v>3577</v>
      </c>
      <c r="AR67" s="91"/>
      <c r="AS67" s="87"/>
      <c r="AT67" s="21" t="s">
        <v>1809</v>
      </c>
      <c r="AU67" s="13" t="s">
        <v>11</v>
      </c>
      <c r="AV67" s="82"/>
      <c r="AW67" s="91" t="s">
        <v>3576</v>
      </c>
      <c r="AX67" s="91"/>
      <c r="AY67" s="87"/>
      <c r="AZ67" s="22" t="s">
        <v>2006</v>
      </c>
      <c r="BA67" s="13" t="s">
        <v>0</v>
      </c>
      <c r="BB67" s="82" t="s">
        <v>12</v>
      </c>
      <c r="BC67" s="91" t="s">
        <v>3577</v>
      </c>
      <c r="BD67" s="91"/>
      <c r="BE67" s="87"/>
      <c r="BF67" s="24" t="s">
        <v>2202</v>
      </c>
      <c r="BG67" s="13" t="s">
        <v>0</v>
      </c>
      <c r="BH67" s="82" t="s">
        <v>12</v>
      </c>
      <c r="BI67" s="91" t="s">
        <v>3577</v>
      </c>
      <c r="BJ67" s="91"/>
      <c r="BK67" s="87"/>
      <c r="BL67" s="27" t="s">
        <v>2390</v>
      </c>
      <c r="BM67" s="13" t="s">
        <v>15</v>
      </c>
      <c r="BN67" s="82" t="s">
        <v>4</v>
      </c>
      <c r="BO67" s="91" t="s">
        <v>3576</v>
      </c>
      <c r="BP67" s="91"/>
      <c r="BQ67" s="105"/>
      <c r="BR67" s="72" t="s">
        <v>2781</v>
      </c>
      <c r="BS67" s="13" t="s">
        <v>11</v>
      </c>
      <c r="BT67" s="82"/>
      <c r="BU67" s="91" t="s">
        <v>3576</v>
      </c>
      <c r="BV67" s="91"/>
      <c r="BW67" s="87"/>
      <c r="BX67" s="49" t="s">
        <v>2781</v>
      </c>
      <c r="BY67" s="13" t="s">
        <v>11</v>
      </c>
      <c r="BZ67" s="82"/>
      <c r="CA67" s="91" t="s">
        <v>3576</v>
      </c>
      <c r="CB67" s="91"/>
      <c r="CC67" s="264"/>
      <c r="CD67" s="52" t="s">
        <v>2955</v>
      </c>
      <c r="CE67" s="13" t="s">
        <v>15</v>
      </c>
      <c r="CF67" s="82" t="s">
        <v>4</v>
      </c>
      <c r="CG67" s="91" t="s">
        <v>3576</v>
      </c>
      <c r="CH67" s="91"/>
      <c r="CI67" s="87"/>
      <c r="CJ67" s="19" t="s">
        <v>3129</v>
      </c>
      <c r="CK67" s="13" t="s">
        <v>15</v>
      </c>
      <c r="CL67" s="82" t="s">
        <v>4</v>
      </c>
      <c r="CM67" s="91" t="s">
        <v>3576</v>
      </c>
      <c r="CN67" s="91"/>
      <c r="CO67" s="87"/>
      <c r="CP67" s="56" t="s">
        <v>3267</v>
      </c>
      <c r="CQ67" s="13" t="s">
        <v>11</v>
      </c>
      <c r="CR67" s="82"/>
      <c r="CS67" s="91" t="s">
        <v>3576</v>
      </c>
      <c r="CT67" s="91"/>
      <c r="CU67" s="105"/>
    </row>
    <row r="68" spans="1:99" ht="79.5" customHeight="1" thickBot="1" x14ac:dyDescent="0.4">
      <c r="A68" s="40" t="s">
        <v>148</v>
      </c>
      <c r="B68" s="40" t="s">
        <v>318</v>
      </c>
      <c r="C68" s="40" t="s">
        <v>517</v>
      </c>
      <c r="D68" s="135" t="s">
        <v>3462</v>
      </c>
      <c r="E68" s="314" t="s">
        <v>3855</v>
      </c>
      <c r="F68" s="315" t="s">
        <v>3445</v>
      </c>
      <c r="G68" s="315" t="s">
        <v>3860</v>
      </c>
      <c r="H68" s="142" t="s">
        <v>3680</v>
      </c>
      <c r="I68" s="138" t="s">
        <v>3559</v>
      </c>
      <c r="J68" s="136" t="s">
        <v>699</v>
      </c>
      <c r="K68" s="13" t="s">
        <v>0</v>
      </c>
      <c r="L68" s="82" t="s">
        <v>7</v>
      </c>
      <c r="M68" s="171" t="s">
        <v>3576</v>
      </c>
      <c r="N68" s="165"/>
      <c r="O68" s="87" t="s">
        <v>3840</v>
      </c>
      <c r="P68" s="49" t="s">
        <v>898</v>
      </c>
      <c r="Q68" s="13" t="s">
        <v>0</v>
      </c>
      <c r="R68" s="82" t="s">
        <v>7</v>
      </c>
      <c r="S68" s="91" t="s">
        <v>3576</v>
      </c>
      <c r="T68" s="91"/>
      <c r="U68" s="87"/>
      <c r="V68" s="52" t="s">
        <v>1097</v>
      </c>
      <c r="W68" s="13" t="s">
        <v>0</v>
      </c>
      <c r="X68" s="82" t="s">
        <v>7</v>
      </c>
      <c r="Y68" s="91" t="s">
        <v>3576</v>
      </c>
      <c r="Z68" s="91"/>
      <c r="AA68" s="87"/>
      <c r="AB68" s="19" t="s">
        <v>1297</v>
      </c>
      <c r="AC68" s="13" t="s">
        <v>0</v>
      </c>
      <c r="AD68" s="82" t="s">
        <v>7</v>
      </c>
      <c r="AE68" s="91" t="s">
        <v>3576</v>
      </c>
      <c r="AF68" s="91"/>
      <c r="AG68" s="87"/>
      <c r="AH68" s="56" t="s">
        <v>1494</v>
      </c>
      <c r="AI68" s="13" t="s">
        <v>0</v>
      </c>
      <c r="AJ68" s="82" t="s">
        <v>7</v>
      </c>
      <c r="AK68" s="91" t="s">
        <v>3576</v>
      </c>
      <c r="AL68" s="91"/>
      <c r="AM68" s="105"/>
      <c r="AN68" s="23" t="s">
        <v>1693</v>
      </c>
      <c r="AO68" s="13" t="s">
        <v>0</v>
      </c>
      <c r="AP68" s="82" t="s">
        <v>7</v>
      </c>
      <c r="AQ68" s="91" t="s">
        <v>3576</v>
      </c>
      <c r="AR68" s="91"/>
      <c r="AS68" s="87"/>
      <c r="AT68" s="21" t="s">
        <v>1891</v>
      </c>
      <c r="AU68" s="13" t="s">
        <v>0</v>
      </c>
      <c r="AV68" s="82" t="s">
        <v>7</v>
      </c>
      <c r="AW68" s="91" t="s">
        <v>3576</v>
      </c>
      <c r="AX68" s="91"/>
      <c r="AY68" s="87"/>
      <c r="AZ68" s="22" t="s">
        <v>2087</v>
      </c>
      <c r="BA68" s="13" t="s">
        <v>0</v>
      </c>
      <c r="BB68" s="82" t="s">
        <v>7</v>
      </c>
      <c r="BC68" s="91" t="s">
        <v>3576</v>
      </c>
      <c r="BD68" s="91"/>
      <c r="BE68" s="87"/>
      <c r="BF68" s="24" t="s">
        <v>1891</v>
      </c>
      <c r="BG68" s="13" t="s">
        <v>0</v>
      </c>
      <c r="BH68" s="82" t="s">
        <v>7</v>
      </c>
      <c r="BI68" s="91" t="s">
        <v>3576</v>
      </c>
      <c r="BJ68" s="91"/>
      <c r="BK68" s="87"/>
      <c r="BL68" s="27" t="s">
        <v>2470</v>
      </c>
      <c r="BM68" s="13" t="s">
        <v>0</v>
      </c>
      <c r="BN68" s="82" t="s">
        <v>7</v>
      </c>
      <c r="BO68" s="91" t="s">
        <v>3576</v>
      </c>
      <c r="BP68" s="91"/>
      <c r="BQ68" s="105"/>
      <c r="BR68" s="72" t="s">
        <v>2667</v>
      </c>
      <c r="BS68" s="13" t="s">
        <v>0</v>
      </c>
      <c r="BT68" s="82" t="s">
        <v>7</v>
      </c>
      <c r="BU68" s="91" t="s">
        <v>3576</v>
      </c>
      <c r="BV68" s="91"/>
      <c r="BW68" s="87"/>
      <c r="BX68" s="49" t="s">
        <v>2854</v>
      </c>
      <c r="BY68" s="13" t="s">
        <v>0</v>
      </c>
      <c r="BZ68" s="82" t="s">
        <v>7</v>
      </c>
      <c r="CA68" s="91" t="s">
        <v>3576</v>
      </c>
      <c r="CB68" s="91"/>
      <c r="CC68" s="87"/>
      <c r="CD68" s="52" t="s">
        <v>3030</v>
      </c>
      <c r="CE68" s="13" t="s">
        <v>0</v>
      </c>
      <c r="CF68" s="82" t="s">
        <v>7</v>
      </c>
      <c r="CG68" s="91" t="s">
        <v>3576</v>
      </c>
      <c r="CH68" s="91"/>
      <c r="CI68" s="87"/>
      <c r="CJ68" s="19" t="s">
        <v>3187</v>
      </c>
      <c r="CK68" s="13" t="s">
        <v>0</v>
      </c>
      <c r="CL68" s="82" t="s">
        <v>7</v>
      </c>
      <c r="CM68" s="91" t="s">
        <v>3576</v>
      </c>
      <c r="CN68" s="91"/>
      <c r="CO68" s="87"/>
      <c r="CP68" s="56" t="s">
        <v>3313</v>
      </c>
      <c r="CQ68" s="13" t="s">
        <v>0</v>
      </c>
      <c r="CR68" s="82" t="s">
        <v>7</v>
      </c>
      <c r="CS68" s="91" t="s">
        <v>3576</v>
      </c>
      <c r="CT68" s="91"/>
      <c r="CU68" s="105"/>
    </row>
    <row r="69" spans="1:99" ht="63.5" customHeight="1" thickBot="1" x14ac:dyDescent="0.4">
      <c r="A69" s="40" t="s">
        <v>162</v>
      </c>
      <c r="B69" s="40" t="s">
        <v>337</v>
      </c>
      <c r="C69" s="40" t="s">
        <v>534</v>
      </c>
      <c r="D69" s="135" t="s">
        <v>3481</v>
      </c>
      <c r="E69" s="314" t="s">
        <v>3855</v>
      </c>
      <c r="F69" s="315" t="s">
        <v>3371</v>
      </c>
      <c r="G69" s="315" t="s">
        <v>3859</v>
      </c>
      <c r="H69" s="142"/>
      <c r="I69" s="138"/>
      <c r="J69" s="136" t="s">
        <v>718</v>
      </c>
      <c r="K69" s="13" t="s">
        <v>0</v>
      </c>
      <c r="L69" s="82" t="s">
        <v>12</v>
      </c>
      <c r="M69" s="151" t="s">
        <v>3576</v>
      </c>
      <c r="N69" s="91"/>
      <c r="O69" s="87"/>
      <c r="P69" s="49" t="s">
        <v>917</v>
      </c>
      <c r="Q69" s="13" t="s">
        <v>0</v>
      </c>
      <c r="R69" s="82" t="s">
        <v>12</v>
      </c>
      <c r="S69" s="91" t="s">
        <v>3576</v>
      </c>
      <c r="T69" s="91"/>
      <c r="U69" s="87"/>
      <c r="V69" s="52" t="s">
        <v>1116</v>
      </c>
      <c r="W69" s="13" t="s">
        <v>15</v>
      </c>
      <c r="X69" s="82" t="s">
        <v>4</v>
      </c>
      <c r="Y69" s="91" t="s">
        <v>3576</v>
      </c>
      <c r="Z69" s="91"/>
      <c r="AA69" s="87"/>
      <c r="AB69" s="19" t="s">
        <v>1315</v>
      </c>
      <c r="AC69" s="13" t="s">
        <v>0</v>
      </c>
      <c r="AD69" s="82" t="s">
        <v>12</v>
      </c>
      <c r="AE69" s="91" t="s">
        <v>3576</v>
      </c>
      <c r="AF69" s="91"/>
      <c r="AG69" s="87"/>
      <c r="AH69" s="56" t="s">
        <v>1512</v>
      </c>
      <c r="AI69" s="13" t="s">
        <v>0</v>
      </c>
      <c r="AJ69" s="82" t="s">
        <v>12</v>
      </c>
      <c r="AK69" s="91" t="s">
        <v>3576</v>
      </c>
      <c r="AL69" s="91"/>
      <c r="AM69" s="105"/>
      <c r="AN69" s="23" t="s">
        <v>1711</v>
      </c>
      <c r="AO69" s="13" t="s">
        <v>0</v>
      </c>
      <c r="AP69" s="82" t="s">
        <v>12</v>
      </c>
      <c r="AQ69" s="91" t="s">
        <v>3577</v>
      </c>
      <c r="AR69" s="91"/>
      <c r="AS69" s="87"/>
      <c r="AT69" s="21" t="s">
        <v>1910</v>
      </c>
      <c r="AU69" s="13" t="s">
        <v>0</v>
      </c>
      <c r="AV69" s="82" t="s">
        <v>12</v>
      </c>
      <c r="AW69" s="91" t="s">
        <v>3577</v>
      </c>
      <c r="AX69" s="91"/>
      <c r="AY69" s="87"/>
      <c r="AZ69" s="22" t="s">
        <v>2105</v>
      </c>
      <c r="BA69" s="13" t="s">
        <v>0</v>
      </c>
      <c r="BB69" s="82" t="s">
        <v>12</v>
      </c>
      <c r="BC69" s="91" t="s">
        <v>3577</v>
      </c>
      <c r="BD69" s="91"/>
      <c r="BE69" s="87"/>
      <c r="BF69" s="24" t="s">
        <v>2297</v>
      </c>
      <c r="BG69" s="13" t="s">
        <v>0</v>
      </c>
      <c r="BH69" s="82" t="s">
        <v>12</v>
      </c>
      <c r="BI69" s="91" t="s">
        <v>3577</v>
      </c>
      <c r="BJ69" s="91"/>
      <c r="BK69" s="87"/>
      <c r="BL69" s="27" t="s">
        <v>2487</v>
      </c>
      <c r="BM69" s="13" t="s">
        <v>0</v>
      </c>
      <c r="BN69" s="82" t="s">
        <v>12</v>
      </c>
      <c r="BO69" s="91" t="s">
        <v>3577</v>
      </c>
      <c r="BP69" s="91"/>
      <c r="BQ69" s="105"/>
      <c r="BR69" s="72" t="s">
        <v>2685</v>
      </c>
      <c r="BS69" s="13" t="s">
        <v>0</v>
      </c>
      <c r="BT69" s="82" t="s">
        <v>12</v>
      </c>
      <c r="BU69" s="91" t="s">
        <v>3577</v>
      </c>
      <c r="BV69" s="91"/>
      <c r="BW69" s="87"/>
      <c r="BX69" s="49" t="s">
        <v>2872</v>
      </c>
      <c r="BY69" s="13" t="s">
        <v>0</v>
      </c>
      <c r="BZ69" s="82" t="s">
        <v>12</v>
      </c>
      <c r="CA69" s="91" t="s">
        <v>3577</v>
      </c>
      <c r="CB69" s="91"/>
      <c r="CC69" s="87"/>
      <c r="CD69" s="52" t="s">
        <v>3047</v>
      </c>
      <c r="CE69" s="13" t="s">
        <v>0</v>
      </c>
      <c r="CF69" s="82" t="s">
        <v>12</v>
      </c>
      <c r="CG69" s="91" t="s">
        <v>3577</v>
      </c>
      <c r="CH69" s="91"/>
      <c r="CI69" s="87"/>
      <c r="CJ69" s="19" t="s">
        <v>3047</v>
      </c>
      <c r="CK69" s="13" t="s">
        <v>0</v>
      </c>
      <c r="CL69" s="82" t="s">
        <v>12</v>
      </c>
      <c r="CM69" s="91" t="s">
        <v>3577</v>
      </c>
      <c r="CN69" s="91"/>
      <c r="CO69" s="87"/>
      <c r="CP69" s="56" t="s">
        <v>3047</v>
      </c>
      <c r="CQ69" s="13" t="s">
        <v>0</v>
      </c>
      <c r="CR69" s="82" t="s">
        <v>12</v>
      </c>
      <c r="CS69" s="91" t="s">
        <v>3577</v>
      </c>
      <c r="CT69" s="91"/>
      <c r="CU69" s="105"/>
    </row>
    <row r="70" spans="1:99" ht="87.5" customHeight="1" thickBot="1" x14ac:dyDescent="0.4">
      <c r="A70" s="40" t="s">
        <v>220</v>
      </c>
      <c r="B70" s="40" t="s">
        <v>413</v>
      </c>
      <c r="C70" s="40" t="s">
        <v>594</v>
      </c>
      <c r="D70" s="135" t="s">
        <v>3540</v>
      </c>
      <c r="E70" s="314" t="s">
        <v>3855</v>
      </c>
      <c r="F70" s="315" t="s">
        <v>3423</v>
      </c>
      <c r="G70" s="315" t="s">
        <v>3865</v>
      </c>
      <c r="H70" s="142" t="s">
        <v>3809</v>
      </c>
      <c r="I70" s="138" t="s">
        <v>3559</v>
      </c>
      <c r="J70" s="136" t="s">
        <v>794</v>
      </c>
      <c r="K70" s="13" t="s">
        <v>0</v>
      </c>
      <c r="L70" s="82" t="s">
        <v>1</v>
      </c>
      <c r="M70" s="146" t="s">
        <v>3576</v>
      </c>
      <c r="N70" s="91"/>
      <c r="O70" s="87"/>
      <c r="P70" s="49" t="s">
        <v>992</v>
      </c>
      <c r="Q70" s="13" t="s">
        <v>0</v>
      </c>
      <c r="R70" s="82" t="s">
        <v>1</v>
      </c>
      <c r="S70" s="91" t="s">
        <v>3576</v>
      </c>
      <c r="T70" s="91"/>
      <c r="U70" s="87"/>
      <c r="V70" s="52" t="s">
        <v>1191</v>
      </c>
      <c r="W70" s="13" t="s">
        <v>0</v>
      </c>
      <c r="X70" s="82" t="s">
        <v>1</v>
      </c>
      <c r="Y70" s="91" t="s">
        <v>3576</v>
      </c>
      <c r="Z70" s="91"/>
      <c r="AA70" s="87"/>
      <c r="AB70" s="19" t="s">
        <v>1390</v>
      </c>
      <c r="AC70" s="13" t="s">
        <v>0</v>
      </c>
      <c r="AD70" s="82" t="s">
        <v>1</v>
      </c>
      <c r="AE70" s="91" t="s">
        <v>3576</v>
      </c>
      <c r="AF70" s="91"/>
      <c r="AG70" s="87"/>
      <c r="AH70" s="56" t="s">
        <v>1588</v>
      </c>
      <c r="AI70" s="13" t="s">
        <v>0</v>
      </c>
      <c r="AJ70" s="82" t="s">
        <v>1</v>
      </c>
      <c r="AK70" s="91" t="s">
        <v>3576</v>
      </c>
      <c r="AL70" s="91"/>
      <c r="AM70" s="105"/>
      <c r="AN70" s="23" t="s">
        <v>1787</v>
      </c>
      <c r="AO70" s="13" t="s">
        <v>0</v>
      </c>
      <c r="AP70" s="82" t="s">
        <v>1</v>
      </c>
      <c r="AQ70" s="91" t="s">
        <v>3576</v>
      </c>
      <c r="AR70" s="91"/>
      <c r="AS70" s="87"/>
      <c r="AT70" s="21" t="s">
        <v>1984</v>
      </c>
      <c r="AU70" s="13" t="s">
        <v>0</v>
      </c>
      <c r="AV70" s="82" t="s">
        <v>1</v>
      </c>
      <c r="AW70" s="91" t="s">
        <v>3576</v>
      </c>
      <c r="AX70" s="91"/>
      <c r="AY70" s="87"/>
      <c r="AZ70" s="22" t="s">
        <v>2180</v>
      </c>
      <c r="BA70" s="13" t="s">
        <v>0</v>
      </c>
      <c r="BB70" s="82" t="s">
        <v>1</v>
      </c>
      <c r="BC70" s="91" t="s">
        <v>3576</v>
      </c>
      <c r="BD70" s="91"/>
      <c r="BE70" s="87"/>
      <c r="BF70" s="24" t="s">
        <v>2369</v>
      </c>
      <c r="BG70" s="13" t="s">
        <v>0</v>
      </c>
      <c r="BH70" s="82" t="s">
        <v>1</v>
      </c>
      <c r="BI70" s="91" t="s">
        <v>3576</v>
      </c>
      <c r="BJ70" s="91"/>
      <c r="BK70" s="87"/>
      <c r="BL70" s="27" t="s">
        <v>2562</v>
      </c>
      <c r="BM70" s="13" t="s">
        <v>0</v>
      </c>
      <c r="BN70" s="82" t="s">
        <v>1</v>
      </c>
      <c r="BO70" s="91" t="s">
        <v>3576</v>
      </c>
      <c r="BP70" s="91"/>
      <c r="BQ70" s="105"/>
      <c r="BR70" s="72" t="s">
        <v>2761</v>
      </c>
      <c r="BS70" s="13" t="s">
        <v>0</v>
      </c>
      <c r="BT70" s="82" t="s">
        <v>1</v>
      </c>
      <c r="BU70" s="91" t="s">
        <v>3576</v>
      </c>
      <c r="BV70" s="91"/>
      <c r="BW70" s="87"/>
      <c r="BX70" s="49" t="s">
        <v>2935</v>
      </c>
      <c r="BY70" s="13" t="s">
        <v>0</v>
      </c>
      <c r="BZ70" s="82" t="s">
        <v>1</v>
      </c>
      <c r="CA70" s="91" t="s">
        <v>3576</v>
      </c>
      <c r="CB70" s="91"/>
      <c r="CC70" s="87"/>
      <c r="CD70" s="52" t="s">
        <v>3110</v>
      </c>
      <c r="CE70" s="13" t="s">
        <v>0</v>
      </c>
      <c r="CF70" s="82" t="s">
        <v>1</v>
      </c>
      <c r="CG70" s="91" t="s">
        <v>3576</v>
      </c>
      <c r="CH70" s="91"/>
      <c r="CI70" s="87"/>
      <c r="CJ70" s="19" t="s">
        <v>2761</v>
      </c>
      <c r="CK70" s="13" t="s">
        <v>0</v>
      </c>
      <c r="CL70" s="82" t="s">
        <v>1</v>
      </c>
      <c r="CM70" s="91" t="s">
        <v>3576</v>
      </c>
      <c r="CN70" s="91"/>
      <c r="CO70" s="87"/>
      <c r="CP70" s="56" t="s">
        <v>2761</v>
      </c>
      <c r="CQ70" s="13" t="s">
        <v>0</v>
      </c>
      <c r="CR70" s="82" t="s">
        <v>1</v>
      </c>
      <c r="CS70" s="91" t="s">
        <v>3576</v>
      </c>
      <c r="CT70" s="91"/>
      <c r="CU70" s="105"/>
    </row>
    <row r="71" spans="1:99" ht="97.5" customHeight="1" thickBot="1" x14ac:dyDescent="0.4">
      <c r="A71" s="40" t="s">
        <v>203</v>
      </c>
      <c r="B71" s="40" t="s">
        <v>390</v>
      </c>
      <c r="C71" s="40" t="s">
        <v>576</v>
      </c>
      <c r="D71" s="135" t="s">
        <v>3521</v>
      </c>
      <c r="E71" s="314" t="s">
        <v>3855</v>
      </c>
      <c r="F71" s="315" t="s">
        <v>3423</v>
      </c>
      <c r="G71" s="315" t="s">
        <v>3865</v>
      </c>
      <c r="H71" s="142" t="s">
        <v>3785</v>
      </c>
      <c r="I71" s="138" t="s">
        <v>3559</v>
      </c>
      <c r="J71" s="136" t="s">
        <v>771</v>
      </c>
      <c r="K71" s="13" t="s">
        <v>11</v>
      </c>
      <c r="L71" s="82"/>
      <c r="M71" s="146" t="s">
        <v>3576</v>
      </c>
      <c r="N71" s="91"/>
      <c r="O71" s="87"/>
      <c r="P71" s="49" t="s">
        <v>969</v>
      </c>
      <c r="Q71" s="13" t="s">
        <v>11</v>
      </c>
      <c r="R71" s="82"/>
      <c r="S71" s="91" t="s">
        <v>3576</v>
      </c>
      <c r="T71" s="91"/>
      <c r="U71" s="87"/>
      <c r="V71" s="52" t="s">
        <v>1168</v>
      </c>
      <c r="W71" s="13" t="s">
        <v>11</v>
      </c>
      <c r="X71" s="82"/>
      <c r="Y71" s="91" t="s">
        <v>3576</v>
      </c>
      <c r="Z71" s="91"/>
      <c r="AA71" s="87"/>
      <c r="AB71" s="19" t="s">
        <v>1367</v>
      </c>
      <c r="AC71" s="13" t="s">
        <v>11</v>
      </c>
      <c r="AD71" s="82"/>
      <c r="AE71" s="91" t="s">
        <v>3576</v>
      </c>
      <c r="AF71" s="91"/>
      <c r="AG71" s="87"/>
      <c r="AH71" s="56" t="s">
        <v>1565</v>
      </c>
      <c r="AI71" s="13" t="s">
        <v>11</v>
      </c>
      <c r="AJ71" s="82"/>
      <c r="AK71" s="91" t="s">
        <v>3576</v>
      </c>
      <c r="AL71" s="91"/>
      <c r="AM71" s="105"/>
      <c r="AN71" s="23" t="s">
        <v>1764</v>
      </c>
      <c r="AO71" s="13" t="s">
        <v>11</v>
      </c>
      <c r="AP71" s="82"/>
      <c r="AQ71" s="91" t="s">
        <v>3576</v>
      </c>
      <c r="AR71" s="91"/>
      <c r="AS71" s="87"/>
      <c r="AT71" s="21" t="s">
        <v>1961</v>
      </c>
      <c r="AU71" s="13" t="s">
        <v>11</v>
      </c>
      <c r="AV71" s="82"/>
      <c r="AW71" s="91" t="s">
        <v>3576</v>
      </c>
      <c r="AX71" s="91"/>
      <c r="AY71" s="87"/>
      <c r="AZ71" s="22" t="s">
        <v>2157</v>
      </c>
      <c r="BA71" s="13" t="s">
        <v>11</v>
      </c>
      <c r="BB71" s="82"/>
      <c r="BC71" s="91" t="s">
        <v>3576</v>
      </c>
      <c r="BD71" s="91"/>
      <c r="BE71" s="87"/>
      <c r="BF71" s="24" t="s">
        <v>2348</v>
      </c>
      <c r="BG71" s="13" t="s">
        <v>11</v>
      </c>
      <c r="BH71" s="82"/>
      <c r="BI71" s="91" t="s">
        <v>3576</v>
      </c>
      <c r="BJ71" s="91"/>
      <c r="BK71" s="87"/>
      <c r="BL71" s="27" t="s">
        <v>2540</v>
      </c>
      <c r="BM71" s="13" t="s">
        <v>11</v>
      </c>
      <c r="BN71" s="82"/>
      <c r="BO71" s="91" t="s">
        <v>3576</v>
      </c>
      <c r="BP71" s="91"/>
      <c r="BQ71" s="105"/>
      <c r="BR71" s="72" t="s">
        <v>2738</v>
      </c>
      <c r="BS71" s="13" t="s">
        <v>11</v>
      </c>
      <c r="BT71" s="82"/>
      <c r="BU71" s="91" t="s">
        <v>3576</v>
      </c>
      <c r="BV71" s="91"/>
      <c r="BW71" s="87"/>
      <c r="BX71" s="49" t="s">
        <v>2915</v>
      </c>
      <c r="BY71" s="13" t="s">
        <v>11</v>
      </c>
      <c r="BZ71" s="82"/>
      <c r="CA71" s="91" t="s">
        <v>3576</v>
      </c>
      <c r="CB71" s="91"/>
      <c r="CC71" s="87"/>
      <c r="CD71" s="52" t="s">
        <v>3089</v>
      </c>
      <c r="CE71" s="13" t="s">
        <v>11</v>
      </c>
      <c r="CF71" s="82"/>
      <c r="CG71" s="91" t="s">
        <v>3576</v>
      </c>
      <c r="CH71" s="91"/>
      <c r="CI71" s="87"/>
      <c r="CJ71" s="19" t="s">
        <v>3089</v>
      </c>
      <c r="CK71" s="13" t="s">
        <v>11</v>
      </c>
      <c r="CL71" s="82"/>
      <c r="CM71" s="91" t="s">
        <v>3576</v>
      </c>
      <c r="CN71" s="91"/>
      <c r="CO71" s="87"/>
      <c r="CP71" s="56" t="s">
        <v>3089</v>
      </c>
      <c r="CQ71" s="13" t="s">
        <v>11</v>
      </c>
      <c r="CR71" s="82"/>
      <c r="CS71" s="91" t="s">
        <v>3576</v>
      </c>
      <c r="CT71" s="91"/>
      <c r="CU71" s="105"/>
    </row>
    <row r="72" spans="1:99" ht="49.5" customHeight="1" thickBot="1" x14ac:dyDescent="0.4">
      <c r="A72" s="40" t="s">
        <v>69</v>
      </c>
      <c r="B72" s="40" t="s">
        <v>230</v>
      </c>
      <c r="C72" s="40" t="s">
        <v>429</v>
      </c>
      <c r="D72" s="135" t="s">
        <v>3373</v>
      </c>
      <c r="E72" s="314" t="s">
        <v>3855</v>
      </c>
      <c r="F72" s="315" t="s">
        <v>3371</v>
      </c>
      <c r="G72" s="315" t="s">
        <v>3859</v>
      </c>
      <c r="H72" s="339" t="s">
        <v>3580</v>
      </c>
      <c r="I72" s="342" t="s">
        <v>3584</v>
      </c>
      <c r="J72" s="136" t="s">
        <v>610</v>
      </c>
      <c r="K72" s="13" t="s">
        <v>15</v>
      </c>
      <c r="L72" s="82" t="s">
        <v>4</v>
      </c>
      <c r="M72" s="146" t="s">
        <v>3576</v>
      </c>
      <c r="N72" s="91"/>
      <c r="O72" s="87"/>
      <c r="P72" s="49" t="s">
        <v>810</v>
      </c>
      <c r="Q72" s="13" t="s">
        <v>15</v>
      </c>
      <c r="R72" s="82" t="s">
        <v>4</v>
      </c>
      <c r="S72" s="91" t="s">
        <v>3576</v>
      </c>
      <c r="T72" s="91"/>
      <c r="U72" s="87"/>
      <c r="V72" s="52" t="s">
        <v>1007</v>
      </c>
      <c r="W72" s="13" t="s">
        <v>15</v>
      </c>
      <c r="X72" s="82" t="s">
        <v>4</v>
      </c>
      <c r="Y72" s="91" t="s">
        <v>3576</v>
      </c>
      <c r="Z72" s="91"/>
      <c r="AA72" s="87"/>
      <c r="AB72" s="19" t="s">
        <v>1207</v>
      </c>
      <c r="AC72" s="13" t="s">
        <v>15</v>
      </c>
      <c r="AD72" s="82" t="s">
        <v>4</v>
      </c>
      <c r="AE72" s="91" t="s">
        <v>3576</v>
      </c>
      <c r="AF72" s="91"/>
      <c r="AG72" s="87"/>
      <c r="AH72" s="56" t="s">
        <v>1406</v>
      </c>
      <c r="AI72" s="13" t="s">
        <v>15</v>
      </c>
      <c r="AJ72" s="82" t="s">
        <v>4</v>
      </c>
      <c r="AK72" s="91" t="s">
        <v>3576</v>
      </c>
      <c r="AL72" s="91"/>
      <c r="AM72" s="105"/>
      <c r="AN72" s="23" t="s">
        <v>1604</v>
      </c>
      <c r="AO72" s="13" t="s">
        <v>0</v>
      </c>
      <c r="AP72" s="82" t="s">
        <v>12</v>
      </c>
      <c r="AQ72" s="91" t="s">
        <v>3577</v>
      </c>
      <c r="AR72" s="91"/>
      <c r="AS72" s="87" t="s">
        <v>3556</v>
      </c>
      <c r="AT72" s="21" t="s">
        <v>1803</v>
      </c>
      <c r="AU72" s="13" t="s">
        <v>0</v>
      </c>
      <c r="AV72" s="82" t="s">
        <v>12</v>
      </c>
      <c r="AW72" s="91" t="s">
        <v>3577</v>
      </c>
      <c r="AX72" s="91"/>
      <c r="AY72" s="87" t="s">
        <v>3556</v>
      </c>
      <c r="AZ72" s="22" t="s">
        <v>2000</v>
      </c>
      <c r="BA72" s="13" t="s">
        <v>0</v>
      </c>
      <c r="BB72" s="82" t="s">
        <v>12</v>
      </c>
      <c r="BC72" s="91" t="s">
        <v>3577</v>
      </c>
      <c r="BD72" s="91"/>
      <c r="BE72" s="87" t="s">
        <v>3556</v>
      </c>
      <c r="BF72" s="24" t="s">
        <v>2196</v>
      </c>
      <c r="BG72" s="13" t="s">
        <v>0</v>
      </c>
      <c r="BH72" s="82" t="s">
        <v>12</v>
      </c>
      <c r="BI72" s="91" t="s">
        <v>3577</v>
      </c>
      <c r="BJ72" s="91"/>
      <c r="BK72" s="87" t="s">
        <v>3556</v>
      </c>
      <c r="BL72" s="27" t="s">
        <v>2384</v>
      </c>
      <c r="BM72" s="13" t="s">
        <v>0</v>
      </c>
      <c r="BN72" s="82" t="s">
        <v>12</v>
      </c>
      <c r="BO72" s="91" t="s">
        <v>3577</v>
      </c>
      <c r="BP72" s="91"/>
      <c r="BQ72" s="105" t="s">
        <v>3556</v>
      </c>
      <c r="BR72" s="72" t="s">
        <v>2583</v>
      </c>
      <c r="BS72" s="13" t="s">
        <v>0</v>
      </c>
      <c r="BT72" s="82" t="s">
        <v>12</v>
      </c>
      <c r="BU72" s="91" t="s">
        <v>3577</v>
      </c>
      <c r="BV72" s="91"/>
      <c r="BW72" s="87" t="s">
        <v>3556</v>
      </c>
      <c r="BX72" s="49" t="s">
        <v>2777</v>
      </c>
      <c r="BY72" s="13" t="s">
        <v>15</v>
      </c>
      <c r="BZ72" s="82" t="s">
        <v>4</v>
      </c>
      <c r="CA72" s="91" t="s">
        <v>3576</v>
      </c>
      <c r="CB72" s="91"/>
      <c r="CC72" s="264" t="s">
        <v>3556</v>
      </c>
      <c r="CD72" s="52" t="s">
        <v>2949</v>
      </c>
      <c r="CE72" s="13" t="s">
        <v>0</v>
      </c>
      <c r="CF72" s="82" t="s">
        <v>12</v>
      </c>
      <c r="CG72" s="91" t="s">
        <v>3577</v>
      </c>
      <c r="CH72" s="91"/>
      <c r="CI72" s="87" t="s">
        <v>3556</v>
      </c>
      <c r="CJ72" s="19" t="s">
        <v>2583</v>
      </c>
      <c r="CK72" s="13" t="s">
        <v>0</v>
      </c>
      <c r="CL72" s="82" t="s">
        <v>12</v>
      </c>
      <c r="CM72" s="91" t="s">
        <v>3577</v>
      </c>
      <c r="CN72" s="91"/>
      <c r="CO72" s="87" t="s">
        <v>3556</v>
      </c>
      <c r="CP72" s="56" t="s">
        <v>3262</v>
      </c>
      <c r="CQ72" s="13" t="s">
        <v>0</v>
      </c>
      <c r="CR72" s="82" t="s">
        <v>12</v>
      </c>
      <c r="CS72" s="91" t="s">
        <v>3577</v>
      </c>
      <c r="CT72" s="91"/>
      <c r="CU72" s="105" t="s">
        <v>3556</v>
      </c>
    </row>
    <row r="73" spans="1:99" ht="42" customHeight="1" thickBot="1" x14ac:dyDescent="0.4">
      <c r="A73" s="40" t="s">
        <v>156</v>
      </c>
      <c r="B73" s="40" t="s">
        <v>327</v>
      </c>
      <c r="C73" s="40" t="s">
        <v>525</v>
      </c>
      <c r="D73" s="262" t="s">
        <v>3471</v>
      </c>
      <c r="E73" s="323" t="s">
        <v>3869</v>
      </c>
      <c r="F73" s="324" t="s">
        <v>3465</v>
      </c>
      <c r="G73" s="324" t="s">
        <v>3872</v>
      </c>
      <c r="H73" s="266"/>
      <c r="I73" s="265"/>
      <c r="J73" s="136" t="s">
        <v>708</v>
      </c>
      <c r="K73" s="13" t="s">
        <v>0</v>
      </c>
      <c r="L73" s="82" t="s">
        <v>12</v>
      </c>
      <c r="M73" s="146" t="s">
        <v>3577</v>
      </c>
      <c r="N73" s="91"/>
      <c r="O73" s="87"/>
      <c r="P73" s="49" t="s">
        <v>907</v>
      </c>
      <c r="Q73" s="13" t="s">
        <v>0</v>
      </c>
      <c r="R73" s="82" t="s">
        <v>12</v>
      </c>
      <c r="S73" s="91" t="s">
        <v>3577</v>
      </c>
      <c r="T73" s="91"/>
      <c r="U73" s="87"/>
      <c r="V73" s="52" t="s">
        <v>1106</v>
      </c>
      <c r="W73" s="13" t="s">
        <v>0</v>
      </c>
      <c r="X73" s="82" t="s">
        <v>12</v>
      </c>
      <c r="Y73" s="91" t="s">
        <v>3577</v>
      </c>
      <c r="Z73" s="91"/>
      <c r="AA73" s="87"/>
      <c r="AB73" s="19" t="s">
        <v>1106</v>
      </c>
      <c r="AC73" s="13" t="s">
        <v>0</v>
      </c>
      <c r="AD73" s="82" t="s">
        <v>12</v>
      </c>
      <c r="AE73" s="91" t="s">
        <v>3577</v>
      </c>
      <c r="AF73" s="91"/>
      <c r="AG73" s="87"/>
      <c r="AH73" s="56" t="s">
        <v>3854</v>
      </c>
      <c r="AI73" s="13" t="s">
        <v>15</v>
      </c>
      <c r="AJ73" s="82" t="s">
        <v>4</v>
      </c>
      <c r="AK73" s="91" t="s">
        <v>3577</v>
      </c>
      <c r="AL73" s="91"/>
      <c r="AM73" s="105"/>
      <c r="AN73" s="23" t="s">
        <v>1701</v>
      </c>
      <c r="AO73" s="13" t="s">
        <v>15</v>
      </c>
      <c r="AP73" s="82" t="s">
        <v>13</v>
      </c>
      <c r="AQ73" s="91" t="s">
        <v>3577</v>
      </c>
      <c r="AR73" s="91"/>
      <c r="AS73" s="87"/>
      <c r="AT73" s="21" t="s">
        <v>1900</v>
      </c>
      <c r="AU73" s="13" t="s">
        <v>15</v>
      </c>
      <c r="AV73" s="82" t="s">
        <v>13</v>
      </c>
      <c r="AW73" s="91" t="s">
        <v>3577</v>
      </c>
      <c r="AX73" s="91"/>
      <c r="AY73" s="87"/>
      <c r="AZ73" s="22" t="s">
        <v>2096</v>
      </c>
      <c r="BA73" s="13" t="s">
        <v>15</v>
      </c>
      <c r="BB73" s="82" t="s">
        <v>13</v>
      </c>
      <c r="BC73" s="91" t="s">
        <v>3577</v>
      </c>
      <c r="BD73" s="91"/>
      <c r="BE73" s="87"/>
      <c r="BF73" s="24" t="s">
        <v>2287</v>
      </c>
      <c r="BG73" s="13" t="s">
        <v>15</v>
      </c>
      <c r="BH73" s="82" t="s">
        <v>13</v>
      </c>
      <c r="BI73" s="91" t="s">
        <v>3577</v>
      </c>
      <c r="BJ73" s="91"/>
      <c r="BK73" s="87"/>
      <c r="BL73" s="27" t="s">
        <v>3725</v>
      </c>
      <c r="BM73" s="13" t="s">
        <v>15</v>
      </c>
      <c r="BN73" s="82" t="s">
        <v>13</v>
      </c>
      <c r="BO73" s="91" t="s">
        <v>3577</v>
      </c>
      <c r="BP73" s="91"/>
      <c r="BQ73" s="105"/>
      <c r="BR73" s="72" t="s">
        <v>2675</v>
      </c>
      <c r="BS73" s="13" t="s">
        <v>15</v>
      </c>
      <c r="BT73" s="82" t="s">
        <v>4</v>
      </c>
      <c r="BU73" s="91" t="s">
        <v>3576</v>
      </c>
      <c r="BV73" s="91"/>
      <c r="BW73" s="87"/>
      <c r="BX73" s="49" t="s">
        <v>2863</v>
      </c>
      <c r="BY73" s="13" t="s">
        <v>15</v>
      </c>
      <c r="BZ73" s="82" t="s">
        <v>13</v>
      </c>
      <c r="CA73" s="91" t="s">
        <v>3577</v>
      </c>
      <c r="CB73" s="91"/>
      <c r="CC73" s="87"/>
      <c r="CD73" s="52" t="s">
        <v>3038</v>
      </c>
      <c r="CE73" s="13" t="s">
        <v>15</v>
      </c>
      <c r="CF73" s="82" t="s">
        <v>13</v>
      </c>
      <c r="CG73" s="91" t="s">
        <v>3577</v>
      </c>
      <c r="CH73" s="91"/>
      <c r="CI73" s="87"/>
      <c r="CJ73" s="19" t="s">
        <v>3193</v>
      </c>
      <c r="CK73" s="13" t="s">
        <v>15</v>
      </c>
      <c r="CL73" s="82" t="s">
        <v>13</v>
      </c>
      <c r="CM73" s="91" t="s">
        <v>3577</v>
      </c>
      <c r="CN73" s="91"/>
      <c r="CO73" s="87"/>
      <c r="CP73" s="56" t="s">
        <v>3319</v>
      </c>
      <c r="CQ73" s="13" t="s">
        <v>15</v>
      </c>
      <c r="CR73" s="82" t="s">
        <v>13</v>
      </c>
      <c r="CS73" s="91" t="s">
        <v>3577</v>
      </c>
      <c r="CT73" s="91"/>
      <c r="CU73" s="105"/>
    </row>
    <row r="74" spans="1:99" ht="123" customHeight="1" thickBot="1" x14ac:dyDescent="0.4">
      <c r="A74" s="40" t="s">
        <v>151</v>
      </c>
      <c r="B74" s="40" t="s">
        <v>321</v>
      </c>
      <c r="C74" s="40" t="s">
        <v>519</v>
      </c>
      <c r="D74" s="135" t="s">
        <v>3466</v>
      </c>
      <c r="E74" s="323" t="s">
        <v>3869</v>
      </c>
      <c r="F74" s="324" t="s">
        <v>3465</v>
      </c>
      <c r="G74" s="324" t="s">
        <v>3872</v>
      </c>
      <c r="H74" s="142"/>
      <c r="I74" s="138"/>
      <c r="J74" s="136" t="s">
        <v>702</v>
      </c>
      <c r="K74" s="13" t="s">
        <v>0</v>
      </c>
      <c r="L74" s="82" t="s">
        <v>12</v>
      </c>
      <c r="M74" s="146" t="s">
        <v>3577</v>
      </c>
      <c r="N74" s="91"/>
      <c r="O74" s="87"/>
      <c r="P74" s="49" t="s">
        <v>901</v>
      </c>
      <c r="Q74" s="13" t="s">
        <v>15</v>
      </c>
      <c r="R74" s="82" t="s">
        <v>19</v>
      </c>
      <c r="S74" s="91" t="s">
        <v>3577</v>
      </c>
      <c r="T74" s="91"/>
      <c r="U74" s="87"/>
      <c r="V74" s="52" t="s">
        <v>1100</v>
      </c>
      <c r="W74" s="13" t="s">
        <v>15</v>
      </c>
      <c r="X74" s="82" t="s">
        <v>9</v>
      </c>
      <c r="Y74" s="91" t="s">
        <v>3576</v>
      </c>
      <c r="Z74" s="91"/>
      <c r="AA74" s="87"/>
      <c r="AB74" s="19" t="s">
        <v>1300</v>
      </c>
      <c r="AC74" s="13" t="s">
        <v>15</v>
      </c>
      <c r="AD74" s="82" t="s">
        <v>9</v>
      </c>
      <c r="AE74" s="91" t="s">
        <v>3576</v>
      </c>
      <c r="AF74" s="91"/>
      <c r="AG74" s="87"/>
      <c r="AH74" s="56" t="s">
        <v>1497</v>
      </c>
      <c r="AI74" s="13" t="s">
        <v>15</v>
      </c>
      <c r="AJ74" s="82" t="s">
        <v>13</v>
      </c>
      <c r="AK74" s="91" t="s">
        <v>3577</v>
      </c>
      <c r="AL74" s="91"/>
      <c r="AM74" s="105"/>
      <c r="AN74" s="23" t="s">
        <v>3696</v>
      </c>
      <c r="AO74" s="13" t="s">
        <v>0</v>
      </c>
      <c r="AP74" s="82" t="s">
        <v>12</v>
      </c>
      <c r="AQ74" s="91" t="s">
        <v>3577</v>
      </c>
      <c r="AR74" s="91"/>
      <c r="AS74" s="87"/>
      <c r="AT74" s="21" t="s">
        <v>1894</v>
      </c>
      <c r="AU74" s="13" t="s">
        <v>0</v>
      </c>
      <c r="AV74" s="82" t="s">
        <v>12</v>
      </c>
      <c r="AW74" s="91" t="s">
        <v>3577</v>
      </c>
      <c r="AX74" s="91"/>
      <c r="AY74" s="87"/>
      <c r="AZ74" s="22" t="s">
        <v>2090</v>
      </c>
      <c r="BA74" s="13" t="s">
        <v>0</v>
      </c>
      <c r="BB74" s="82" t="s">
        <v>12</v>
      </c>
      <c r="BC74" s="91" t="s">
        <v>3577</v>
      </c>
      <c r="BD74" s="91"/>
      <c r="BE74" s="87"/>
      <c r="BF74" s="24" t="s">
        <v>2283</v>
      </c>
      <c r="BG74" s="13" t="s">
        <v>0</v>
      </c>
      <c r="BH74" s="82" t="s">
        <v>12</v>
      </c>
      <c r="BI74" s="91" t="s">
        <v>3577</v>
      </c>
      <c r="BJ74" s="91"/>
      <c r="BK74" s="87"/>
      <c r="BL74" s="27" t="s">
        <v>2472</v>
      </c>
      <c r="BM74" s="13" t="s">
        <v>15</v>
      </c>
      <c r="BN74" s="82" t="s">
        <v>20</v>
      </c>
      <c r="BO74" s="91" t="s">
        <v>3577</v>
      </c>
      <c r="BP74" s="91"/>
      <c r="BQ74" s="353" t="s">
        <v>3697</v>
      </c>
      <c r="BR74" s="72" t="s">
        <v>2669</v>
      </c>
      <c r="BS74" s="13" t="s">
        <v>11</v>
      </c>
      <c r="BT74" s="82"/>
      <c r="BU74" s="91" t="s">
        <v>3576</v>
      </c>
      <c r="BV74" s="91"/>
      <c r="BW74" s="87"/>
      <c r="BX74" s="49" t="s">
        <v>2857</v>
      </c>
      <c r="BY74" s="13" t="s">
        <v>0</v>
      </c>
      <c r="BZ74" s="82" t="s">
        <v>12</v>
      </c>
      <c r="CA74" s="91" t="s">
        <v>3577</v>
      </c>
      <c r="CB74" s="91"/>
      <c r="CC74" s="87"/>
      <c r="CD74" s="52" t="s">
        <v>3033</v>
      </c>
      <c r="CE74" s="13" t="s">
        <v>0</v>
      </c>
      <c r="CF74" s="82" t="s">
        <v>12</v>
      </c>
      <c r="CG74" s="91" t="s">
        <v>3577</v>
      </c>
      <c r="CH74" s="91"/>
      <c r="CI74" s="87"/>
      <c r="CJ74" s="19" t="s">
        <v>3033</v>
      </c>
      <c r="CK74" s="13" t="s">
        <v>0</v>
      </c>
      <c r="CL74" s="82" t="s">
        <v>12</v>
      </c>
      <c r="CM74" s="91" t="s">
        <v>3577</v>
      </c>
      <c r="CN74" s="91"/>
      <c r="CO74" s="87"/>
      <c r="CP74" s="56" t="s">
        <v>3033</v>
      </c>
      <c r="CQ74" s="13" t="s">
        <v>0</v>
      </c>
      <c r="CR74" s="82" t="s">
        <v>12</v>
      </c>
      <c r="CS74" s="91" t="s">
        <v>3577</v>
      </c>
      <c r="CT74" s="91"/>
      <c r="CU74" s="105"/>
    </row>
    <row r="75" spans="1:99" ht="72" customHeight="1" thickBot="1" x14ac:dyDescent="0.4">
      <c r="A75" s="40" t="s">
        <v>117</v>
      </c>
      <c r="B75" s="40" t="s">
        <v>281</v>
      </c>
      <c r="C75" s="40" t="s">
        <v>481</v>
      </c>
      <c r="D75" s="135" t="s">
        <v>3428</v>
      </c>
      <c r="E75" s="314" t="s">
        <v>3855</v>
      </c>
      <c r="F75" s="315" t="s">
        <v>3371</v>
      </c>
      <c r="G75" s="315" t="s">
        <v>3859</v>
      </c>
      <c r="H75" s="142" t="s">
        <v>3606</v>
      </c>
      <c r="I75" s="138" t="s">
        <v>3607</v>
      </c>
      <c r="J75" s="136" t="s">
        <v>661</v>
      </c>
      <c r="K75" s="13" t="s">
        <v>11</v>
      </c>
      <c r="L75" s="82"/>
      <c r="M75" s="146" t="s">
        <v>3576</v>
      </c>
      <c r="N75" s="91"/>
      <c r="O75" s="87"/>
      <c r="P75" s="49" t="s">
        <v>860</v>
      </c>
      <c r="Q75" s="13" t="s">
        <v>11</v>
      </c>
      <c r="R75" s="82"/>
      <c r="S75" s="91" t="s">
        <v>3576</v>
      </c>
      <c r="T75" s="91"/>
      <c r="U75" s="87"/>
      <c r="V75" s="52" t="s">
        <v>1059</v>
      </c>
      <c r="W75" s="13" t="s">
        <v>11</v>
      </c>
      <c r="X75" s="82"/>
      <c r="Y75" s="91" t="s">
        <v>3576</v>
      </c>
      <c r="Z75" s="91"/>
      <c r="AA75" s="87"/>
      <c r="AB75" s="19" t="s">
        <v>1260</v>
      </c>
      <c r="AC75" s="13" t="s">
        <v>11</v>
      </c>
      <c r="AD75" s="82"/>
      <c r="AE75" s="91" t="s">
        <v>3576</v>
      </c>
      <c r="AF75" s="91"/>
      <c r="AG75" s="87"/>
      <c r="AH75" s="56" t="s">
        <v>1457</v>
      </c>
      <c r="AI75" s="13" t="s">
        <v>11</v>
      </c>
      <c r="AJ75" s="82"/>
      <c r="AK75" s="91" t="s">
        <v>3576</v>
      </c>
      <c r="AL75" s="91"/>
      <c r="AM75" s="105"/>
      <c r="AN75" s="23" t="s">
        <v>1656</v>
      </c>
      <c r="AO75" s="13" t="s">
        <v>15</v>
      </c>
      <c r="AP75" s="82" t="s">
        <v>9</v>
      </c>
      <c r="AQ75" s="91" t="s">
        <v>3576</v>
      </c>
      <c r="AR75" s="91"/>
      <c r="AS75" s="87"/>
      <c r="AT75" s="21" t="s">
        <v>1853</v>
      </c>
      <c r="AU75" s="13" t="s">
        <v>15</v>
      </c>
      <c r="AV75" s="82" t="s">
        <v>9</v>
      </c>
      <c r="AW75" s="91" t="s">
        <v>3576</v>
      </c>
      <c r="AX75" s="91"/>
      <c r="AY75" s="87"/>
      <c r="AZ75" s="22" t="s">
        <v>2051</v>
      </c>
      <c r="BA75" s="13" t="s">
        <v>6</v>
      </c>
      <c r="BB75" s="82" t="s">
        <v>8</v>
      </c>
      <c r="BC75" s="91" t="s">
        <v>3576</v>
      </c>
      <c r="BD75" s="91"/>
      <c r="BE75" s="87"/>
      <c r="BF75" s="24" t="s">
        <v>2245</v>
      </c>
      <c r="BG75" s="13" t="s">
        <v>15</v>
      </c>
      <c r="BH75" s="82" t="s">
        <v>9</v>
      </c>
      <c r="BI75" s="91" t="s">
        <v>3576</v>
      </c>
      <c r="BJ75" s="91"/>
      <c r="BK75" s="87"/>
      <c r="BL75" s="27" t="s">
        <v>2434</v>
      </c>
      <c r="BM75" s="13" t="s">
        <v>15</v>
      </c>
      <c r="BN75" s="82" t="s">
        <v>9</v>
      </c>
      <c r="BO75" s="91" t="s">
        <v>3576</v>
      </c>
      <c r="BP75" s="91"/>
      <c r="BQ75" s="105"/>
      <c r="BR75" s="72" t="s">
        <v>2630</v>
      </c>
      <c r="BS75" s="13" t="s">
        <v>15</v>
      </c>
      <c r="BT75" s="82" t="s">
        <v>4</v>
      </c>
      <c r="BU75" s="91" t="s">
        <v>3576</v>
      </c>
      <c r="BV75" s="91"/>
      <c r="BW75" s="87"/>
      <c r="BX75" s="49" t="s">
        <v>2825</v>
      </c>
      <c r="BY75" s="13" t="s">
        <v>15</v>
      </c>
      <c r="BZ75" s="82" t="s">
        <v>4</v>
      </c>
      <c r="CA75" s="91" t="s">
        <v>3576</v>
      </c>
      <c r="CB75" s="91"/>
      <c r="CC75" s="264"/>
      <c r="CD75" s="52" t="s">
        <v>2825</v>
      </c>
      <c r="CE75" s="13" t="s">
        <v>15</v>
      </c>
      <c r="CF75" s="82" t="s">
        <v>4</v>
      </c>
      <c r="CG75" s="91" t="s">
        <v>3576</v>
      </c>
      <c r="CH75" s="91"/>
      <c r="CI75" s="87"/>
      <c r="CJ75" s="19" t="s">
        <v>2825</v>
      </c>
      <c r="CK75" s="13" t="s">
        <v>15</v>
      </c>
      <c r="CL75" s="82" t="s">
        <v>4</v>
      </c>
      <c r="CM75" s="91" t="s">
        <v>3576</v>
      </c>
      <c r="CN75" s="91"/>
      <c r="CO75" s="87"/>
      <c r="CP75" s="56" t="s">
        <v>2825</v>
      </c>
      <c r="CQ75" s="13" t="s">
        <v>15</v>
      </c>
      <c r="CR75" s="82" t="s">
        <v>4</v>
      </c>
      <c r="CS75" s="91" t="s">
        <v>3576</v>
      </c>
      <c r="CT75" s="91"/>
      <c r="CU75" s="105"/>
    </row>
    <row r="76" spans="1:99" ht="62" customHeight="1" thickBot="1" x14ac:dyDescent="0.4">
      <c r="A76" s="40" t="s">
        <v>214</v>
      </c>
      <c r="B76" s="40" t="s">
        <v>404</v>
      </c>
      <c r="C76" s="40" t="s">
        <v>586</v>
      </c>
      <c r="D76" s="135" t="s">
        <v>3853</v>
      </c>
      <c r="E76" s="314" t="s">
        <v>3855</v>
      </c>
      <c r="F76" s="315" t="s">
        <v>3423</v>
      </c>
      <c r="G76" s="315" t="s">
        <v>3865</v>
      </c>
      <c r="H76" s="142" t="s">
        <v>3797</v>
      </c>
      <c r="I76" s="138" t="s">
        <v>3798</v>
      </c>
      <c r="J76" s="136" t="s">
        <v>785</v>
      </c>
      <c r="K76" s="13" t="s">
        <v>15</v>
      </c>
      <c r="L76" s="82" t="s">
        <v>4</v>
      </c>
      <c r="M76" s="146" t="s">
        <v>3576</v>
      </c>
      <c r="N76" s="91"/>
      <c r="O76" s="87"/>
      <c r="P76" s="49" t="s">
        <v>983</v>
      </c>
      <c r="Q76" s="13" t="s">
        <v>15</v>
      </c>
      <c r="R76" s="82" t="s">
        <v>4</v>
      </c>
      <c r="S76" s="91" t="s">
        <v>3576</v>
      </c>
      <c r="T76" s="91"/>
      <c r="U76" s="87"/>
      <c r="V76" s="52" t="s">
        <v>1182</v>
      </c>
      <c r="W76" s="13" t="s">
        <v>15</v>
      </c>
      <c r="X76" s="82" t="s">
        <v>4</v>
      </c>
      <c r="Y76" s="91" t="s">
        <v>3576</v>
      </c>
      <c r="Z76" s="91"/>
      <c r="AA76" s="87"/>
      <c r="AB76" s="19" t="s">
        <v>1381</v>
      </c>
      <c r="AC76" s="13" t="s">
        <v>15</v>
      </c>
      <c r="AD76" s="82" t="s">
        <v>4</v>
      </c>
      <c r="AE76" s="91" t="s">
        <v>3576</v>
      </c>
      <c r="AF76" s="91"/>
      <c r="AG76" s="87"/>
      <c r="AH76" s="56" t="s">
        <v>1579</v>
      </c>
      <c r="AI76" s="13" t="s">
        <v>15</v>
      </c>
      <c r="AJ76" s="82" t="s">
        <v>4</v>
      </c>
      <c r="AK76" s="91" t="s">
        <v>3576</v>
      </c>
      <c r="AL76" s="91"/>
      <c r="AM76" s="105"/>
      <c r="AN76" s="23" t="s">
        <v>1778</v>
      </c>
      <c r="AO76" s="13" t="s">
        <v>15</v>
      </c>
      <c r="AP76" s="82" t="s">
        <v>4</v>
      </c>
      <c r="AQ76" s="91" t="s">
        <v>3576</v>
      </c>
      <c r="AR76" s="91"/>
      <c r="AS76" s="87"/>
      <c r="AT76" s="21" t="s">
        <v>1975</v>
      </c>
      <c r="AU76" s="13" t="s">
        <v>15</v>
      </c>
      <c r="AV76" s="82" t="s">
        <v>4</v>
      </c>
      <c r="AW76" s="91" t="s">
        <v>3576</v>
      </c>
      <c r="AX76" s="91"/>
      <c r="AY76" s="87"/>
      <c r="AZ76" s="22" t="s">
        <v>2171</v>
      </c>
      <c r="BA76" s="13" t="s">
        <v>15</v>
      </c>
      <c r="BB76" s="82" t="s">
        <v>4</v>
      </c>
      <c r="BC76" s="91" t="s">
        <v>3576</v>
      </c>
      <c r="BD76" s="91"/>
      <c r="BE76" s="87"/>
      <c r="BF76" s="24" t="s">
        <v>2362</v>
      </c>
      <c r="BG76" s="13" t="s">
        <v>15</v>
      </c>
      <c r="BH76" s="82" t="s">
        <v>4</v>
      </c>
      <c r="BI76" s="91" t="s">
        <v>3576</v>
      </c>
      <c r="BJ76" s="91"/>
      <c r="BK76" s="87"/>
      <c r="BL76" s="27" t="s">
        <v>2554</v>
      </c>
      <c r="BM76" s="13" t="s">
        <v>15</v>
      </c>
      <c r="BN76" s="82" t="s">
        <v>4</v>
      </c>
      <c r="BO76" s="91" t="s">
        <v>3576</v>
      </c>
      <c r="BP76" s="91"/>
      <c r="BQ76" s="105"/>
      <c r="BR76" s="72" t="s">
        <v>2752</v>
      </c>
      <c r="BS76" s="13" t="s">
        <v>15</v>
      </c>
      <c r="BT76" s="82" t="s">
        <v>4</v>
      </c>
      <c r="BU76" s="91" t="s">
        <v>3576</v>
      </c>
      <c r="BV76" s="91"/>
      <c r="BW76" s="87"/>
      <c r="BX76" s="49" t="s">
        <v>2926</v>
      </c>
      <c r="BY76" s="13" t="s">
        <v>0</v>
      </c>
      <c r="BZ76" s="82" t="s">
        <v>1</v>
      </c>
      <c r="CA76" s="91" t="s">
        <v>3576</v>
      </c>
      <c r="CB76" s="91"/>
      <c r="CC76" s="87"/>
      <c r="CD76" s="52" t="s">
        <v>3101</v>
      </c>
      <c r="CE76" s="13" t="s">
        <v>0</v>
      </c>
      <c r="CF76" s="82" t="s">
        <v>1</v>
      </c>
      <c r="CG76" s="91" t="s">
        <v>3576</v>
      </c>
      <c r="CH76" s="91"/>
      <c r="CI76" s="87"/>
      <c r="CJ76" s="19" t="s">
        <v>3244</v>
      </c>
      <c r="CK76" s="13" t="s">
        <v>15</v>
      </c>
      <c r="CL76" s="82" t="s">
        <v>4</v>
      </c>
      <c r="CM76" s="91" t="s">
        <v>3576</v>
      </c>
      <c r="CN76" s="91"/>
      <c r="CO76" s="87"/>
      <c r="CP76" s="56" t="s">
        <v>3357</v>
      </c>
      <c r="CQ76" s="13" t="s">
        <v>15</v>
      </c>
      <c r="CR76" s="82" t="s">
        <v>4</v>
      </c>
      <c r="CS76" s="91" t="s">
        <v>3576</v>
      </c>
      <c r="CT76" s="91"/>
      <c r="CU76" s="105"/>
    </row>
    <row r="77" spans="1:99" ht="42" customHeight="1" thickBot="1" x14ac:dyDescent="0.4">
      <c r="A77" s="40" t="s">
        <v>129</v>
      </c>
      <c r="B77" s="40" t="s">
        <v>292</v>
      </c>
      <c r="C77" s="40" t="s">
        <v>493</v>
      </c>
      <c r="D77" s="135" t="s">
        <v>3438</v>
      </c>
      <c r="E77" s="314" t="s">
        <v>3855</v>
      </c>
      <c r="F77" s="315" t="s">
        <v>3437</v>
      </c>
      <c r="G77" s="315" t="s">
        <v>3864</v>
      </c>
      <c r="H77" s="142" t="s">
        <v>3718</v>
      </c>
      <c r="I77" s="138" t="s">
        <v>3555</v>
      </c>
      <c r="J77" s="136" t="s">
        <v>673</v>
      </c>
      <c r="K77" s="13" t="s">
        <v>15</v>
      </c>
      <c r="L77" s="82" t="s">
        <v>9</v>
      </c>
      <c r="M77" s="146" t="s">
        <v>3576</v>
      </c>
      <c r="N77" s="91"/>
      <c r="O77" s="87"/>
      <c r="P77" s="49" t="s">
        <v>872</v>
      </c>
      <c r="Q77" s="13" t="s">
        <v>6</v>
      </c>
      <c r="R77" s="82" t="s">
        <v>8</v>
      </c>
      <c r="S77" s="91" t="s">
        <v>3576</v>
      </c>
      <c r="T77" s="91"/>
      <c r="U77" s="87"/>
      <c r="V77" s="52" t="s">
        <v>1071</v>
      </c>
      <c r="W77" s="13" t="s">
        <v>6</v>
      </c>
      <c r="X77" s="82" t="s">
        <v>8</v>
      </c>
      <c r="Y77" s="91" t="s">
        <v>3576</v>
      </c>
      <c r="Z77" s="91"/>
      <c r="AA77" s="87"/>
      <c r="AB77" s="19" t="s">
        <v>1272</v>
      </c>
      <c r="AC77" s="13" t="s">
        <v>6</v>
      </c>
      <c r="AD77" s="82" t="s">
        <v>8</v>
      </c>
      <c r="AE77" s="91" t="s">
        <v>3576</v>
      </c>
      <c r="AF77" s="91"/>
      <c r="AG77" s="87"/>
      <c r="AH77" s="56" t="s">
        <v>1468</v>
      </c>
      <c r="AI77" s="13" t="s">
        <v>6</v>
      </c>
      <c r="AJ77" s="82" t="s">
        <v>8</v>
      </c>
      <c r="AK77" s="91" t="s">
        <v>3576</v>
      </c>
      <c r="AL77" s="91"/>
      <c r="AM77" s="105"/>
      <c r="AN77" s="23" t="s">
        <v>1668</v>
      </c>
      <c r="AO77" s="13" t="s">
        <v>0</v>
      </c>
      <c r="AP77" s="82" t="s">
        <v>12</v>
      </c>
      <c r="AQ77" s="91" t="s">
        <v>3577</v>
      </c>
      <c r="AR77" s="91"/>
      <c r="AS77" s="87"/>
      <c r="AT77" s="21" t="s">
        <v>1865</v>
      </c>
      <c r="AU77" s="13" t="s">
        <v>0</v>
      </c>
      <c r="AV77" s="82" t="s">
        <v>12</v>
      </c>
      <c r="AW77" s="91" t="s">
        <v>3577</v>
      </c>
      <c r="AX77" s="91"/>
      <c r="AY77" s="87"/>
      <c r="AZ77" s="22" t="s">
        <v>2062</v>
      </c>
      <c r="BA77" s="13" t="s">
        <v>0</v>
      </c>
      <c r="BB77" s="82" t="s">
        <v>12</v>
      </c>
      <c r="BC77" s="91" t="s">
        <v>3577</v>
      </c>
      <c r="BD77" s="91"/>
      <c r="BE77" s="87"/>
      <c r="BF77" s="24" t="s">
        <v>2257</v>
      </c>
      <c r="BG77" s="13" t="s">
        <v>15</v>
      </c>
      <c r="BH77" s="82" t="s">
        <v>20</v>
      </c>
      <c r="BI77" s="91" t="s">
        <v>3576</v>
      </c>
      <c r="BJ77" s="91"/>
      <c r="BK77" s="87"/>
      <c r="BL77" s="27" t="s">
        <v>2444</v>
      </c>
      <c r="BM77" s="13" t="s">
        <v>0</v>
      </c>
      <c r="BN77" s="82" t="s">
        <v>12</v>
      </c>
      <c r="BO77" s="91" t="s">
        <v>3577</v>
      </c>
      <c r="BP77" s="91"/>
      <c r="BQ77" s="105"/>
      <c r="BR77" s="72" t="s">
        <v>2642</v>
      </c>
      <c r="BS77" s="13" t="s">
        <v>6</v>
      </c>
      <c r="BT77" s="82" t="s">
        <v>8</v>
      </c>
      <c r="BU77" s="91" t="s">
        <v>3576</v>
      </c>
      <c r="BV77" s="91"/>
      <c r="BW77" s="87"/>
      <c r="BX77" s="49" t="s">
        <v>2834</v>
      </c>
      <c r="BY77" s="13" t="s">
        <v>0</v>
      </c>
      <c r="BZ77" s="82" t="s">
        <v>12</v>
      </c>
      <c r="CA77" s="91" t="s">
        <v>3577</v>
      </c>
      <c r="CB77" s="91"/>
      <c r="CC77" s="264"/>
      <c r="CD77" s="52" t="s">
        <v>3008</v>
      </c>
      <c r="CE77" s="13" t="s">
        <v>6</v>
      </c>
      <c r="CF77" s="82" t="s">
        <v>8</v>
      </c>
      <c r="CG77" s="91" t="s">
        <v>3576</v>
      </c>
      <c r="CH77" s="91"/>
      <c r="CI77" s="87"/>
      <c r="CJ77" s="19" t="s">
        <v>3169</v>
      </c>
      <c r="CK77" s="13" t="s">
        <v>0</v>
      </c>
      <c r="CL77" s="82" t="s">
        <v>12</v>
      </c>
      <c r="CM77" s="91" t="s">
        <v>3577</v>
      </c>
      <c r="CN77" s="91"/>
      <c r="CO77" s="87"/>
      <c r="CP77" s="56" t="s">
        <v>3298</v>
      </c>
      <c r="CQ77" s="13" t="s">
        <v>0</v>
      </c>
      <c r="CR77" s="82" t="s">
        <v>12</v>
      </c>
      <c r="CS77" s="91" t="s">
        <v>3577</v>
      </c>
      <c r="CT77" s="91"/>
      <c r="CU77" s="105"/>
    </row>
    <row r="78" spans="1:99" ht="9" customHeight="1" thickBot="1" x14ac:dyDescent="0.4">
      <c r="A78" s="40" t="s">
        <v>185</v>
      </c>
      <c r="B78" s="40" t="s">
        <v>367</v>
      </c>
      <c r="C78" s="40" t="s">
        <v>558</v>
      </c>
      <c r="D78" s="135" t="s">
        <v>3763</v>
      </c>
      <c r="E78" s="314" t="s">
        <v>3855</v>
      </c>
      <c r="F78" s="315" t="s">
        <v>3387</v>
      </c>
      <c r="G78" s="315" t="s">
        <v>3861</v>
      </c>
      <c r="H78" s="142" t="s">
        <v>3764</v>
      </c>
      <c r="I78" s="138" t="s">
        <v>3559</v>
      </c>
      <c r="J78" s="136" t="s">
        <v>748</v>
      </c>
      <c r="K78" s="13" t="s">
        <v>15</v>
      </c>
      <c r="L78" s="82" t="s">
        <v>13</v>
      </c>
      <c r="M78" s="146" t="s">
        <v>3576</v>
      </c>
      <c r="N78" s="91"/>
      <c r="O78" s="87"/>
      <c r="P78" s="49" t="s">
        <v>947</v>
      </c>
      <c r="Q78" s="13" t="s">
        <v>15</v>
      </c>
      <c r="R78" s="82" t="s">
        <v>13</v>
      </c>
      <c r="S78" s="91" t="s">
        <v>3576</v>
      </c>
      <c r="T78" s="91"/>
      <c r="U78" s="87"/>
      <c r="V78" s="52" t="s">
        <v>1145</v>
      </c>
      <c r="W78" s="13" t="s">
        <v>15</v>
      </c>
      <c r="X78" s="82" t="s">
        <v>17</v>
      </c>
      <c r="Y78" s="91" t="s">
        <v>3576</v>
      </c>
      <c r="Z78" s="91"/>
      <c r="AA78" s="87"/>
      <c r="AB78" s="19" t="s">
        <v>1344</v>
      </c>
      <c r="AC78" s="13" t="s">
        <v>15</v>
      </c>
      <c r="AD78" s="82" t="s">
        <v>13</v>
      </c>
      <c r="AE78" s="91" t="s">
        <v>3576</v>
      </c>
      <c r="AF78" s="91"/>
      <c r="AG78" s="87"/>
      <c r="AH78" s="56" t="s">
        <v>1542</v>
      </c>
      <c r="AI78" s="13" t="s">
        <v>15</v>
      </c>
      <c r="AJ78" s="82" t="s">
        <v>13</v>
      </c>
      <c r="AK78" s="91" t="s">
        <v>3576</v>
      </c>
      <c r="AL78" s="91"/>
      <c r="AM78" s="105"/>
      <c r="AN78" s="23" t="s">
        <v>1741</v>
      </c>
      <c r="AO78" s="13" t="s">
        <v>11</v>
      </c>
      <c r="AP78" s="82"/>
      <c r="AQ78" s="91" t="s">
        <v>3576</v>
      </c>
      <c r="AR78" s="91"/>
      <c r="AS78" s="87"/>
      <c r="AT78" s="21" t="s">
        <v>1938</v>
      </c>
      <c r="AU78" s="13" t="s">
        <v>15</v>
      </c>
      <c r="AV78" s="82" t="s">
        <v>9</v>
      </c>
      <c r="AW78" s="91" t="s">
        <v>3576</v>
      </c>
      <c r="AX78" s="91"/>
      <c r="AY78" s="87"/>
      <c r="AZ78" s="22" t="s">
        <v>2134</v>
      </c>
      <c r="BA78" s="13" t="s">
        <v>15</v>
      </c>
      <c r="BB78" s="82" t="s">
        <v>9</v>
      </c>
      <c r="BC78" s="91" t="s">
        <v>3576</v>
      </c>
      <c r="BD78" s="91"/>
      <c r="BE78" s="87"/>
      <c r="BF78" s="24" t="s">
        <v>2326</v>
      </c>
      <c r="BG78" s="13" t="s">
        <v>11</v>
      </c>
      <c r="BH78" s="82"/>
      <c r="BI78" s="91" t="s">
        <v>3576</v>
      </c>
      <c r="BJ78" s="91"/>
      <c r="BK78" s="87"/>
      <c r="BL78" s="27" t="s">
        <v>2517</v>
      </c>
      <c r="BM78" s="13" t="s">
        <v>15</v>
      </c>
      <c r="BN78" s="82" t="s">
        <v>9</v>
      </c>
      <c r="BO78" s="91" t="s">
        <v>3576</v>
      </c>
      <c r="BP78" s="91"/>
      <c r="BQ78" s="105"/>
      <c r="BR78" s="72" t="s">
        <v>2715</v>
      </c>
      <c r="BS78" s="13" t="s">
        <v>15</v>
      </c>
      <c r="BT78" s="82" t="s">
        <v>9</v>
      </c>
      <c r="BU78" s="91" t="s">
        <v>3576</v>
      </c>
      <c r="BV78" s="91"/>
      <c r="BW78" s="87"/>
      <c r="BX78" s="49" t="s">
        <v>2898</v>
      </c>
      <c r="BY78" s="13" t="s">
        <v>15</v>
      </c>
      <c r="BZ78" s="82" t="s">
        <v>9</v>
      </c>
      <c r="CA78" s="91" t="s">
        <v>3576</v>
      </c>
      <c r="CB78" s="91"/>
      <c r="CC78" s="87"/>
      <c r="CD78" s="52" t="s">
        <v>3068</v>
      </c>
      <c r="CE78" s="13" t="s">
        <v>15</v>
      </c>
      <c r="CF78" s="82" t="s">
        <v>9</v>
      </c>
      <c r="CG78" s="91" t="s">
        <v>3576</v>
      </c>
      <c r="CH78" s="91"/>
      <c r="CI78" s="87"/>
      <c r="CJ78" s="19" t="s">
        <v>3068</v>
      </c>
      <c r="CK78" s="13" t="s">
        <v>15</v>
      </c>
      <c r="CL78" s="82" t="s">
        <v>9</v>
      </c>
      <c r="CM78" s="91" t="s">
        <v>3576</v>
      </c>
      <c r="CN78" s="91"/>
      <c r="CO78" s="87"/>
      <c r="CP78" s="56" t="s">
        <v>3068</v>
      </c>
      <c r="CQ78" s="13" t="s">
        <v>15</v>
      </c>
      <c r="CR78" s="82" t="s">
        <v>9</v>
      </c>
      <c r="CS78" s="91" t="s">
        <v>3576</v>
      </c>
      <c r="CT78" s="91"/>
      <c r="CU78" s="105"/>
    </row>
    <row r="79" spans="1:99" ht="115" customHeight="1" thickBot="1" x14ac:dyDescent="0.4">
      <c r="A79" s="40" t="s">
        <v>209</v>
      </c>
      <c r="B79" s="40" t="s">
        <v>399</v>
      </c>
      <c r="C79" s="40" t="s">
        <v>583</v>
      </c>
      <c r="D79" s="135" t="s">
        <v>3529</v>
      </c>
      <c r="E79" s="325" t="s">
        <v>3873</v>
      </c>
      <c r="F79" s="326" t="s">
        <v>3378</v>
      </c>
      <c r="G79" s="326" t="s">
        <v>3874</v>
      </c>
      <c r="H79" s="142"/>
      <c r="I79" s="138"/>
      <c r="J79" s="136" t="s">
        <v>780</v>
      </c>
      <c r="K79" s="13" t="s">
        <v>11</v>
      </c>
      <c r="L79" s="82"/>
      <c r="M79" s="146" t="s">
        <v>3576</v>
      </c>
      <c r="N79" s="91"/>
      <c r="O79" s="87"/>
      <c r="P79" s="49" t="s">
        <v>978</v>
      </c>
      <c r="Q79" s="13" t="s">
        <v>11</v>
      </c>
      <c r="R79" s="82"/>
      <c r="S79" s="91" t="s">
        <v>3576</v>
      </c>
      <c r="T79" s="91"/>
      <c r="U79" s="87"/>
      <c r="V79" s="52" t="s">
        <v>1177</v>
      </c>
      <c r="W79" s="13" t="s">
        <v>11</v>
      </c>
      <c r="X79" s="82"/>
      <c r="Y79" s="91" t="s">
        <v>3576</v>
      </c>
      <c r="Z79" s="91"/>
      <c r="AA79" s="87"/>
      <c r="AB79" s="19" t="s">
        <v>1376</v>
      </c>
      <c r="AC79" s="13" t="s">
        <v>11</v>
      </c>
      <c r="AD79" s="82"/>
      <c r="AE79" s="91" t="s">
        <v>3576</v>
      </c>
      <c r="AF79" s="91"/>
      <c r="AG79" s="87"/>
      <c r="AH79" s="56" t="s">
        <v>1574</v>
      </c>
      <c r="AI79" s="13" t="s">
        <v>11</v>
      </c>
      <c r="AJ79" s="82"/>
      <c r="AK79" s="91" t="s">
        <v>3576</v>
      </c>
      <c r="AL79" s="91"/>
      <c r="AM79" s="105"/>
      <c r="AN79" s="23" t="s">
        <v>1773</v>
      </c>
      <c r="AO79" s="13" t="s">
        <v>0</v>
      </c>
      <c r="AP79" s="82" t="s">
        <v>12</v>
      </c>
      <c r="AQ79" s="91" t="s">
        <v>3576</v>
      </c>
      <c r="AR79" s="91"/>
      <c r="AS79" s="87"/>
      <c r="AT79" s="21" t="s">
        <v>1970</v>
      </c>
      <c r="AU79" s="13" t="s">
        <v>0</v>
      </c>
      <c r="AV79" s="82" t="s">
        <v>12</v>
      </c>
      <c r="AW79" s="91" t="s">
        <v>3576</v>
      </c>
      <c r="AX79" s="91"/>
      <c r="AY79" s="87"/>
      <c r="AZ79" s="22" t="s">
        <v>2166</v>
      </c>
      <c r="BA79" s="13" t="s">
        <v>0</v>
      </c>
      <c r="BB79" s="82" t="s">
        <v>12</v>
      </c>
      <c r="BC79" s="91" t="s">
        <v>3576</v>
      </c>
      <c r="BD79" s="91"/>
      <c r="BE79" s="87"/>
      <c r="BF79" s="24" t="s">
        <v>2357</v>
      </c>
      <c r="BG79" s="13" t="s">
        <v>0</v>
      </c>
      <c r="BH79" s="82" t="s">
        <v>12</v>
      </c>
      <c r="BI79" s="91" t="s">
        <v>3576</v>
      </c>
      <c r="BJ79" s="91"/>
      <c r="BK79" s="87"/>
      <c r="BL79" s="27" t="s">
        <v>2549</v>
      </c>
      <c r="BM79" s="13" t="s">
        <v>0</v>
      </c>
      <c r="BN79" s="82" t="s">
        <v>12</v>
      </c>
      <c r="BO79" s="91" t="s">
        <v>3576</v>
      </c>
      <c r="BP79" s="91"/>
      <c r="BQ79" s="105"/>
      <c r="BR79" s="72" t="s">
        <v>2747</v>
      </c>
      <c r="BS79" s="13" t="s">
        <v>0</v>
      </c>
      <c r="BT79" s="82" t="s">
        <v>12</v>
      </c>
      <c r="BU79" s="91" t="s">
        <v>3576</v>
      </c>
      <c r="BV79" s="91"/>
      <c r="BW79" s="87"/>
      <c r="BX79" s="49" t="s">
        <v>2922</v>
      </c>
      <c r="BY79" s="13" t="s">
        <v>0</v>
      </c>
      <c r="BZ79" s="82" t="s">
        <v>12</v>
      </c>
      <c r="CA79" s="91" t="s">
        <v>3576</v>
      </c>
      <c r="CB79" s="91"/>
      <c r="CC79" s="87"/>
      <c r="CD79" s="52" t="s">
        <v>3096</v>
      </c>
      <c r="CE79" s="13" t="s">
        <v>0</v>
      </c>
      <c r="CF79" s="82" t="s">
        <v>12</v>
      </c>
      <c r="CG79" s="91" t="s">
        <v>3576</v>
      </c>
      <c r="CH79" s="91"/>
      <c r="CI79" s="87"/>
      <c r="CJ79" s="19" t="s">
        <v>3241</v>
      </c>
      <c r="CK79" s="13" t="s">
        <v>0</v>
      </c>
      <c r="CL79" s="82" t="s">
        <v>12</v>
      </c>
      <c r="CM79" s="91" t="s">
        <v>3576</v>
      </c>
      <c r="CN79" s="91"/>
      <c r="CO79" s="87"/>
      <c r="CP79" s="56" t="s">
        <v>3354</v>
      </c>
      <c r="CQ79" s="13" t="s">
        <v>0</v>
      </c>
      <c r="CR79" s="82" t="s">
        <v>12</v>
      </c>
      <c r="CS79" s="91" t="s">
        <v>3576</v>
      </c>
      <c r="CT79" s="91"/>
      <c r="CU79" s="105"/>
    </row>
    <row r="80" spans="1:99" ht="99" customHeight="1" thickBot="1" x14ac:dyDescent="0.4">
      <c r="A80" s="40" t="s">
        <v>137</v>
      </c>
      <c r="B80" s="40" t="s">
        <v>300</v>
      </c>
      <c r="C80" s="40" t="s">
        <v>500</v>
      </c>
      <c r="D80" s="135" t="s">
        <v>3447</v>
      </c>
      <c r="E80" s="320" t="s">
        <v>3866</v>
      </c>
      <c r="F80" s="321" t="s">
        <v>3440</v>
      </c>
      <c r="G80" s="322" t="s">
        <v>3868</v>
      </c>
      <c r="H80" s="142"/>
      <c r="I80" s="138"/>
      <c r="J80" s="136" t="s">
        <v>681</v>
      </c>
      <c r="K80" s="13" t="s">
        <v>0</v>
      </c>
      <c r="L80" s="82" t="s">
        <v>12</v>
      </c>
      <c r="M80" s="146" t="s">
        <v>3577</v>
      </c>
      <c r="N80" s="91"/>
      <c r="O80" s="87" t="s">
        <v>3719</v>
      </c>
      <c r="P80" s="49" t="s">
        <v>880</v>
      </c>
      <c r="Q80" s="13" t="s">
        <v>0</v>
      </c>
      <c r="R80" s="82" t="s">
        <v>12</v>
      </c>
      <c r="S80" s="91" t="s">
        <v>3577</v>
      </c>
      <c r="T80" s="91"/>
      <c r="U80" s="87"/>
      <c r="V80" s="52" t="s">
        <v>1079</v>
      </c>
      <c r="W80" s="13" t="s">
        <v>0</v>
      </c>
      <c r="X80" s="82" t="s">
        <v>12</v>
      </c>
      <c r="Y80" s="91" t="s">
        <v>3577</v>
      </c>
      <c r="Z80" s="91"/>
      <c r="AA80" s="87"/>
      <c r="AB80" s="19" t="s">
        <v>1280</v>
      </c>
      <c r="AC80" s="13" t="s">
        <v>0</v>
      </c>
      <c r="AD80" s="82" t="s">
        <v>12</v>
      </c>
      <c r="AE80" s="91" t="s">
        <v>3577</v>
      </c>
      <c r="AF80" s="91"/>
      <c r="AG80" s="87"/>
      <c r="AH80" s="56" t="s">
        <v>1476</v>
      </c>
      <c r="AI80" s="13" t="s">
        <v>0</v>
      </c>
      <c r="AJ80" s="82" t="s">
        <v>12</v>
      </c>
      <c r="AK80" s="91" t="s">
        <v>3577</v>
      </c>
      <c r="AL80" s="91"/>
      <c r="AM80" s="105"/>
      <c r="AN80" s="23" t="s">
        <v>1676</v>
      </c>
      <c r="AO80" s="13" t="s">
        <v>0</v>
      </c>
      <c r="AP80" s="82" t="s">
        <v>12</v>
      </c>
      <c r="AQ80" s="91" t="s">
        <v>3577</v>
      </c>
      <c r="AR80" s="91"/>
      <c r="AS80" s="87"/>
      <c r="AT80" s="21" t="s">
        <v>1873</v>
      </c>
      <c r="AU80" s="13" t="s">
        <v>0</v>
      </c>
      <c r="AV80" s="82" t="s">
        <v>12</v>
      </c>
      <c r="AW80" s="91" t="s">
        <v>3577</v>
      </c>
      <c r="AX80" s="91"/>
      <c r="AY80" s="87"/>
      <c r="AZ80" s="22" t="s">
        <v>2070</v>
      </c>
      <c r="BA80" s="13" t="s">
        <v>0</v>
      </c>
      <c r="BB80" s="82" t="s">
        <v>12</v>
      </c>
      <c r="BC80" s="91" t="s">
        <v>3577</v>
      </c>
      <c r="BD80" s="91"/>
      <c r="BE80" s="87"/>
      <c r="BF80" s="24" t="s">
        <v>2265</v>
      </c>
      <c r="BG80" s="13" t="s">
        <v>0</v>
      </c>
      <c r="BH80" s="82" t="s">
        <v>12</v>
      </c>
      <c r="BI80" s="91" t="s">
        <v>3577</v>
      </c>
      <c r="BJ80" s="91"/>
      <c r="BK80" s="87"/>
      <c r="BL80" s="27" t="s">
        <v>2452</v>
      </c>
      <c r="BM80" s="13" t="s">
        <v>0</v>
      </c>
      <c r="BN80" s="82" t="s">
        <v>12</v>
      </c>
      <c r="BO80" s="91" t="s">
        <v>3577</v>
      </c>
      <c r="BP80" s="91"/>
      <c r="BQ80" s="105"/>
      <c r="BR80" s="72" t="s">
        <v>2650</v>
      </c>
      <c r="BS80" s="13" t="s">
        <v>15</v>
      </c>
      <c r="BT80" s="82" t="s">
        <v>20</v>
      </c>
      <c r="BU80" s="91" t="s">
        <v>3576</v>
      </c>
      <c r="BV80" s="91"/>
      <c r="BW80" s="87"/>
      <c r="BX80" s="49" t="s">
        <v>2650</v>
      </c>
      <c r="BY80" s="13" t="s">
        <v>15</v>
      </c>
      <c r="BZ80" s="82" t="s">
        <v>20</v>
      </c>
      <c r="CA80" s="91" t="s">
        <v>3576</v>
      </c>
      <c r="CB80" s="91"/>
      <c r="CC80" s="264"/>
      <c r="CD80" s="52" t="s">
        <v>3014</v>
      </c>
      <c r="CE80" s="13" t="s">
        <v>15</v>
      </c>
      <c r="CF80" s="82" t="s">
        <v>20</v>
      </c>
      <c r="CG80" s="91" t="s">
        <v>3577</v>
      </c>
      <c r="CH80" s="91"/>
      <c r="CI80" s="87"/>
      <c r="CJ80" s="19" t="s">
        <v>3174</v>
      </c>
      <c r="CK80" s="13" t="s">
        <v>15</v>
      </c>
      <c r="CL80" s="82" t="s">
        <v>20</v>
      </c>
      <c r="CM80" s="91" t="s">
        <v>3577</v>
      </c>
      <c r="CN80" s="91"/>
      <c r="CO80" s="87"/>
      <c r="CP80" s="56" t="s">
        <v>3302</v>
      </c>
      <c r="CQ80" s="13" t="s">
        <v>15</v>
      </c>
      <c r="CR80" s="82" t="s">
        <v>20</v>
      </c>
      <c r="CS80" s="91" t="s">
        <v>3577</v>
      </c>
      <c r="CT80" s="91"/>
      <c r="CU80" s="105"/>
    </row>
    <row r="81" spans="1:99" ht="74" customHeight="1" thickBot="1" x14ac:dyDescent="0.4">
      <c r="A81" s="40" t="s">
        <v>205</v>
      </c>
      <c r="B81" s="40" t="s">
        <v>395</v>
      </c>
      <c r="C81" s="40" t="s">
        <v>579</v>
      </c>
      <c r="D81" s="135" t="s">
        <v>3526</v>
      </c>
      <c r="E81" s="314" t="s">
        <v>3855</v>
      </c>
      <c r="F81" s="315" t="s">
        <v>3371</v>
      </c>
      <c r="G81" s="315" t="s">
        <v>3859</v>
      </c>
      <c r="H81" s="142" t="s">
        <v>3789</v>
      </c>
      <c r="I81" s="138" t="s">
        <v>3559</v>
      </c>
      <c r="J81" s="136" t="s">
        <v>776</v>
      </c>
      <c r="K81" s="13" t="s">
        <v>15</v>
      </c>
      <c r="L81" s="82" t="s">
        <v>4</v>
      </c>
      <c r="M81" s="146" t="s">
        <v>3576</v>
      </c>
      <c r="N81" s="91"/>
      <c r="O81" s="87"/>
      <c r="P81" s="49" t="s">
        <v>974</v>
      </c>
      <c r="Q81" s="13" t="s">
        <v>15</v>
      </c>
      <c r="R81" s="82" t="s">
        <v>4</v>
      </c>
      <c r="S81" s="91" t="s">
        <v>3576</v>
      </c>
      <c r="T81" s="91"/>
      <c r="U81" s="87"/>
      <c r="V81" s="52" t="s">
        <v>1173</v>
      </c>
      <c r="W81" s="13" t="s">
        <v>15</v>
      </c>
      <c r="X81" s="82" t="s">
        <v>19</v>
      </c>
      <c r="Y81" s="91" t="s">
        <v>3577</v>
      </c>
      <c r="Z81" s="91"/>
      <c r="AA81" s="87"/>
      <c r="AB81" s="19" t="s">
        <v>1372</v>
      </c>
      <c r="AC81" s="13" t="s">
        <v>15</v>
      </c>
      <c r="AD81" s="82" t="s">
        <v>4</v>
      </c>
      <c r="AE81" s="91" t="s">
        <v>3576</v>
      </c>
      <c r="AF81" s="91"/>
      <c r="AG81" s="87"/>
      <c r="AH81" s="56" t="s">
        <v>1570</v>
      </c>
      <c r="AI81" s="13" t="s">
        <v>15</v>
      </c>
      <c r="AJ81" s="82" t="s">
        <v>4</v>
      </c>
      <c r="AK81" s="91" t="s">
        <v>3576</v>
      </c>
      <c r="AL81" s="91"/>
      <c r="AM81" s="105"/>
      <c r="AN81" s="23" t="s">
        <v>1769</v>
      </c>
      <c r="AO81" s="13" t="s">
        <v>0</v>
      </c>
      <c r="AP81" s="82" t="s">
        <v>1</v>
      </c>
      <c r="AQ81" s="91" t="s">
        <v>3576</v>
      </c>
      <c r="AR81" s="91"/>
      <c r="AS81" s="87"/>
      <c r="AT81" s="21" t="s">
        <v>1966</v>
      </c>
      <c r="AU81" s="13" t="s">
        <v>0</v>
      </c>
      <c r="AV81" s="82" t="s">
        <v>1</v>
      </c>
      <c r="AW81" s="91" t="s">
        <v>3576</v>
      </c>
      <c r="AX81" s="91"/>
      <c r="AY81" s="87"/>
      <c r="AZ81" s="22" t="s">
        <v>2162</v>
      </c>
      <c r="BA81" s="13" t="s">
        <v>0</v>
      </c>
      <c r="BB81" s="82" t="s">
        <v>1</v>
      </c>
      <c r="BC81" s="91" t="s">
        <v>3576</v>
      </c>
      <c r="BD81" s="91"/>
      <c r="BE81" s="87"/>
      <c r="BF81" s="24" t="s">
        <v>2353</v>
      </c>
      <c r="BG81" s="13" t="s">
        <v>0</v>
      </c>
      <c r="BH81" s="82" t="s">
        <v>1</v>
      </c>
      <c r="BI81" s="91" t="s">
        <v>3576</v>
      </c>
      <c r="BJ81" s="91"/>
      <c r="BK81" s="87"/>
      <c r="BL81" s="27" t="s">
        <v>2545</v>
      </c>
      <c r="BM81" s="13" t="s">
        <v>0</v>
      </c>
      <c r="BN81" s="82" t="s">
        <v>1</v>
      </c>
      <c r="BO81" s="91" t="s">
        <v>3576</v>
      </c>
      <c r="BP81" s="91"/>
      <c r="BQ81" s="105"/>
      <c r="BR81" s="72" t="s">
        <v>2743</v>
      </c>
      <c r="BS81" s="13" t="s">
        <v>15</v>
      </c>
      <c r="BT81" s="82" t="s">
        <v>19</v>
      </c>
      <c r="BU81" s="91" t="s">
        <v>3577</v>
      </c>
      <c r="BV81" s="91"/>
      <c r="BW81" s="87"/>
      <c r="BX81" s="49" t="s">
        <v>2919</v>
      </c>
      <c r="BY81" s="13" t="s">
        <v>0</v>
      </c>
      <c r="BZ81" s="82" t="s">
        <v>1</v>
      </c>
      <c r="CA81" s="91" t="s">
        <v>3576</v>
      </c>
      <c r="CB81" s="91"/>
      <c r="CC81" s="87"/>
      <c r="CD81" s="52" t="s">
        <v>2743</v>
      </c>
      <c r="CE81" s="13" t="s">
        <v>15</v>
      </c>
      <c r="CF81" s="82" t="s">
        <v>19</v>
      </c>
      <c r="CG81" s="91" t="s">
        <v>3577</v>
      </c>
      <c r="CH81" s="91"/>
      <c r="CI81" s="87"/>
      <c r="CJ81" s="19" t="s">
        <v>3237</v>
      </c>
      <c r="CK81" s="13" t="s">
        <v>15</v>
      </c>
      <c r="CL81" s="82" t="s">
        <v>19</v>
      </c>
      <c r="CM81" s="91" t="s">
        <v>3577</v>
      </c>
      <c r="CN81" s="91"/>
      <c r="CO81" s="87"/>
      <c r="CP81" s="56" t="s">
        <v>3237</v>
      </c>
      <c r="CQ81" s="13" t="s">
        <v>15</v>
      </c>
      <c r="CR81" s="82" t="s">
        <v>19</v>
      </c>
      <c r="CS81" s="91" t="s">
        <v>3577</v>
      </c>
      <c r="CT81" s="91"/>
      <c r="CU81" s="105"/>
    </row>
    <row r="82" spans="1:99" ht="42" customHeight="1" thickBot="1" x14ac:dyDescent="0.4">
      <c r="A82" s="40" t="s">
        <v>169</v>
      </c>
      <c r="B82" s="40" t="s">
        <v>345</v>
      </c>
      <c r="C82" s="40" t="s">
        <v>459</v>
      </c>
      <c r="D82" s="135" t="s">
        <v>3486</v>
      </c>
      <c r="E82" s="314" t="s">
        <v>3855</v>
      </c>
      <c r="F82" s="315" t="s">
        <v>3387</v>
      </c>
      <c r="G82" s="315" t="s">
        <v>3861</v>
      </c>
      <c r="H82" s="142" t="s">
        <v>3740</v>
      </c>
      <c r="I82" s="138" t="s">
        <v>3559</v>
      </c>
      <c r="J82" s="136" t="s">
        <v>726</v>
      </c>
      <c r="K82" s="13" t="s">
        <v>15</v>
      </c>
      <c r="L82" s="82" t="s">
        <v>9</v>
      </c>
      <c r="M82" s="146" t="s">
        <v>3577</v>
      </c>
      <c r="N82" s="91"/>
      <c r="O82" s="87" t="s">
        <v>3845</v>
      </c>
      <c r="P82" s="49" t="s">
        <v>925</v>
      </c>
      <c r="Q82" s="13" t="s">
        <v>15</v>
      </c>
      <c r="R82" s="82" t="s">
        <v>9</v>
      </c>
      <c r="S82" s="91" t="s">
        <v>3577</v>
      </c>
      <c r="T82" s="91"/>
      <c r="U82" s="87"/>
      <c r="V82" s="52" t="s">
        <v>1124</v>
      </c>
      <c r="W82" s="13" t="s">
        <v>15</v>
      </c>
      <c r="X82" s="82" t="s">
        <v>9</v>
      </c>
      <c r="Y82" s="91" t="s">
        <v>3577</v>
      </c>
      <c r="Z82" s="91"/>
      <c r="AA82" s="87"/>
      <c r="AB82" s="19" t="s">
        <v>1322</v>
      </c>
      <c r="AC82" s="13" t="s">
        <v>15</v>
      </c>
      <c r="AD82" s="82" t="s">
        <v>9</v>
      </c>
      <c r="AE82" s="91" t="s">
        <v>3577</v>
      </c>
      <c r="AF82" s="91"/>
      <c r="AG82" s="87"/>
      <c r="AH82" s="56" t="s">
        <v>1520</v>
      </c>
      <c r="AI82" s="13" t="s">
        <v>15</v>
      </c>
      <c r="AJ82" s="82" t="s">
        <v>9</v>
      </c>
      <c r="AK82" s="91" t="s">
        <v>3577</v>
      </c>
      <c r="AL82" s="91"/>
      <c r="AM82" s="105"/>
      <c r="AN82" s="23" t="s">
        <v>1719</v>
      </c>
      <c r="AO82" s="13" t="s">
        <v>15</v>
      </c>
      <c r="AP82" s="82" t="s">
        <v>9</v>
      </c>
      <c r="AQ82" s="91" t="s">
        <v>3577</v>
      </c>
      <c r="AR82" s="91"/>
      <c r="AS82" s="87"/>
      <c r="AT82" s="21" t="s">
        <v>1918</v>
      </c>
      <c r="AU82" s="13" t="s">
        <v>15</v>
      </c>
      <c r="AV82" s="82" t="s">
        <v>9</v>
      </c>
      <c r="AW82" s="91" t="s">
        <v>3577</v>
      </c>
      <c r="AX82" s="91"/>
      <c r="AY82" s="87"/>
      <c r="AZ82" s="22" t="s">
        <v>2113</v>
      </c>
      <c r="BA82" s="13" t="s">
        <v>15</v>
      </c>
      <c r="BB82" s="82" t="s">
        <v>9</v>
      </c>
      <c r="BC82" s="91" t="s">
        <v>3577</v>
      </c>
      <c r="BD82" s="91"/>
      <c r="BE82" s="87"/>
      <c r="BF82" s="24" t="s">
        <v>2305</v>
      </c>
      <c r="BG82" s="13" t="s">
        <v>15</v>
      </c>
      <c r="BH82" s="82" t="s">
        <v>9</v>
      </c>
      <c r="BI82" s="91" t="s">
        <v>3577</v>
      </c>
      <c r="BJ82" s="91"/>
      <c r="BK82" s="87"/>
      <c r="BL82" s="27" t="s">
        <v>2495</v>
      </c>
      <c r="BM82" s="13" t="s">
        <v>15</v>
      </c>
      <c r="BN82" s="82" t="s">
        <v>9</v>
      </c>
      <c r="BO82" s="91" t="s">
        <v>3577</v>
      </c>
      <c r="BP82" s="91"/>
      <c r="BQ82" s="105"/>
      <c r="BR82" s="72" t="s">
        <v>2693</v>
      </c>
      <c r="BS82" s="13" t="s">
        <v>15</v>
      </c>
      <c r="BT82" s="82" t="s">
        <v>9</v>
      </c>
      <c r="BU82" s="91" t="s">
        <v>3577</v>
      </c>
      <c r="BV82" s="91"/>
      <c r="BW82" s="87"/>
      <c r="BX82" s="49" t="s">
        <v>2878</v>
      </c>
      <c r="BY82" s="13" t="s">
        <v>15</v>
      </c>
      <c r="BZ82" s="82" t="s">
        <v>9</v>
      </c>
      <c r="CA82" s="91" t="s">
        <v>3577</v>
      </c>
      <c r="CB82" s="91"/>
      <c r="CC82" s="87"/>
      <c r="CD82" s="52" t="s">
        <v>2878</v>
      </c>
      <c r="CE82" s="13" t="s">
        <v>15</v>
      </c>
      <c r="CF82" s="82" t="s">
        <v>9</v>
      </c>
      <c r="CG82" s="91" t="s">
        <v>3577</v>
      </c>
      <c r="CH82" s="91"/>
      <c r="CI82" s="87"/>
      <c r="CJ82" s="19" t="s">
        <v>2878</v>
      </c>
      <c r="CK82" s="13" t="s">
        <v>15</v>
      </c>
      <c r="CL82" s="82" t="s">
        <v>9</v>
      </c>
      <c r="CM82" s="91" t="s">
        <v>3577</v>
      </c>
      <c r="CN82" s="91"/>
      <c r="CO82" s="87"/>
      <c r="CP82" s="56" t="s">
        <v>3329</v>
      </c>
      <c r="CQ82" s="13" t="s">
        <v>15</v>
      </c>
      <c r="CR82" s="82" t="s">
        <v>9</v>
      </c>
      <c r="CS82" s="91" t="s">
        <v>3577</v>
      </c>
      <c r="CT82" s="91"/>
      <c r="CU82" s="105"/>
    </row>
    <row r="83" spans="1:99" ht="59.5" customHeight="1" thickBot="1" x14ac:dyDescent="0.4">
      <c r="A83" s="40" t="s">
        <v>78</v>
      </c>
      <c r="B83" s="40" t="s">
        <v>79</v>
      </c>
      <c r="C83" s="40" t="s">
        <v>439</v>
      </c>
      <c r="D83" s="135" t="s">
        <v>3386</v>
      </c>
      <c r="E83" s="314" t="s">
        <v>3855</v>
      </c>
      <c r="F83" s="315" t="s">
        <v>3376</v>
      </c>
      <c r="G83" s="315" t="s">
        <v>3856</v>
      </c>
      <c r="H83" s="142"/>
      <c r="I83" s="138"/>
      <c r="J83" s="136" t="s">
        <v>819</v>
      </c>
      <c r="K83" s="13" t="s">
        <v>15</v>
      </c>
      <c r="L83" s="82" t="s">
        <v>9</v>
      </c>
      <c r="M83" s="146" t="s">
        <v>3576</v>
      </c>
      <c r="N83" s="91"/>
      <c r="O83" s="87" t="s">
        <v>3563</v>
      </c>
      <c r="P83" s="49" t="s">
        <v>819</v>
      </c>
      <c r="Q83" s="13" t="s">
        <v>15</v>
      </c>
      <c r="R83" s="82" t="s">
        <v>9</v>
      </c>
      <c r="S83" s="91" t="s">
        <v>3576</v>
      </c>
      <c r="T83" s="91"/>
      <c r="U83" s="87"/>
      <c r="V83" s="52" t="s">
        <v>1017</v>
      </c>
      <c r="W83" s="13" t="s">
        <v>15</v>
      </c>
      <c r="X83" s="82" t="s">
        <v>9</v>
      </c>
      <c r="Y83" s="91" t="s">
        <v>3576</v>
      </c>
      <c r="Z83" s="91"/>
      <c r="AA83" s="87"/>
      <c r="AB83" s="19" t="s">
        <v>1217</v>
      </c>
      <c r="AC83" s="13" t="s">
        <v>15</v>
      </c>
      <c r="AD83" s="82" t="s">
        <v>9</v>
      </c>
      <c r="AE83" s="91" t="s">
        <v>3576</v>
      </c>
      <c r="AF83" s="91"/>
      <c r="AG83" s="87"/>
      <c r="AH83" s="56" t="s">
        <v>1416</v>
      </c>
      <c r="AI83" s="13" t="s">
        <v>15</v>
      </c>
      <c r="AJ83" s="82" t="s">
        <v>9</v>
      </c>
      <c r="AK83" s="91" t="s">
        <v>3576</v>
      </c>
      <c r="AL83" s="91"/>
      <c r="AM83" s="105"/>
      <c r="AN83" s="23" t="s">
        <v>1614</v>
      </c>
      <c r="AO83" s="13" t="s">
        <v>15</v>
      </c>
      <c r="AP83" s="82" t="s">
        <v>20</v>
      </c>
      <c r="AQ83" s="91" t="s">
        <v>3576</v>
      </c>
      <c r="AR83" s="91"/>
      <c r="AS83" s="87"/>
      <c r="AT83" s="21" t="s">
        <v>1813</v>
      </c>
      <c r="AU83" s="13" t="s">
        <v>15</v>
      </c>
      <c r="AV83" s="82" t="s">
        <v>20</v>
      </c>
      <c r="AW83" s="91" t="s">
        <v>3577</v>
      </c>
      <c r="AX83" s="91"/>
      <c r="AY83" s="87"/>
      <c r="AZ83" s="22" t="s">
        <v>2010</v>
      </c>
      <c r="BA83" s="13" t="s">
        <v>15</v>
      </c>
      <c r="BB83" s="82" t="s">
        <v>9</v>
      </c>
      <c r="BC83" s="91" t="s">
        <v>3576</v>
      </c>
      <c r="BD83" s="91"/>
      <c r="BE83" s="87"/>
      <c r="BF83" s="24" t="s">
        <v>2206</v>
      </c>
      <c r="BG83" s="13" t="s">
        <v>15</v>
      </c>
      <c r="BH83" s="82" t="s">
        <v>9</v>
      </c>
      <c r="BI83" s="91" t="s">
        <v>3576</v>
      </c>
      <c r="BJ83" s="91"/>
      <c r="BK83" s="87"/>
      <c r="BL83" s="27" t="s">
        <v>2394</v>
      </c>
      <c r="BM83" s="13" t="s">
        <v>15</v>
      </c>
      <c r="BN83" s="82" t="s">
        <v>9</v>
      </c>
      <c r="BO83" s="91" t="s">
        <v>3576</v>
      </c>
      <c r="BP83" s="91"/>
      <c r="BQ83" s="105"/>
      <c r="BR83" s="72" t="s">
        <v>2592</v>
      </c>
      <c r="BS83" s="13" t="s">
        <v>15</v>
      </c>
      <c r="BT83" s="82" t="s">
        <v>19</v>
      </c>
      <c r="BU83" s="91" t="s">
        <v>3577</v>
      </c>
      <c r="BV83" s="91"/>
      <c r="BW83" s="87"/>
      <c r="BX83" s="49" t="s">
        <v>2784</v>
      </c>
      <c r="BY83" s="13" t="s">
        <v>15</v>
      </c>
      <c r="BZ83" s="82" t="s">
        <v>9</v>
      </c>
      <c r="CA83" s="91" t="s">
        <v>3576</v>
      </c>
      <c r="CB83" s="91"/>
      <c r="CC83" s="264"/>
      <c r="CD83" s="52" t="s">
        <v>2959</v>
      </c>
      <c r="CE83" s="13" t="s">
        <v>15</v>
      </c>
      <c r="CF83" s="82" t="s">
        <v>9</v>
      </c>
      <c r="CG83" s="91" t="s">
        <v>3576</v>
      </c>
      <c r="CH83" s="91"/>
      <c r="CI83" s="87"/>
      <c r="CJ83" s="19" t="s">
        <v>2959</v>
      </c>
      <c r="CK83" s="13" t="s">
        <v>15</v>
      </c>
      <c r="CL83" s="82" t="s">
        <v>4</v>
      </c>
      <c r="CM83" s="91" t="s">
        <v>3576</v>
      </c>
      <c r="CN83" s="91"/>
      <c r="CO83" s="87"/>
      <c r="CP83" s="56" t="s">
        <v>3271</v>
      </c>
      <c r="CQ83" s="13" t="s">
        <v>15</v>
      </c>
      <c r="CR83" s="82" t="s">
        <v>19</v>
      </c>
      <c r="CS83" s="91" t="s">
        <v>3577</v>
      </c>
      <c r="CT83" s="91"/>
      <c r="CU83" s="105"/>
    </row>
    <row r="84" spans="1:99" ht="94.5" customHeight="1" thickBot="1" x14ac:dyDescent="0.4">
      <c r="A84" s="40" t="s">
        <v>219</v>
      </c>
      <c r="B84" s="40" t="s">
        <v>412</v>
      </c>
      <c r="C84" s="40" t="s">
        <v>593</v>
      </c>
      <c r="D84" s="135" t="s">
        <v>3539</v>
      </c>
      <c r="E84" s="314" t="s">
        <v>3855</v>
      </c>
      <c r="F84" s="315" t="s">
        <v>3423</v>
      </c>
      <c r="G84" s="315" t="s">
        <v>3865</v>
      </c>
      <c r="H84" s="142" t="s">
        <v>3808</v>
      </c>
      <c r="I84" s="138" t="s">
        <v>3559</v>
      </c>
      <c r="J84" s="136" t="s">
        <v>793</v>
      </c>
      <c r="K84" s="13" t="s">
        <v>15</v>
      </c>
      <c r="L84" s="82" t="s">
        <v>20</v>
      </c>
      <c r="M84" s="146" t="s">
        <v>3576</v>
      </c>
      <c r="N84" s="91"/>
      <c r="O84" s="87"/>
      <c r="P84" s="49" t="s">
        <v>991</v>
      </c>
      <c r="Q84" s="13" t="s">
        <v>15</v>
      </c>
      <c r="R84" s="82" t="s">
        <v>20</v>
      </c>
      <c r="S84" s="91" t="s">
        <v>3576</v>
      </c>
      <c r="T84" s="91"/>
      <c r="U84" s="87"/>
      <c r="V84" s="52" t="s">
        <v>1190</v>
      </c>
      <c r="W84" s="13" t="s">
        <v>0</v>
      </c>
      <c r="X84" s="82" t="s">
        <v>1</v>
      </c>
      <c r="Y84" s="91" t="s">
        <v>3576</v>
      </c>
      <c r="Z84" s="91"/>
      <c r="AA84" s="87"/>
      <c r="AB84" s="19" t="s">
        <v>1389</v>
      </c>
      <c r="AC84" s="13" t="s">
        <v>15</v>
      </c>
      <c r="AD84" s="82" t="s">
        <v>20</v>
      </c>
      <c r="AE84" s="91" t="s">
        <v>3576</v>
      </c>
      <c r="AF84" s="91"/>
      <c r="AG84" s="87"/>
      <c r="AH84" s="56" t="s">
        <v>1587</v>
      </c>
      <c r="AI84" s="13" t="s">
        <v>15</v>
      </c>
      <c r="AJ84" s="82" t="s">
        <v>20</v>
      </c>
      <c r="AK84" s="91" t="s">
        <v>3576</v>
      </c>
      <c r="AL84" s="91"/>
      <c r="AM84" s="105"/>
      <c r="AN84" s="23" t="s">
        <v>1786</v>
      </c>
      <c r="AO84" s="13" t="s">
        <v>0</v>
      </c>
      <c r="AP84" s="82" t="s">
        <v>1</v>
      </c>
      <c r="AQ84" s="91" t="s">
        <v>3576</v>
      </c>
      <c r="AR84" s="91"/>
      <c r="AS84" s="87"/>
      <c r="AT84" s="21" t="s">
        <v>1983</v>
      </c>
      <c r="AU84" s="13" t="s">
        <v>0</v>
      </c>
      <c r="AV84" s="82" t="s">
        <v>1</v>
      </c>
      <c r="AW84" s="91" t="s">
        <v>3576</v>
      </c>
      <c r="AX84" s="91"/>
      <c r="AY84" s="87"/>
      <c r="AZ84" s="22" t="s">
        <v>2179</v>
      </c>
      <c r="BA84" s="13" t="s">
        <v>0</v>
      </c>
      <c r="BB84" s="82" t="s">
        <v>1</v>
      </c>
      <c r="BC84" s="91" t="s">
        <v>3576</v>
      </c>
      <c r="BD84" s="91"/>
      <c r="BE84" s="87"/>
      <c r="BF84" s="24" t="s">
        <v>2368</v>
      </c>
      <c r="BG84" s="13" t="s">
        <v>0</v>
      </c>
      <c r="BH84" s="82" t="s">
        <v>1</v>
      </c>
      <c r="BI84" s="91" t="s">
        <v>3576</v>
      </c>
      <c r="BJ84" s="91"/>
      <c r="BK84" s="87"/>
      <c r="BL84" s="27" t="s">
        <v>2561</v>
      </c>
      <c r="BM84" s="13" t="s">
        <v>0</v>
      </c>
      <c r="BN84" s="82" t="s">
        <v>1</v>
      </c>
      <c r="BO84" s="91" t="s">
        <v>3576</v>
      </c>
      <c r="BP84" s="91"/>
      <c r="BQ84" s="105"/>
      <c r="BR84" s="72" t="s">
        <v>2760</v>
      </c>
      <c r="BS84" s="13" t="s">
        <v>0</v>
      </c>
      <c r="BT84" s="82" t="s">
        <v>1</v>
      </c>
      <c r="BU84" s="91" t="s">
        <v>3576</v>
      </c>
      <c r="BV84" s="91"/>
      <c r="BW84" s="87"/>
      <c r="BX84" s="49" t="s">
        <v>2934</v>
      </c>
      <c r="BY84" s="13" t="s">
        <v>0</v>
      </c>
      <c r="BZ84" s="82" t="s">
        <v>1</v>
      </c>
      <c r="CA84" s="91" t="s">
        <v>3576</v>
      </c>
      <c r="CB84" s="91"/>
      <c r="CC84" s="87"/>
      <c r="CD84" s="52" t="s">
        <v>3109</v>
      </c>
      <c r="CE84" s="13" t="s">
        <v>0</v>
      </c>
      <c r="CF84" s="82" t="s">
        <v>1</v>
      </c>
      <c r="CG84" s="91" t="s">
        <v>3576</v>
      </c>
      <c r="CH84" s="91"/>
      <c r="CI84" s="87"/>
      <c r="CJ84" s="19" t="s">
        <v>3250</v>
      </c>
      <c r="CK84" s="13" t="s">
        <v>0</v>
      </c>
      <c r="CL84" s="82" t="s">
        <v>1</v>
      </c>
      <c r="CM84" s="91" t="s">
        <v>3576</v>
      </c>
      <c r="CN84" s="91"/>
      <c r="CO84" s="87"/>
      <c r="CP84" s="56" t="s">
        <v>3361</v>
      </c>
      <c r="CQ84" s="13" t="s">
        <v>0</v>
      </c>
      <c r="CR84" s="82" t="s">
        <v>1</v>
      </c>
      <c r="CS84" s="91" t="s">
        <v>3576</v>
      </c>
      <c r="CT84" s="91"/>
      <c r="CU84" s="105"/>
    </row>
    <row r="85" spans="1:99" ht="63" customHeight="1" thickBot="1" x14ac:dyDescent="0.4">
      <c r="A85" s="40" t="s">
        <v>102</v>
      </c>
      <c r="B85" s="40" t="s">
        <v>264</v>
      </c>
      <c r="C85" s="40" t="s">
        <v>463</v>
      </c>
      <c r="D85" s="135" t="s">
        <v>3411</v>
      </c>
      <c r="E85" s="314" t="s">
        <v>3855</v>
      </c>
      <c r="F85" s="315" t="s">
        <v>3383</v>
      </c>
      <c r="G85" s="315" t="s">
        <v>3863</v>
      </c>
      <c r="H85" s="142" t="s">
        <v>3620</v>
      </c>
      <c r="I85" s="138" t="s">
        <v>3591</v>
      </c>
      <c r="J85" s="136" t="s">
        <v>643</v>
      </c>
      <c r="K85" s="13" t="s">
        <v>15</v>
      </c>
      <c r="L85" s="82" t="s">
        <v>9</v>
      </c>
      <c r="M85" s="146" t="s">
        <v>3576</v>
      </c>
      <c r="N85" s="91"/>
      <c r="O85" s="87"/>
      <c r="P85" s="49" t="s">
        <v>844</v>
      </c>
      <c r="Q85" s="13" t="s">
        <v>15</v>
      </c>
      <c r="R85" s="82" t="s">
        <v>19</v>
      </c>
      <c r="S85" s="91" t="s">
        <v>3577</v>
      </c>
      <c r="T85" s="91"/>
      <c r="U85" s="87"/>
      <c r="V85" s="52" t="s">
        <v>1042</v>
      </c>
      <c r="W85" s="13" t="s">
        <v>15</v>
      </c>
      <c r="X85" s="82" t="s">
        <v>19</v>
      </c>
      <c r="Y85" s="91" t="s">
        <v>3577</v>
      </c>
      <c r="Z85" s="91"/>
      <c r="AA85" s="87"/>
      <c r="AB85" s="19" t="s">
        <v>1242</v>
      </c>
      <c r="AC85" s="13" t="s">
        <v>15</v>
      </c>
      <c r="AD85" s="82" t="s">
        <v>9</v>
      </c>
      <c r="AE85" s="91" t="s">
        <v>3576</v>
      </c>
      <c r="AF85" s="91"/>
      <c r="AG85" s="87"/>
      <c r="AH85" s="56" t="s">
        <v>1441</v>
      </c>
      <c r="AI85" s="13" t="s">
        <v>15</v>
      </c>
      <c r="AJ85" s="82" t="s">
        <v>9</v>
      </c>
      <c r="AK85" s="91" t="s">
        <v>3576</v>
      </c>
      <c r="AL85" s="91"/>
      <c r="AM85" s="105"/>
      <c r="AN85" s="23" t="s">
        <v>1638</v>
      </c>
      <c r="AO85" s="13" t="s">
        <v>15</v>
      </c>
      <c r="AP85" s="82" t="s">
        <v>9</v>
      </c>
      <c r="AQ85" s="91" t="s">
        <v>3576</v>
      </c>
      <c r="AR85" s="91"/>
      <c r="AS85" s="87"/>
      <c r="AT85" s="21" t="s">
        <v>1837</v>
      </c>
      <c r="AU85" s="13" t="s">
        <v>15</v>
      </c>
      <c r="AV85" s="82" t="s">
        <v>9</v>
      </c>
      <c r="AW85" s="91" t="s">
        <v>3576</v>
      </c>
      <c r="AX85" s="91"/>
      <c r="AY85" s="87"/>
      <c r="AZ85" s="22" t="s">
        <v>2034</v>
      </c>
      <c r="BA85" s="13" t="s">
        <v>15</v>
      </c>
      <c r="BB85" s="82" t="s">
        <v>9</v>
      </c>
      <c r="BC85" s="91" t="s">
        <v>3576</v>
      </c>
      <c r="BD85" s="91"/>
      <c r="BE85" s="87"/>
      <c r="BF85" s="24" t="s">
        <v>2231</v>
      </c>
      <c r="BG85" s="13" t="s">
        <v>15</v>
      </c>
      <c r="BH85" s="82" t="s">
        <v>9</v>
      </c>
      <c r="BI85" s="91" t="s">
        <v>3576</v>
      </c>
      <c r="BJ85" s="91"/>
      <c r="BK85" s="87"/>
      <c r="BL85" s="27" t="s">
        <v>2419</v>
      </c>
      <c r="BM85" s="13" t="s">
        <v>15</v>
      </c>
      <c r="BN85" s="82" t="s">
        <v>9</v>
      </c>
      <c r="BO85" s="91" t="s">
        <v>3576</v>
      </c>
      <c r="BP85" s="91"/>
      <c r="BQ85" s="105"/>
      <c r="BR85" s="72" t="s">
        <v>2615</v>
      </c>
      <c r="BS85" s="13" t="s">
        <v>0</v>
      </c>
      <c r="BT85" s="82" t="s">
        <v>12</v>
      </c>
      <c r="BU85" s="91" t="s">
        <v>3576</v>
      </c>
      <c r="BV85" s="91"/>
      <c r="BW85" s="87"/>
      <c r="BX85" s="49" t="s">
        <v>2807</v>
      </c>
      <c r="BY85" s="13" t="s">
        <v>0</v>
      </c>
      <c r="BZ85" s="82" t="s">
        <v>12</v>
      </c>
      <c r="CA85" s="91" t="s">
        <v>3576</v>
      </c>
      <c r="CB85" s="91"/>
      <c r="CC85" s="264"/>
      <c r="CD85" s="52" t="s">
        <v>2982</v>
      </c>
      <c r="CE85" s="13" t="s">
        <v>0</v>
      </c>
      <c r="CF85" s="82" t="s">
        <v>12</v>
      </c>
      <c r="CG85" s="91" t="s">
        <v>3576</v>
      </c>
      <c r="CH85" s="91"/>
      <c r="CI85" s="87"/>
      <c r="CJ85" s="19" t="s">
        <v>3149</v>
      </c>
      <c r="CK85" s="13" t="s">
        <v>0</v>
      </c>
      <c r="CL85" s="82" t="s">
        <v>12</v>
      </c>
      <c r="CM85" s="91" t="s">
        <v>3576</v>
      </c>
      <c r="CN85" s="91"/>
      <c r="CO85" s="87"/>
      <c r="CP85" s="56" t="s">
        <v>2982</v>
      </c>
      <c r="CQ85" s="13" t="s">
        <v>0</v>
      </c>
      <c r="CR85" s="82" t="s">
        <v>12</v>
      </c>
      <c r="CS85" s="91" t="s">
        <v>3576</v>
      </c>
      <c r="CT85" s="91"/>
      <c r="CU85" s="105"/>
    </row>
    <row r="86" spans="1:99" ht="102" customHeight="1" thickBot="1" x14ac:dyDescent="0.4">
      <c r="A86" s="40" t="s">
        <v>161</v>
      </c>
      <c r="B86" s="40" t="s">
        <v>336</v>
      </c>
      <c r="C86" s="40" t="s">
        <v>162</v>
      </c>
      <c r="D86" s="135" t="s">
        <v>3480</v>
      </c>
      <c r="E86" s="314" t="s">
        <v>3855</v>
      </c>
      <c r="F86" s="315" t="s">
        <v>3390</v>
      </c>
      <c r="G86" s="315" t="s">
        <v>3862</v>
      </c>
      <c r="H86" s="266"/>
      <c r="I86" s="265"/>
      <c r="J86" s="136" t="s">
        <v>717</v>
      </c>
      <c r="K86" s="13" t="s">
        <v>15</v>
      </c>
      <c r="L86" s="82" t="s">
        <v>4</v>
      </c>
      <c r="M86" s="146" t="s">
        <v>3576</v>
      </c>
      <c r="N86" s="91"/>
      <c r="O86" s="87"/>
      <c r="P86" s="49" t="s">
        <v>916</v>
      </c>
      <c r="Q86" s="13" t="s">
        <v>15</v>
      </c>
      <c r="R86" s="82" t="s">
        <v>4</v>
      </c>
      <c r="S86" s="91" t="s">
        <v>3576</v>
      </c>
      <c r="T86" s="91"/>
      <c r="U86" s="87"/>
      <c r="V86" s="52" t="s">
        <v>1115</v>
      </c>
      <c r="W86" s="13" t="s">
        <v>15</v>
      </c>
      <c r="X86" s="82" t="s">
        <v>4</v>
      </c>
      <c r="Y86" s="91" t="s">
        <v>3576</v>
      </c>
      <c r="Z86" s="91"/>
      <c r="AA86" s="87"/>
      <c r="AB86" s="19" t="s">
        <v>1314</v>
      </c>
      <c r="AC86" s="13" t="s">
        <v>15</v>
      </c>
      <c r="AD86" s="82" t="s">
        <v>4</v>
      </c>
      <c r="AE86" s="91" t="s">
        <v>3576</v>
      </c>
      <c r="AF86" s="91"/>
      <c r="AG86" s="87"/>
      <c r="AH86" s="56" t="s">
        <v>1511</v>
      </c>
      <c r="AI86" s="13" t="s">
        <v>15</v>
      </c>
      <c r="AJ86" s="82" t="s">
        <v>4</v>
      </c>
      <c r="AK86" s="91" t="s">
        <v>3576</v>
      </c>
      <c r="AL86" s="91"/>
      <c r="AM86" s="105"/>
      <c r="AN86" s="23" t="s">
        <v>1710</v>
      </c>
      <c r="AO86" s="13" t="s">
        <v>0</v>
      </c>
      <c r="AP86" s="82" t="s">
        <v>12</v>
      </c>
      <c r="AQ86" s="91" t="s">
        <v>3577</v>
      </c>
      <c r="AR86" s="91"/>
      <c r="AS86" s="87"/>
      <c r="AT86" s="21" t="s">
        <v>1909</v>
      </c>
      <c r="AU86" s="13" t="s">
        <v>0</v>
      </c>
      <c r="AV86" s="82" t="s">
        <v>12</v>
      </c>
      <c r="AW86" s="91" t="s">
        <v>3577</v>
      </c>
      <c r="AX86" s="91"/>
      <c r="AY86" s="87"/>
      <c r="AZ86" s="22" t="s">
        <v>2104</v>
      </c>
      <c r="BA86" s="13" t="s">
        <v>0</v>
      </c>
      <c r="BB86" s="82" t="s">
        <v>12</v>
      </c>
      <c r="BC86" s="91" t="s">
        <v>3577</v>
      </c>
      <c r="BD86" s="91"/>
      <c r="BE86" s="87"/>
      <c r="BF86" s="24" t="s">
        <v>2296</v>
      </c>
      <c r="BG86" s="13" t="s">
        <v>0</v>
      </c>
      <c r="BH86" s="82" t="s">
        <v>12</v>
      </c>
      <c r="BI86" s="91" t="s">
        <v>3577</v>
      </c>
      <c r="BJ86" s="91"/>
      <c r="BK86" s="87"/>
      <c r="BL86" s="27" t="s">
        <v>2486</v>
      </c>
      <c r="BM86" s="13" t="s">
        <v>0</v>
      </c>
      <c r="BN86" s="82" t="s">
        <v>12</v>
      </c>
      <c r="BO86" s="91" t="s">
        <v>3577</v>
      </c>
      <c r="BP86" s="91"/>
      <c r="BQ86" s="105"/>
      <c r="BR86" s="72" t="s">
        <v>2684</v>
      </c>
      <c r="BS86" s="13" t="s">
        <v>0</v>
      </c>
      <c r="BT86" s="82" t="s">
        <v>12</v>
      </c>
      <c r="BU86" s="91" t="s">
        <v>3577</v>
      </c>
      <c r="BV86" s="91"/>
      <c r="BW86" s="87"/>
      <c r="BX86" s="49" t="s">
        <v>2871</v>
      </c>
      <c r="BY86" s="13" t="s">
        <v>0</v>
      </c>
      <c r="BZ86" s="82" t="s">
        <v>12</v>
      </c>
      <c r="CA86" s="91" t="s">
        <v>3577</v>
      </c>
      <c r="CB86" s="91"/>
      <c r="CC86" s="87"/>
      <c r="CD86" s="52" t="s">
        <v>3046</v>
      </c>
      <c r="CE86" s="13" t="s">
        <v>0</v>
      </c>
      <c r="CF86" s="82" t="s">
        <v>12</v>
      </c>
      <c r="CG86" s="91" t="s">
        <v>3577</v>
      </c>
      <c r="CH86" s="91"/>
      <c r="CI86" s="87"/>
      <c r="CJ86" s="19" t="s">
        <v>3196</v>
      </c>
      <c r="CK86" s="13" t="s">
        <v>0</v>
      </c>
      <c r="CL86" s="82" t="s">
        <v>12</v>
      </c>
      <c r="CM86" s="91" t="s">
        <v>3577</v>
      </c>
      <c r="CN86" s="91"/>
      <c r="CO86" s="87"/>
      <c r="CP86" s="56" t="s">
        <v>3324</v>
      </c>
      <c r="CQ86" s="13" t="s">
        <v>0</v>
      </c>
      <c r="CR86" s="82" t="s">
        <v>12</v>
      </c>
      <c r="CS86" s="91" t="s">
        <v>3577</v>
      </c>
      <c r="CT86" s="91"/>
      <c r="CU86" s="105"/>
    </row>
    <row r="87" spans="1:99" ht="112.5" customHeight="1" thickBot="1" x14ac:dyDescent="0.4">
      <c r="A87" s="40" t="s">
        <v>183</v>
      </c>
      <c r="B87" s="40" t="s">
        <v>365</v>
      </c>
      <c r="C87" s="40" t="s">
        <v>556</v>
      </c>
      <c r="D87" s="135" t="s">
        <v>3503</v>
      </c>
      <c r="E87" s="314" t="s">
        <v>3855</v>
      </c>
      <c r="F87" s="315" t="s">
        <v>3371</v>
      </c>
      <c r="G87" s="315" t="s">
        <v>3859</v>
      </c>
      <c r="H87" s="142" t="s">
        <v>3761</v>
      </c>
      <c r="I87" s="138" t="s">
        <v>3559</v>
      </c>
      <c r="J87" s="136" t="s">
        <v>746</v>
      </c>
      <c r="K87" s="13" t="s">
        <v>15</v>
      </c>
      <c r="L87" s="82" t="s">
        <v>9</v>
      </c>
      <c r="M87" s="146" t="s">
        <v>3576</v>
      </c>
      <c r="N87" s="91"/>
      <c r="O87" s="87"/>
      <c r="P87" s="49" t="s">
        <v>945</v>
      </c>
      <c r="Q87" s="13" t="s">
        <v>15</v>
      </c>
      <c r="R87" s="82" t="s">
        <v>9</v>
      </c>
      <c r="S87" s="91" t="s">
        <v>3576</v>
      </c>
      <c r="T87" s="91"/>
      <c r="U87" s="87"/>
      <c r="V87" s="52" t="s">
        <v>1143</v>
      </c>
      <c r="W87" s="13" t="s">
        <v>15</v>
      </c>
      <c r="X87" s="82" t="s">
        <v>9</v>
      </c>
      <c r="Y87" s="91" t="s">
        <v>3576</v>
      </c>
      <c r="Z87" s="91"/>
      <c r="AA87" s="87"/>
      <c r="AB87" s="19" t="s">
        <v>1342</v>
      </c>
      <c r="AC87" s="13" t="s">
        <v>15</v>
      </c>
      <c r="AD87" s="82" t="s">
        <v>9</v>
      </c>
      <c r="AE87" s="91" t="s">
        <v>3576</v>
      </c>
      <c r="AF87" s="91"/>
      <c r="AG87" s="87"/>
      <c r="AH87" s="56" t="s">
        <v>1540</v>
      </c>
      <c r="AI87" s="13" t="s">
        <v>15</v>
      </c>
      <c r="AJ87" s="82" t="s">
        <v>9</v>
      </c>
      <c r="AK87" s="91" t="s">
        <v>3576</v>
      </c>
      <c r="AL87" s="91"/>
      <c r="AM87" s="105"/>
      <c r="AN87" s="23" t="s">
        <v>1739</v>
      </c>
      <c r="AO87" s="13" t="s">
        <v>15</v>
      </c>
      <c r="AP87" s="82" t="s">
        <v>9</v>
      </c>
      <c r="AQ87" s="91" t="s">
        <v>3576</v>
      </c>
      <c r="AR87" s="91"/>
      <c r="AS87" s="87"/>
      <c r="AT87" s="21" t="s">
        <v>1936</v>
      </c>
      <c r="AU87" s="13" t="s">
        <v>15</v>
      </c>
      <c r="AV87" s="82" t="s">
        <v>9</v>
      </c>
      <c r="AW87" s="91" t="s">
        <v>3576</v>
      </c>
      <c r="AX87" s="91"/>
      <c r="AY87" s="87"/>
      <c r="AZ87" s="22" t="s">
        <v>2132</v>
      </c>
      <c r="BA87" s="13" t="s">
        <v>15</v>
      </c>
      <c r="BB87" s="82" t="s">
        <v>9</v>
      </c>
      <c r="BC87" s="91" t="s">
        <v>3576</v>
      </c>
      <c r="BD87" s="91"/>
      <c r="BE87" s="87"/>
      <c r="BF87" s="24" t="s">
        <v>2324</v>
      </c>
      <c r="BG87" s="13" t="s">
        <v>15</v>
      </c>
      <c r="BH87" s="82" t="s">
        <v>9</v>
      </c>
      <c r="BI87" s="91" t="s">
        <v>3576</v>
      </c>
      <c r="BJ87" s="91"/>
      <c r="BK87" s="87"/>
      <c r="BL87" s="27" t="s">
        <v>2515</v>
      </c>
      <c r="BM87" s="13" t="s">
        <v>15</v>
      </c>
      <c r="BN87" s="82" t="s">
        <v>9</v>
      </c>
      <c r="BO87" s="91" t="s">
        <v>3576</v>
      </c>
      <c r="BP87" s="91"/>
      <c r="BQ87" s="105"/>
      <c r="BR87" s="72" t="s">
        <v>2713</v>
      </c>
      <c r="BS87" s="13" t="s">
        <v>15</v>
      </c>
      <c r="BT87" s="82" t="s">
        <v>9</v>
      </c>
      <c r="BU87" s="91" t="s">
        <v>3576</v>
      </c>
      <c r="BV87" s="91"/>
      <c r="BW87" s="87"/>
      <c r="BX87" s="49" t="s">
        <v>2896</v>
      </c>
      <c r="BY87" s="13" t="s">
        <v>15</v>
      </c>
      <c r="BZ87" s="82" t="s">
        <v>9</v>
      </c>
      <c r="CA87" s="91" t="s">
        <v>3576</v>
      </c>
      <c r="CB87" s="91"/>
      <c r="CC87" s="87"/>
      <c r="CD87" s="52" t="s">
        <v>3066</v>
      </c>
      <c r="CE87" s="13" t="s">
        <v>15</v>
      </c>
      <c r="CF87" s="82" t="s">
        <v>9</v>
      </c>
      <c r="CG87" s="91" t="s">
        <v>3576</v>
      </c>
      <c r="CH87" s="91"/>
      <c r="CI87" s="87"/>
      <c r="CJ87" s="19" t="s">
        <v>3215</v>
      </c>
      <c r="CK87" s="13" t="s">
        <v>15</v>
      </c>
      <c r="CL87" s="82" t="s">
        <v>9</v>
      </c>
      <c r="CM87" s="91" t="s">
        <v>3576</v>
      </c>
      <c r="CN87" s="91"/>
      <c r="CO87" s="87"/>
      <c r="CP87" s="56" t="s">
        <v>3066</v>
      </c>
      <c r="CQ87" s="13" t="s">
        <v>15</v>
      </c>
      <c r="CR87" s="82" t="s">
        <v>9</v>
      </c>
      <c r="CS87" s="91" t="s">
        <v>3576</v>
      </c>
      <c r="CT87" s="91"/>
      <c r="CU87" s="105"/>
    </row>
    <row r="88" spans="1:99" ht="73.5" customHeight="1" thickBot="1" x14ac:dyDescent="0.4">
      <c r="A88" s="40" t="s">
        <v>89</v>
      </c>
      <c r="B88" s="40" t="s">
        <v>250</v>
      </c>
      <c r="C88" s="40" t="s">
        <v>450</v>
      </c>
      <c r="D88" s="135" t="s">
        <v>3398</v>
      </c>
      <c r="E88" s="317" t="s">
        <v>3866</v>
      </c>
      <c r="F88" s="318" t="s">
        <v>3382</v>
      </c>
      <c r="G88" s="319" t="s">
        <v>3867</v>
      </c>
      <c r="H88" s="142" t="s">
        <v>3603</v>
      </c>
      <c r="I88" s="138" t="s">
        <v>3559</v>
      </c>
      <c r="J88" s="136" t="s">
        <v>629</v>
      </c>
      <c r="K88" s="13"/>
      <c r="L88" s="82"/>
      <c r="M88" s="146"/>
      <c r="N88" s="91"/>
      <c r="O88" s="87" t="s">
        <v>3555</v>
      </c>
      <c r="P88" s="49" t="s">
        <v>830</v>
      </c>
      <c r="Q88" s="13"/>
      <c r="R88" s="82"/>
      <c r="S88" s="91"/>
      <c r="T88" s="91"/>
      <c r="U88" s="87" t="s">
        <v>3555</v>
      </c>
      <c r="V88" s="52" t="s">
        <v>1028</v>
      </c>
      <c r="W88" s="13"/>
      <c r="X88" s="82"/>
      <c r="Y88" s="91"/>
      <c r="Z88" s="91"/>
      <c r="AA88" s="87" t="s">
        <v>3555</v>
      </c>
      <c r="AB88" s="19" t="s">
        <v>1228</v>
      </c>
      <c r="AC88" s="13"/>
      <c r="AD88" s="82"/>
      <c r="AE88" s="91"/>
      <c r="AF88" s="91"/>
      <c r="AG88" s="87" t="s">
        <v>3555</v>
      </c>
      <c r="AH88" s="56" t="s">
        <v>1427</v>
      </c>
      <c r="AI88" s="13"/>
      <c r="AJ88" s="82"/>
      <c r="AK88" s="91"/>
      <c r="AL88" s="91"/>
      <c r="AM88" s="105" t="s">
        <v>3555</v>
      </c>
      <c r="AN88" s="23" t="s">
        <v>1625</v>
      </c>
      <c r="AO88" s="13"/>
      <c r="AP88" s="82"/>
      <c r="AQ88" s="91"/>
      <c r="AR88" s="91"/>
      <c r="AS88" s="87" t="s">
        <v>3570</v>
      </c>
      <c r="AT88" s="21" t="s">
        <v>1823</v>
      </c>
      <c r="AU88" s="13"/>
      <c r="AV88" s="82"/>
      <c r="AW88" s="91"/>
      <c r="AX88" s="91"/>
      <c r="AY88" s="87"/>
      <c r="AZ88" s="22" t="s">
        <v>1823</v>
      </c>
      <c r="BA88" s="13"/>
      <c r="BB88" s="82"/>
      <c r="BC88" s="91"/>
      <c r="BD88" s="91"/>
      <c r="BE88" s="87"/>
      <c r="BF88" s="24" t="s">
        <v>2217</v>
      </c>
      <c r="BG88" s="13"/>
      <c r="BH88" s="82"/>
      <c r="BI88" s="91"/>
      <c r="BJ88" s="91"/>
      <c r="BK88" s="87"/>
      <c r="BL88" s="27" t="s">
        <v>2405</v>
      </c>
      <c r="BM88" s="13"/>
      <c r="BN88" s="82"/>
      <c r="BO88" s="91"/>
      <c r="BP88" s="91"/>
      <c r="BQ88" s="105"/>
      <c r="BR88" s="72" t="s">
        <v>2602</v>
      </c>
      <c r="BS88" s="13"/>
      <c r="BT88" s="82"/>
      <c r="BU88" s="91"/>
      <c r="BV88" s="91"/>
      <c r="BW88" s="87"/>
      <c r="BX88" s="49" t="s">
        <v>3604</v>
      </c>
      <c r="BY88" s="13"/>
      <c r="BZ88" s="82"/>
      <c r="CA88" s="91"/>
      <c r="CB88" s="91"/>
      <c r="CC88" s="264"/>
      <c r="CD88" s="52" t="s">
        <v>2969</v>
      </c>
      <c r="CE88" s="13"/>
      <c r="CF88" s="82"/>
      <c r="CG88" s="91"/>
      <c r="CH88" s="91"/>
      <c r="CI88" s="87"/>
      <c r="CJ88" s="19" t="s">
        <v>3139</v>
      </c>
      <c r="CK88" s="13"/>
      <c r="CL88" s="82"/>
      <c r="CM88" s="91"/>
      <c r="CN88" s="91"/>
      <c r="CO88" s="87" t="s">
        <v>3556</v>
      </c>
      <c r="CP88" s="56" t="s">
        <v>3277</v>
      </c>
      <c r="CQ88" s="13"/>
      <c r="CR88" s="82"/>
      <c r="CS88" s="91"/>
      <c r="CT88" s="91"/>
      <c r="CU88" s="105"/>
    </row>
    <row r="89" spans="1:99" ht="42" customHeight="1" thickBot="1" x14ac:dyDescent="0.4">
      <c r="A89" s="40" t="s">
        <v>167</v>
      </c>
      <c r="B89" s="40" t="s">
        <v>343</v>
      </c>
      <c r="C89" s="40" t="s">
        <v>538</v>
      </c>
      <c r="D89" s="135" t="s">
        <v>3738</v>
      </c>
      <c r="E89" s="325" t="s">
        <v>3873</v>
      </c>
      <c r="F89" s="326" t="s">
        <v>3378</v>
      </c>
      <c r="G89" s="326" t="s">
        <v>3874</v>
      </c>
      <c r="H89" s="142"/>
      <c r="I89" s="138"/>
      <c r="J89" s="136" t="s">
        <v>724</v>
      </c>
      <c r="K89" s="13" t="s">
        <v>15</v>
      </c>
      <c r="L89" s="82" t="s">
        <v>9</v>
      </c>
      <c r="M89" s="146" t="s">
        <v>3576</v>
      </c>
      <c r="N89" s="91"/>
      <c r="O89" s="87"/>
      <c r="P89" s="49" t="s">
        <v>923</v>
      </c>
      <c r="Q89" s="13" t="s">
        <v>15</v>
      </c>
      <c r="R89" s="82" t="s">
        <v>9</v>
      </c>
      <c r="S89" s="91" t="s">
        <v>3576</v>
      </c>
      <c r="T89" s="91"/>
      <c r="U89" s="87"/>
      <c r="V89" s="52" t="s">
        <v>1122</v>
      </c>
      <c r="W89" s="13" t="s">
        <v>15</v>
      </c>
      <c r="X89" s="82" t="s">
        <v>9</v>
      </c>
      <c r="Y89" s="91" t="s">
        <v>3576</v>
      </c>
      <c r="Z89" s="91"/>
      <c r="AA89" s="87"/>
      <c r="AB89" s="19" t="s">
        <v>1320</v>
      </c>
      <c r="AC89" s="13" t="s">
        <v>15</v>
      </c>
      <c r="AD89" s="82" t="s">
        <v>9</v>
      </c>
      <c r="AE89" s="91" t="s">
        <v>3576</v>
      </c>
      <c r="AF89" s="91"/>
      <c r="AG89" s="87"/>
      <c r="AH89" s="56" t="s">
        <v>1518</v>
      </c>
      <c r="AI89" s="13" t="s">
        <v>15</v>
      </c>
      <c r="AJ89" s="82" t="s">
        <v>9</v>
      </c>
      <c r="AK89" s="91" t="s">
        <v>3576</v>
      </c>
      <c r="AL89" s="91"/>
      <c r="AM89" s="105"/>
      <c r="AN89" s="23" t="s">
        <v>1717</v>
      </c>
      <c r="AO89" s="13" t="s">
        <v>15</v>
      </c>
      <c r="AP89" s="82" t="s">
        <v>20</v>
      </c>
      <c r="AQ89" s="91" t="s">
        <v>3577</v>
      </c>
      <c r="AR89" s="91"/>
      <c r="AS89" s="87"/>
      <c r="AT89" s="21" t="s">
        <v>1916</v>
      </c>
      <c r="AU89" s="13" t="s">
        <v>0</v>
      </c>
      <c r="AV89" s="82" t="s">
        <v>12</v>
      </c>
      <c r="AW89" s="91" t="s">
        <v>3577</v>
      </c>
      <c r="AX89" s="91"/>
      <c r="AY89" s="87"/>
      <c r="AZ89" s="22" t="s">
        <v>2111</v>
      </c>
      <c r="BA89" s="13" t="s">
        <v>0</v>
      </c>
      <c r="BB89" s="82" t="s">
        <v>12</v>
      </c>
      <c r="BC89" s="91" t="s">
        <v>3577</v>
      </c>
      <c r="BD89" s="91"/>
      <c r="BE89" s="87"/>
      <c r="BF89" s="24" t="s">
        <v>2303</v>
      </c>
      <c r="BG89" s="13" t="s">
        <v>15</v>
      </c>
      <c r="BH89" s="82" t="s">
        <v>9</v>
      </c>
      <c r="BI89" s="91" t="s">
        <v>3576</v>
      </c>
      <c r="BJ89" s="91"/>
      <c r="BK89" s="87"/>
      <c r="BL89" s="27" t="s">
        <v>2493</v>
      </c>
      <c r="BM89" s="13" t="s">
        <v>0</v>
      </c>
      <c r="BN89" s="82" t="s">
        <v>12</v>
      </c>
      <c r="BO89" s="91" t="s">
        <v>3577</v>
      </c>
      <c r="BP89" s="91"/>
      <c r="BQ89" s="105"/>
      <c r="BR89" s="72" t="s">
        <v>2691</v>
      </c>
      <c r="BS89" s="13" t="s">
        <v>0</v>
      </c>
      <c r="BT89" s="82" t="s">
        <v>12</v>
      </c>
      <c r="BU89" s="91" t="s">
        <v>3577</v>
      </c>
      <c r="BV89" s="91"/>
      <c r="BW89" s="87"/>
      <c r="BX89" s="49" t="s">
        <v>2691</v>
      </c>
      <c r="BY89" s="13" t="s">
        <v>0</v>
      </c>
      <c r="BZ89" s="82" t="s">
        <v>12</v>
      </c>
      <c r="CA89" s="91" t="s">
        <v>3577</v>
      </c>
      <c r="CB89" s="91"/>
      <c r="CC89" s="87"/>
      <c r="CD89" s="52" t="s">
        <v>2691</v>
      </c>
      <c r="CE89" s="13" t="s">
        <v>0</v>
      </c>
      <c r="CF89" s="82" t="s">
        <v>12</v>
      </c>
      <c r="CG89" s="91" t="s">
        <v>3577</v>
      </c>
      <c r="CH89" s="91"/>
      <c r="CI89" s="87"/>
      <c r="CJ89" s="19" t="s">
        <v>3200</v>
      </c>
      <c r="CK89" s="13" t="s">
        <v>15</v>
      </c>
      <c r="CL89" s="82" t="s">
        <v>9</v>
      </c>
      <c r="CM89" s="91" t="s">
        <v>3576</v>
      </c>
      <c r="CN89" s="91"/>
      <c r="CO89" s="87"/>
      <c r="CP89" s="56" t="s">
        <v>3327</v>
      </c>
      <c r="CQ89" s="13" t="s">
        <v>0</v>
      </c>
      <c r="CR89" s="82" t="s">
        <v>12</v>
      </c>
      <c r="CS89" s="91" t="s">
        <v>3577</v>
      </c>
      <c r="CT89" s="91"/>
      <c r="CU89" s="105"/>
    </row>
    <row r="90" spans="1:99" ht="42" customHeight="1" thickBot="1" x14ac:dyDescent="0.4">
      <c r="A90" s="40" t="s">
        <v>98</v>
      </c>
      <c r="B90" s="40" t="s">
        <v>260</v>
      </c>
      <c r="C90" s="40" t="s">
        <v>459</v>
      </c>
      <c r="D90" s="135" t="s">
        <v>3407</v>
      </c>
      <c r="E90" s="314" t="s">
        <v>3855</v>
      </c>
      <c r="F90" s="315" t="s">
        <v>3371</v>
      </c>
      <c r="G90" s="315" t="s">
        <v>3859</v>
      </c>
      <c r="H90" s="142" t="s">
        <v>3615</v>
      </c>
      <c r="I90" s="138" t="s">
        <v>3566</v>
      </c>
      <c r="J90" s="136" t="s">
        <v>639</v>
      </c>
      <c r="K90" s="13" t="s">
        <v>11</v>
      </c>
      <c r="L90" s="82"/>
      <c r="M90" s="146" t="s">
        <v>3576</v>
      </c>
      <c r="N90" s="91"/>
      <c r="O90" s="87"/>
      <c r="P90" s="49" t="s">
        <v>840</v>
      </c>
      <c r="Q90" s="13" t="s">
        <v>15</v>
      </c>
      <c r="R90" s="82" t="s">
        <v>9</v>
      </c>
      <c r="S90" s="91" t="s">
        <v>3576</v>
      </c>
      <c r="T90" s="91"/>
      <c r="U90" s="87"/>
      <c r="V90" s="52" t="s">
        <v>1038</v>
      </c>
      <c r="W90" s="13" t="s">
        <v>11</v>
      </c>
      <c r="X90" s="82"/>
      <c r="Y90" s="91" t="s">
        <v>3576</v>
      </c>
      <c r="Z90" s="91"/>
      <c r="AA90" s="87"/>
      <c r="AB90" s="19" t="s">
        <v>1238</v>
      </c>
      <c r="AC90" s="13" t="s">
        <v>11</v>
      </c>
      <c r="AD90" s="82"/>
      <c r="AE90" s="91" t="s">
        <v>3576</v>
      </c>
      <c r="AF90" s="91"/>
      <c r="AG90" s="87"/>
      <c r="AH90" s="56" t="s">
        <v>1437</v>
      </c>
      <c r="AI90" s="13" t="s">
        <v>11</v>
      </c>
      <c r="AJ90" s="82"/>
      <c r="AK90" s="91" t="s">
        <v>3576</v>
      </c>
      <c r="AL90" s="91"/>
      <c r="AM90" s="105"/>
      <c r="AN90" s="23" t="s">
        <v>1634</v>
      </c>
      <c r="AO90" s="13" t="s">
        <v>11</v>
      </c>
      <c r="AP90" s="82"/>
      <c r="AQ90" s="91" t="s">
        <v>3576</v>
      </c>
      <c r="AR90" s="91"/>
      <c r="AS90" s="87"/>
      <c r="AT90" s="21" t="s">
        <v>1833</v>
      </c>
      <c r="AU90" s="13" t="s">
        <v>11</v>
      </c>
      <c r="AV90" s="82"/>
      <c r="AW90" s="91" t="s">
        <v>3576</v>
      </c>
      <c r="AX90" s="91"/>
      <c r="AY90" s="87"/>
      <c r="AZ90" s="22" t="s">
        <v>2030</v>
      </c>
      <c r="BA90" s="13" t="s">
        <v>11</v>
      </c>
      <c r="BB90" s="82"/>
      <c r="BC90" s="91" t="s">
        <v>3576</v>
      </c>
      <c r="BD90" s="91"/>
      <c r="BE90" s="87"/>
      <c r="BF90" s="24" t="s">
        <v>2227</v>
      </c>
      <c r="BG90" s="13" t="s">
        <v>11</v>
      </c>
      <c r="BH90" s="82"/>
      <c r="BI90" s="91" t="s">
        <v>3576</v>
      </c>
      <c r="BJ90" s="91"/>
      <c r="BK90" s="87"/>
      <c r="BL90" s="27" t="s">
        <v>2415</v>
      </c>
      <c r="BM90" s="13" t="s">
        <v>11</v>
      </c>
      <c r="BN90" s="82"/>
      <c r="BO90" s="91" t="s">
        <v>3576</v>
      </c>
      <c r="BP90" s="91"/>
      <c r="BQ90" s="105"/>
      <c r="BR90" s="72" t="s">
        <v>2611</v>
      </c>
      <c r="BS90" s="13" t="s">
        <v>0</v>
      </c>
      <c r="BT90" s="82" t="s">
        <v>12</v>
      </c>
      <c r="BU90" s="91" t="s">
        <v>3576</v>
      </c>
      <c r="BV90" s="91"/>
      <c r="BW90" s="87"/>
      <c r="BX90" s="49" t="s">
        <v>3616</v>
      </c>
      <c r="BY90" s="13" t="s">
        <v>15</v>
      </c>
      <c r="BZ90" s="82" t="s">
        <v>9</v>
      </c>
      <c r="CA90" s="91" t="s">
        <v>3576</v>
      </c>
      <c r="CB90" s="91"/>
      <c r="CC90" s="264"/>
      <c r="CD90" s="52" t="s">
        <v>2978</v>
      </c>
      <c r="CE90" s="13" t="s">
        <v>15</v>
      </c>
      <c r="CF90" s="82" t="s">
        <v>9</v>
      </c>
      <c r="CG90" s="91" t="s">
        <v>3576</v>
      </c>
      <c r="CH90" s="91"/>
      <c r="CI90" s="87"/>
      <c r="CJ90" s="19" t="s">
        <v>2611</v>
      </c>
      <c r="CK90" s="13" t="s">
        <v>0</v>
      </c>
      <c r="CL90" s="82" t="s">
        <v>12</v>
      </c>
      <c r="CM90" s="91" t="s">
        <v>3576</v>
      </c>
      <c r="CN90" s="91"/>
      <c r="CO90" s="87"/>
      <c r="CP90" s="56" t="s">
        <v>3284</v>
      </c>
      <c r="CQ90" s="13" t="s">
        <v>15</v>
      </c>
      <c r="CR90" s="82" t="s">
        <v>19</v>
      </c>
      <c r="CS90" s="91" t="s">
        <v>3577</v>
      </c>
      <c r="CT90" s="91"/>
      <c r="CU90" s="105"/>
    </row>
    <row r="91" spans="1:99" ht="133.5" customHeight="1" thickBot="1" x14ac:dyDescent="0.4">
      <c r="A91" s="40" t="s">
        <v>217</v>
      </c>
      <c r="B91" s="40" t="s">
        <v>410</v>
      </c>
      <c r="C91" s="40" t="s">
        <v>591</v>
      </c>
      <c r="D91" s="135" t="s">
        <v>3537</v>
      </c>
      <c r="E91" s="314" t="s">
        <v>3855</v>
      </c>
      <c r="F91" s="315" t="s">
        <v>3423</v>
      </c>
      <c r="G91" s="315" t="s">
        <v>3865</v>
      </c>
      <c r="H91" s="142" t="s">
        <v>3804</v>
      </c>
      <c r="I91" s="138" t="s">
        <v>3559</v>
      </c>
      <c r="J91" s="136" t="s">
        <v>791</v>
      </c>
      <c r="K91" s="13" t="s">
        <v>15</v>
      </c>
      <c r="L91" s="82" t="s">
        <v>20</v>
      </c>
      <c r="M91" s="146" t="s">
        <v>3576</v>
      </c>
      <c r="N91" s="91"/>
      <c r="O91" s="87"/>
      <c r="P91" s="49" t="s">
        <v>989</v>
      </c>
      <c r="Q91" s="13" t="s">
        <v>0</v>
      </c>
      <c r="R91" s="82" t="s">
        <v>1</v>
      </c>
      <c r="S91" s="91" t="s">
        <v>3576</v>
      </c>
      <c r="T91" s="91"/>
      <c r="U91" s="87"/>
      <c r="V91" s="52" t="s">
        <v>1188</v>
      </c>
      <c r="W91" s="13" t="s">
        <v>15</v>
      </c>
      <c r="X91" s="82" t="s">
        <v>20</v>
      </c>
      <c r="Y91" s="91" t="s">
        <v>3576</v>
      </c>
      <c r="Z91" s="91"/>
      <c r="AA91" s="87"/>
      <c r="AB91" s="19" t="s">
        <v>1387</v>
      </c>
      <c r="AC91" s="13" t="s">
        <v>15</v>
      </c>
      <c r="AD91" s="82" t="s">
        <v>20</v>
      </c>
      <c r="AE91" s="91" t="s">
        <v>3576</v>
      </c>
      <c r="AF91" s="91"/>
      <c r="AG91" s="87"/>
      <c r="AH91" s="56" t="s">
        <v>1585</v>
      </c>
      <c r="AI91" s="13" t="s">
        <v>15</v>
      </c>
      <c r="AJ91" s="82" t="s">
        <v>20</v>
      </c>
      <c r="AK91" s="91" t="s">
        <v>3576</v>
      </c>
      <c r="AL91" s="91"/>
      <c r="AM91" s="105"/>
      <c r="AN91" s="23" t="s">
        <v>1784</v>
      </c>
      <c r="AO91" s="13" t="s">
        <v>0</v>
      </c>
      <c r="AP91" s="82" t="s">
        <v>1</v>
      </c>
      <c r="AQ91" s="91" t="s">
        <v>3576</v>
      </c>
      <c r="AR91" s="91"/>
      <c r="AS91" s="87"/>
      <c r="AT91" s="21" t="s">
        <v>1981</v>
      </c>
      <c r="AU91" s="13" t="s">
        <v>0</v>
      </c>
      <c r="AV91" s="82" t="s">
        <v>1</v>
      </c>
      <c r="AW91" s="91" t="s">
        <v>3576</v>
      </c>
      <c r="AX91" s="91"/>
      <c r="AY91" s="87"/>
      <c r="AZ91" s="22" t="s">
        <v>2177</v>
      </c>
      <c r="BA91" s="13" t="s">
        <v>0</v>
      </c>
      <c r="BB91" s="82" t="s">
        <v>1</v>
      </c>
      <c r="BC91" s="91" t="s">
        <v>3576</v>
      </c>
      <c r="BD91" s="91"/>
      <c r="BE91" s="87"/>
      <c r="BF91" s="24" t="s">
        <v>2367</v>
      </c>
      <c r="BG91" s="13" t="s">
        <v>0</v>
      </c>
      <c r="BH91" s="82" t="s">
        <v>1</v>
      </c>
      <c r="BI91" s="91" t="s">
        <v>3576</v>
      </c>
      <c r="BJ91" s="91"/>
      <c r="BK91" s="87"/>
      <c r="BL91" s="27" t="s">
        <v>2560</v>
      </c>
      <c r="BM91" s="13" t="s">
        <v>0</v>
      </c>
      <c r="BN91" s="82" t="s">
        <v>1</v>
      </c>
      <c r="BO91" s="91" t="s">
        <v>3576</v>
      </c>
      <c r="BP91" s="91"/>
      <c r="BQ91" s="105"/>
      <c r="BR91" s="72" t="s">
        <v>2758</v>
      </c>
      <c r="BS91" s="13" t="s">
        <v>0</v>
      </c>
      <c r="BT91" s="82" t="s">
        <v>1</v>
      </c>
      <c r="BU91" s="91" t="s">
        <v>3576</v>
      </c>
      <c r="BV91" s="91"/>
      <c r="BW91" s="87"/>
      <c r="BX91" s="49" t="s">
        <v>2932</v>
      </c>
      <c r="BY91" s="13" t="s">
        <v>0</v>
      </c>
      <c r="BZ91" s="82" t="s">
        <v>1</v>
      </c>
      <c r="CA91" s="91" t="s">
        <v>3576</v>
      </c>
      <c r="CB91" s="91"/>
      <c r="CC91" s="87"/>
      <c r="CD91" s="52" t="s">
        <v>3107</v>
      </c>
      <c r="CE91" s="13" t="s">
        <v>0</v>
      </c>
      <c r="CF91" s="82" t="s">
        <v>1</v>
      </c>
      <c r="CG91" s="91" t="s">
        <v>3576</v>
      </c>
      <c r="CH91" s="91"/>
      <c r="CI91" s="87"/>
      <c r="CJ91" s="19" t="s">
        <v>2758</v>
      </c>
      <c r="CK91" s="13" t="s">
        <v>0</v>
      </c>
      <c r="CL91" s="82" t="s">
        <v>1</v>
      </c>
      <c r="CM91" s="91" t="s">
        <v>3576</v>
      </c>
      <c r="CN91" s="91"/>
      <c r="CO91" s="87"/>
      <c r="CP91" s="56" t="s">
        <v>3359</v>
      </c>
      <c r="CQ91" s="13" t="s">
        <v>0</v>
      </c>
      <c r="CR91" s="82" t="s">
        <v>1</v>
      </c>
      <c r="CS91" s="91" t="s">
        <v>3576</v>
      </c>
      <c r="CT91" s="91"/>
      <c r="CU91" s="105"/>
    </row>
    <row r="92" spans="1:99" ht="77" customHeight="1" thickBot="1" x14ac:dyDescent="0.4">
      <c r="A92" s="40" t="s">
        <v>175</v>
      </c>
      <c r="B92" s="40" t="s">
        <v>353</v>
      </c>
      <c r="C92" s="40" t="s">
        <v>545</v>
      </c>
      <c r="D92" s="135" t="s">
        <v>3493</v>
      </c>
      <c r="E92" s="314" t="s">
        <v>3855</v>
      </c>
      <c r="F92" s="315" t="s">
        <v>3376</v>
      </c>
      <c r="G92" s="315" t="s">
        <v>3856</v>
      </c>
      <c r="H92" s="142" t="s">
        <v>3748</v>
      </c>
      <c r="I92" s="138" t="s">
        <v>3559</v>
      </c>
      <c r="J92" s="136" t="s">
        <v>734</v>
      </c>
      <c r="K92" s="13" t="s">
        <v>15</v>
      </c>
      <c r="L92" s="82" t="s">
        <v>19</v>
      </c>
      <c r="M92" s="146" t="s">
        <v>3577</v>
      </c>
      <c r="N92" s="91"/>
      <c r="O92" s="87"/>
      <c r="P92" s="49" t="s">
        <v>933</v>
      </c>
      <c r="Q92" s="13" t="s">
        <v>15</v>
      </c>
      <c r="R92" s="82" t="s">
        <v>19</v>
      </c>
      <c r="S92" s="91" t="s">
        <v>3577</v>
      </c>
      <c r="T92" s="91"/>
      <c r="U92" s="87"/>
      <c r="V92" s="52" t="s">
        <v>1131</v>
      </c>
      <c r="W92" s="13" t="s">
        <v>15</v>
      </c>
      <c r="X92" s="82" t="s">
        <v>19</v>
      </c>
      <c r="Y92" s="91" t="s">
        <v>3577</v>
      </c>
      <c r="Z92" s="91"/>
      <c r="AA92" s="87"/>
      <c r="AB92" s="19" t="s">
        <v>1330</v>
      </c>
      <c r="AC92" s="13" t="s">
        <v>15</v>
      </c>
      <c r="AD92" s="82" t="s">
        <v>19</v>
      </c>
      <c r="AE92" s="91" t="s">
        <v>3577</v>
      </c>
      <c r="AF92" s="91"/>
      <c r="AG92" s="87"/>
      <c r="AH92" s="56" t="s">
        <v>1528</v>
      </c>
      <c r="AI92" s="13" t="s">
        <v>15</v>
      </c>
      <c r="AJ92" s="82" t="s">
        <v>4</v>
      </c>
      <c r="AK92" s="91" t="s">
        <v>3576</v>
      </c>
      <c r="AL92" s="91"/>
      <c r="AM92" s="105"/>
      <c r="AN92" s="23" t="s">
        <v>1727</v>
      </c>
      <c r="AO92" s="13" t="s">
        <v>15</v>
      </c>
      <c r="AP92" s="82" t="s">
        <v>19</v>
      </c>
      <c r="AQ92" s="91" t="s">
        <v>3577</v>
      </c>
      <c r="AR92" s="91"/>
      <c r="AS92" s="87"/>
      <c r="AT92" s="21" t="s">
        <v>1926</v>
      </c>
      <c r="AU92" s="13" t="s">
        <v>15</v>
      </c>
      <c r="AV92" s="82" t="s">
        <v>19</v>
      </c>
      <c r="AW92" s="91" t="s">
        <v>3577</v>
      </c>
      <c r="AX92" s="91"/>
      <c r="AY92" s="87"/>
      <c r="AZ92" s="22" t="s">
        <v>2121</v>
      </c>
      <c r="BA92" s="13" t="s">
        <v>15</v>
      </c>
      <c r="BB92" s="82" t="s">
        <v>19</v>
      </c>
      <c r="BC92" s="91" t="s">
        <v>3577</v>
      </c>
      <c r="BD92" s="91"/>
      <c r="BE92" s="87"/>
      <c r="BF92" s="24" t="s">
        <v>2312</v>
      </c>
      <c r="BG92" s="13" t="s">
        <v>11</v>
      </c>
      <c r="BH92" s="82"/>
      <c r="BI92" s="91" t="s">
        <v>3576</v>
      </c>
      <c r="BJ92" s="91"/>
      <c r="BK92" s="87"/>
      <c r="BL92" s="27" t="s">
        <v>2503</v>
      </c>
      <c r="BM92" s="13" t="s">
        <v>11</v>
      </c>
      <c r="BN92" s="82"/>
      <c r="BO92" s="91" t="s">
        <v>3576</v>
      </c>
      <c r="BP92" s="91"/>
      <c r="BQ92" s="105"/>
      <c r="BR92" s="72" t="s">
        <v>2701</v>
      </c>
      <c r="BS92" s="13" t="s">
        <v>15</v>
      </c>
      <c r="BT92" s="82" t="s">
        <v>19</v>
      </c>
      <c r="BU92" s="91" t="s">
        <v>3577</v>
      </c>
      <c r="BV92" s="91"/>
      <c r="BW92" s="87"/>
      <c r="BX92" s="49" t="s">
        <v>2885</v>
      </c>
      <c r="BY92" s="13" t="s">
        <v>15</v>
      </c>
      <c r="BZ92" s="82" t="s">
        <v>19</v>
      </c>
      <c r="CA92" s="91" t="s">
        <v>3577</v>
      </c>
      <c r="CB92" s="91"/>
      <c r="CC92" s="87"/>
      <c r="CD92" s="52" t="s">
        <v>3057</v>
      </c>
      <c r="CE92" s="13" t="s">
        <v>15</v>
      </c>
      <c r="CF92" s="82" t="s">
        <v>19</v>
      </c>
      <c r="CG92" s="91" t="s">
        <v>3577</v>
      </c>
      <c r="CH92" s="91"/>
      <c r="CI92" s="87"/>
      <c r="CJ92" s="19" t="s">
        <v>3207</v>
      </c>
      <c r="CK92" s="13" t="s">
        <v>15</v>
      </c>
      <c r="CL92" s="82" t="s">
        <v>19</v>
      </c>
      <c r="CM92" s="91" t="s">
        <v>3577</v>
      </c>
      <c r="CN92" s="91"/>
      <c r="CO92" s="87"/>
      <c r="CP92" s="56" t="s">
        <v>3333</v>
      </c>
      <c r="CQ92" s="13" t="s">
        <v>15</v>
      </c>
      <c r="CR92" s="82" t="s">
        <v>19</v>
      </c>
      <c r="CS92" s="91" t="s">
        <v>3577</v>
      </c>
      <c r="CT92" s="91"/>
      <c r="CU92" s="105"/>
    </row>
    <row r="93" spans="1:99" ht="42" customHeight="1" thickBot="1" x14ac:dyDescent="0.4">
      <c r="A93" s="40" t="s">
        <v>86</v>
      </c>
      <c r="B93" s="40" t="s">
        <v>247</v>
      </c>
      <c r="C93" s="40" t="s">
        <v>447</v>
      </c>
      <c r="D93" s="135" t="s">
        <v>3395</v>
      </c>
      <c r="E93" s="314" t="s">
        <v>3855</v>
      </c>
      <c r="F93" s="315" t="s">
        <v>3371</v>
      </c>
      <c r="G93" s="315" t="s">
        <v>3859</v>
      </c>
      <c r="H93" s="142" t="s">
        <v>3599</v>
      </c>
      <c r="I93" s="138" t="s">
        <v>3591</v>
      </c>
      <c r="J93" s="136" t="s">
        <v>626</v>
      </c>
      <c r="K93" s="13" t="s">
        <v>15</v>
      </c>
      <c r="L93" s="82" t="s">
        <v>4</v>
      </c>
      <c r="M93" s="146" t="s">
        <v>3577</v>
      </c>
      <c r="N93" s="91"/>
      <c r="O93" s="87"/>
      <c r="P93" s="49" t="s">
        <v>827</v>
      </c>
      <c r="Q93" s="13" t="s">
        <v>15</v>
      </c>
      <c r="R93" s="82" t="s">
        <v>4</v>
      </c>
      <c r="S93" s="91" t="s">
        <v>3577</v>
      </c>
      <c r="T93" s="91"/>
      <c r="U93" s="87"/>
      <c r="V93" s="52" t="s">
        <v>1025</v>
      </c>
      <c r="W93" s="13" t="s">
        <v>15</v>
      </c>
      <c r="X93" s="82" t="s">
        <v>4</v>
      </c>
      <c r="Y93" s="91" t="s">
        <v>3577</v>
      </c>
      <c r="Z93" s="91"/>
      <c r="AA93" s="87"/>
      <c r="AB93" s="19" t="s">
        <v>1225</v>
      </c>
      <c r="AC93" s="13" t="s">
        <v>15</v>
      </c>
      <c r="AD93" s="82" t="s">
        <v>4</v>
      </c>
      <c r="AE93" s="91" t="s">
        <v>3577</v>
      </c>
      <c r="AF93" s="91"/>
      <c r="AG93" s="87"/>
      <c r="AH93" s="56" t="s">
        <v>1424</v>
      </c>
      <c r="AI93" s="13" t="s">
        <v>15</v>
      </c>
      <c r="AJ93" s="82" t="s">
        <v>4</v>
      </c>
      <c r="AK93" s="91" t="s">
        <v>3577</v>
      </c>
      <c r="AL93" s="91"/>
      <c r="AM93" s="105"/>
      <c r="AN93" s="23" t="s">
        <v>1622</v>
      </c>
      <c r="AO93" s="13" t="s">
        <v>15</v>
      </c>
      <c r="AP93" s="82" t="s">
        <v>4</v>
      </c>
      <c r="AQ93" s="91" t="s">
        <v>3577</v>
      </c>
      <c r="AR93" s="91"/>
      <c r="AS93" s="87"/>
      <c r="AT93" s="21" t="s">
        <v>1821</v>
      </c>
      <c r="AU93" s="13" t="s">
        <v>15</v>
      </c>
      <c r="AV93" s="82" t="s">
        <v>4</v>
      </c>
      <c r="AW93" s="91" t="s">
        <v>3577</v>
      </c>
      <c r="AX93" s="91"/>
      <c r="AY93" s="87"/>
      <c r="AZ93" s="22" t="s">
        <v>2018</v>
      </c>
      <c r="BA93" s="13" t="s">
        <v>15</v>
      </c>
      <c r="BB93" s="82" t="s">
        <v>4</v>
      </c>
      <c r="BC93" s="91" t="s">
        <v>3577</v>
      </c>
      <c r="BD93" s="91"/>
      <c r="BE93" s="87"/>
      <c r="BF93" s="24" t="s">
        <v>2214</v>
      </c>
      <c r="BG93" s="13" t="s">
        <v>15</v>
      </c>
      <c r="BH93" s="82" t="s">
        <v>4</v>
      </c>
      <c r="BI93" s="91" t="s">
        <v>3577</v>
      </c>
      <c r="BJ93" s="91"/>
      <c r="BK93" s="87"/>
      <c r="BL93" s="27" t="s">
        <v>2402</v>
      </c>
      <c r="BM93" s="13" t="s">
        <v>15</v>
      </c>
      <c r="BN93" s="82" t="s">
        <v>4</v>
      </c>
      <c r="BO93" s="91" t="s">
        <v>3577</v>
      </c>
      <c r="BP93" s="91"/>
      <c r="BQ93" s="105" t="s">
        <v>3559</v>
      </c>
      <c r="BR93" s="72" t="s">
        <v>2599</v>
      </c>
      <c r="BS93" s="13" t="s">
        <v>15</v>
      </c>
      <c r="BT93" s="82" t="s">
        <v>4</v>
      </c>
      <c r="BU93" s="91" t="s">
        <v>3577</v>
      </c>
      <c r="BV93" s="91"/>
      <c r="BW93" s="87"/>
      <c r="BX93" s="49" t="s">
        <v>2792</v>
      </c>
      <c r="BY93" s="13" t="s">
        <v>15</v>
      </c>
      <c r="BZ93" s="82" t="s">
        <v>4</v>
      </c>
      <c r="CA93" s="91" t="s">
        <v>3577</v>
      </c>
      <c r="CB93" s="91"/>
      <c r="CC93" s="264"/>
      <c r="CD93" s="52" t="s">
        <v>2966</v>
      </c>
      <c r="CE93" s="13" t="s">
        <v>15</v>
      </c>
      <c r="CF93" s="82" t="s">
        <v>4</v>
      </c>
      <c r="CG93" s="91" t="s">
        <v>3577</v>
      </c>
      <c r="CH93" s="91"/>
      <c r="CI93" s="87"/>
      <c r="CJ93" s="19" t="s">
        <v>3137</v>
      </c>
      <c r="CK93" s="13" t="s">
        <v>15</v>
      </c>
      <c r="CL93" s="82" t="s">
        <v>4</v>
      </c>
      <c r="CM93" s="91" t="s">
        <v>3577</v>
      </c>
      <c r="CN93" s="91"/>
      <c r="CO93" s="87"/>
      <c r="CP93" s="56" t="s">
        <v>3137</v>
      </c>
      <c r="CQ93" s="13" t="s">
        <v>15</v>
      </c>
      <c r="CR93" s="82" t="s">
        <v>4</v>
      </c>
      <c r="CS93" s="91" t="s">
        <v>3577</v>
      </c>
      <c r="CT93" s="91"/>
      <c r="CU93" s="105"/>
    </row>
    <row r="94" spans="1:99" ht="107.5" customHeight="1" thickBot="1" x14ac:dyDescent="0.4">
      <c r="A94" s="40" t="s">
        <v>227</v>
      </c>
      <c r="B94" s="40" t="s">
        <v>425</v>
      </c>
      <c r="C94" s="40" t="s">
        <v>606</v>
      </c>
      <c r="D94" s="135" t="s">
        <v>3822</v>
      </c>
      <c r="E94" s="314" t="s">
        <v>3855</v>
      </c>
      <c r="F94" s="315" t="s">
        <v>3383</v>
      </c>
      <c r="G94" s="315" t="s">
        <v>3863</v>
      </c>
      <c r="H94" s="142"/>
      <c r="I94" s="138"/>
      <c r="J94" s="136" t="s">
        <v>806</v>
      </c>
      <c r="K94" s="13" t="s">
        <v>0</v>
      </c>
      <c r="L94" s="82" t="s">
        <v>1</v>
      </c>
      <c r="M94" s="146" t="s">
        <v>3576</v>
      </c>
      <c r="N94" s="91"/>
      <c r="O94" s="87"/>
      <c r="P94" s="49" t="s">
        <v>1003</v>
      </c>
      <c r="Q94" s="13" t="s">
        <v>11</v>
      </c>
      <c r="R94" s="82"/>
      <c r="S94" s="91" t="s">
        <v>3576</v>
      </c>
      <c r="T94" s="91"/>
      <c r="U94" s="87"/>
      <c r="V94" s="52" t="s">
        <v>1203</v>
      </c>
      <c r="W94" s="13" t="s">
        <v>6</v>
      </c>
      <c r="X94" s="82" t="s">
        <v>8</v>
      </c>
      <c r="Y94" s="91" t="s">
        <v>3576</v>
      </c>
      <c r="Z94" s="91"/>
      <c r="AA94" s="87"/>
      <c r="AB94" s="19" t="s">
        <v>1402</v>
      </c>
      <c r="AC94" s="13" t="s">
        <v>0</v>
      </c>
      <c r="AD94" s="82" t="s">
        <v>1</v>
      </c>
      <c r="AE94" s="91" t="s">
        <v>3576</v>
      </c>
      <c r="AF94" s="91"/>
      <c r="AG94" s="87"/>
      <c r="AH94" s="56" t="s">
        <v>1600</v>
      </c>
      <c r="AI94" s="13" t="s">
        <v>6</v>
      </c>
      <c r="AJ94" s="82" t="s">
        <v>8</v>
      </c>
      <c r="AK94" s="91" t="s">
        <v>3576</v>
      </c>
      <c r="AL94" s="91"/>
      <c r="AM94" s="105"/>
      <c r="AN94" s="23" t="s">
        <v>1799</v>
      </c>
      <c r="AO94" s="13" t="s">
        <v>0</v>
      </c>
      <c r="AP94" s="82" t="s">
        <v>1</v>
      </c>
      <c r="AQ94" s="91" t="s">
        <v>3576</v>
      </c>
      <c r="AR94" s="91"/>
      <c r="AS94" s="87"/>
      <c r="AT94" s="21" t="s">
        <v>1996</v>
      </c>
      <c r="AU94" s="13" t="s">
        <v>0</v>
      </c>
      <c r="AV94" s="82" t="s">
        <v>1</v>
      </c>
      <c r="AW94" s="91" t="s">
        <v>3576</v>
      </c>
      <c r="AX94" s="91"/>
      <c r="AY94" s="87"/>
      <c r="AZ94" s="22" t="s">
        <v>2192</v>
      </c>
      <c r="BA94" s="13" t="s">
        <v>15</v>
      </c>
      <c r="BB94" s="82" t="s">
        <v>9</v>
      </c>
      <c r="BC94" s="91" t="s">
        <v>3576</v>
      </c>
      <c r="BD94" s="91"/>
      <c r="BE94" s="87"/>
      <c r="BF94" s="24" t="s">
        <v>2380</v>
      </c>
      <c r="BG94" s="13" t="s">
        <v>15</v>
      </c>
      <c r="BH94" s="82" t="s">
        <v>9</v>
      </c>
      <c r="BI94" s="91" t="s">
        <v>3576</v>
      </c>
      <c r="BJ94" s="91"/>
      <c r="BK94" s="87"/>
      <c r="BL94" s="27" t="s">
        <v>2574</v>
      </c>
      <c r="BM94" s="13" t="s">
        <v>0</v>
      </c>
      <c r="BN94" s="82" t="s">
        <v>1</v>
      </c>
      <c r="BO94" s="91" t="s">
        <v>3576</v>
      </c>
      <c r="BP94" s="91"/>
      <c r="BQ94" s="105"/>
      <c r="BR94" s="72" t="s">
        <v>2773</v>
      </c>
      <c r="BS94" s="13" t="s">
        <v>0</v>
      </c>
      <c r="BT94" s="82" t="s">
        <v>1</v>
      </c>
      <c r="BU94" s="91" t="s">
        <v>3576</v>
      </c>
      <c r="BV94" s="91"/>
      <c r="BW94" s="87"/>
      <c r="BX94" s="49" t="s">
        <v>2773</v>
      </c>
      <c r="BY94" s="13" t="s">
        <v>0</v>
      </c>
      <c r="BZ94" s="82" t="s">
        <v>1</v>
      </c>
      <c r="CA94" s="91" t="s">
        <v>3576</v>
      </c>
      <c r="CB94" s="91"/>
      <c r="CC94" s="87"/>
      <c r="CD94" s="52" t="s">
        <v>3122</v>
      </c>
      <c r="CE94" s="13" t="s">
        <v>0</v>
      </c>
      <c r="CF94" s="82" t="s">
        <v>1</v>
      </c>
      <c r="CG94" s="91" t="s">
        <v>3576</v>
      </c>
      <c r="CH94" s="91"/>
      <c r="CI94" s="87"/>
      <c r="CJ94" s="19" t="s">
        <v>3259</v>
      </c>
      <c r="CK94" s="13" t="s">
        <v>0</v>
      </c>
      <c r="CL94" s="82" t="s">
        <v>1</v>
      </c>
      <c r="CM94" s="91" t="s">
        <v>3576</v>
      </c>
      <c r="CN94" s="91"/>
      <c r="CO94" s="87"/>
      <c r="CP94" s="56" t="s">
        <v>3368</v>
      </c>
      <c r="CQ94" s="13" t="s">
        <v>0</v>
      </c>
      <c r="CR94" s="82" t="s">
        <v>12</v>
      </c>
      <c r="CS94" s="91" t="s">
        <v>3576</v>
      </c>
      <c r="CT94" s="91"/>
      <c r="CU94" s="311"/>
    </row>
    <row r="95" spans="1:99" ht="42" customHeight="1" thickBot="1" x14ac:dyDescent="0.4">
      <c r="A95" s="40" t="s">
        <v>188</v>
      </c>
      <c r="B95" s="40" t="s">
        <v>372</v>
      </c>
      <c r="C95" s="40" t="s">
        <v>562</v>
      </c>
      <c r="D95" s="135" t="s">
        <v>3508</v>
      </c>
      <c r="E95" s="314" t="s">
        <v>3855</v>
      </c>
      <c r="F95" s="315" t="s">
        <v>3437</v>
      </c>
      <c r="G95" s="315" t="s">
        <v>3864</v>
      </c>
      <c r="H95" s="142"/>
      <c r="I95" s="138"/>
      <c r="J95" s="136" t="s">
        <v>753</v>
      </c>
      <c r="K95" s="13" t="s">
        <v>6</v>
      </c>
      <c r="L95" s="82" t="s">
        <v>8</v>
      </c>
      <c r="M95" s="146" t="s">
        <v>3576</v>
      </c>
      <c r="N95" s="91"/>
      <c r="O95" s="87"/>
      <c r="P95" s="49" t="s">
        <v>952</v>
      </c>
      <c r="Q95" s="13" t="s">
        <v>6</v>
      </c>
      <c r="R95" s="82" t="s">
        <v>8</v>
      </c>
      <c r="S95" s="91" t="s">
        <v>3576</v>
      </c>
      <c r="T95" s="91"/>
      <c r="U95" s="87"/>
      <c r="V95" s="52" t="s">
        <v>1150</v>
      </c>
      <c r="W95" s="13" t="s">
        <v>6</v>
      </c>
      <c r="X95" s="82" t="s">
        <v>8</v>
      </c>
      <c r="Y95" s="91" t="s">
        <v>3576</v>
      </c>
      <c r="Z95" s="91"/>
      <c r="AA95" s="87"/>
      <c r="AB95" s="19" t="s">
        <v>1349</v>
      </c>
      <c r="AC95" s="13" t="s">
        <v>6</v>
      </c>
      <c r="AD95" s="82" t="s">
        <v>8</v>
      </c>
      <c r="AE95" s="91" t="s">
        <v>3576</v>
      </c>
      <c r="AF95" s="91"/>
      <c r="AG95" s="87"/>
      <c r="AH95" s="56" t="s">
        <v>1547</v>
      </c>
      <c r="AI95" s="13" t="s">
        <v>6</v>
      </c>
      <c r="AJ95" s="82" t="s">
        <v>8</v>
      </c>
      <c r="AK95" s="91" t="s">
        <v>3576</v>
      </c>
      <c r="AL95" s="91"/>
      <c r="AM95" s="105"/>
      <c r="AN95" s="23" t="s">
        <v>1746</v>
      </c>
      <c r="AO95" s="13" t="s">
        <v>0</v>
      </c>
      <c r="AP95" s="82" t="s">
        <v>1</v>
      </c>
      <c r="AQ95" s="91" t="s">
        <v>3577</v>
      </c>
      <c r="AR95" s="91"/>
      <c r="AS95" s="87"/>
      <c r="AT95" s="21" t="s">
        <v>1943</v>
      </c>
      <c r="AU95" s="13" t="s">
        <v>0</v>
      </c>
      <c r="AV95" s="82" t="s">
        <v>1</v>
      </c>
      <c r="AW95" s="91" t="s">
        <v>3577</v>
      </c>
      <c r="AX95" s="91"/>
      <c r="AY95" s="87"/>
      <c r="AZ95" s="22" t="s">
        <v>2139</v>
      </c>
      <c r="BA95" s="13" t="s">
        <v>0</v>
      </c>
      <c r="BB95" s="82" t="s">
        <v>1</v>
      </c>
      <c r="BC95" s="91" t="s">
        <v>3577</v>
      </c>
      <c r="BD95" s="91"/>
      <c r="BE95" s="87"/>
      <c r="BF95" s="24" t="s">
        <v>2331</v>
      </c>
      <c r="BG95" s="13" t="s">
        <v>0</v>
      </c>
      <c r="BH95" s="82" t="s">
        <v>1</v>
      </c>
      <c r="BI95" s="91" t="s">
        <v>3577</v>
      </c>
      <c r="BJ95" s="91"/>
      <c r="BK95" s="87"/>
      <c r="BL95" s="27" t="s">
        <v>2522</v>
      </c>
      <c r="BM95" s="13" t="s">
        <v>0</v>
      </c>
      <c r="BN95" s="82" t="s">
        <v>1</v>
      </c>
      <c r="BO95" s="91" t="s">
        <v>3577</v>
      </c>
      <c r="BP95" s="91"/>
      <c r="BQ95" s="105"/>
      <c r="BR95" s="72" t="s">
        <v>2720</v>
      </c>
      <c r="BS95" s="13" t="s">
        <v>0</v>
      </c>
      <c r="BT95" s="82" t="s">
        <v>1</v>
      </c>
      <c r="BU95" s="91" t="s">
        <v>3577</v>
      </c>
      <c r="BV95" s="91"/>
      <c r="BW95" s="87"/>
      <c r="BX95" s="49" t="s">
        <v>2902</v>
      </c>
      <c r="BY95" s="13" t="s">
        <v>6</v>
      </c>
      <c r="BZ95" s="82" t="s">
        <v>8</v>
      </c>
      <c r="CA95" s="91" t="s">
        <v>3576</v>
      </c>
      <c r="CB95" s="91"/>
      <c r="CC95" s="87"/>
      <c r="CD95" s="52" t="s">
        <v>3072</v>
      </c>
      <c r="CE95" s="13" t="s">
        <v>0</v>
      </c>
      <c r="CF95" s="82" t="s">
        <v>1</v>
      </c>
      <c r="CG95" s="91" t="s">
        <v>3577</v>
      </c>
      <c r="CH95" s="91"/>
      <c r="CI95" s="87"/>
      <c r="CJ95" s="19" t="s">
        <v>3221</v>
      </c>
      <c r="CK95" s="13" t="s">
        <v>0</v>
      </c>
      <c r="CL95" s="82" t="s">
        <v>1</v>
      </c>
      <c r="CM95" s="91" t="s">
        <v>3577</v>
      </c>
      <c r="CN95" s="91"/>
      <c r="CO95" s="87"/>
      <c r="CP95" s="56" t="s">
        <v>3342</v>
      </c>
      <c r="CQ95" s="13" t="s">
        <v>0</v>
      </c>
      <c r="CR95" s="82" t="s">
        <v>1</v>
      </c>
      <c r="CS95" s="91" t="s">
        <v>3577</v>
      </c>
      <c r="CT95" s="91"/>
      <c r="CU95" s="105"/>
    </row>
    <row r="96" spans="1:99" ht="42" customHeight="1" thickBot="1" x14ac:dyDescent="0.4">
      <c r="A96" s="40" t="s">
        <v>71</v>
      </c>
      <c r="B96" s="40" t="s">
        <v>232</v>
      </c>
      <c r="C96" s="40" t="s">
        <v>431</v>
      </c>
      <c r="D96" s="135" t="s">
        <v>3375</v>
      </c>
      <c r="E96" s="314" t="s">
        <v>3855</v>
      </c>
      <c r="F96" s="315" t="s">
        <v>3376</v>
      </c>
      <c r="G96" s="315" t="s">
        <v>3856</v>
      </c>
      <c r="H96" s="142" t="s">
        <v>3582</v>
      </c>
      <c r="I96" s="138" t="s">
        <v>3566</v>
      </c>
      <c r="J96" s="136" t="s">
        <v>3554</v>
      </c>
      <c r="K96" s="13" t="s">
        <v>15</v>
      </c>
      <c r="L96" s="82" t="s">
        <v>9</v>
      </c>
      <c r="M96" s="146" t="s">
        <v>3576</v>
      </c>
      <c r="N96" s="91"/>
      <c r="O96" s="87"/>
      <c r="P96" s="49" t="s">
        <v>812</v>
      </c>
      <c r="Q96" s="13" t="s">
        <v>15</v>
      </c>
      <c r="R96" s="82" t="s">
        <v>9</v>
      </c>
      <c r="S96" s="91" t="s">
        <v>3576</v>
      </c>
      <c r="T96" s="91"/>
      <c r="U96" s="87"/>
      <c r="V96" s="52" t="s">
        <v>1009</v>
      </c>
      <c r="W96" s="13" t="s">
        <v>15</v>
      </c>
      <c r="X96" s="82" t="s">
        <v>9</v>
      </c>
      <c r="Y96" s="91" t="s">
        <v>3576</v>
      </c>
      <c r="Z96" s="91"/>
      <c r="AA96" s="87"/>
      <c r="AB96" s="19" t="s">
        <v>1209</v>
      </c>
      <c r="AC96" s="13" t="s">
        <v>15</v>
      </c>
      <c r="AD96" s="82" t="s">
        <v>9</v>
      </c>
      <c r="AE96" s="91" t="s">
        <v>3576</v>
      </c>
      <c r="AF96" s="91"/>
      <c r="AG96" s="87"/>
      <c r="AH96" s="56" t="s">
        <v>1408</v>
      </c>
      <c r="AI96" s="259" t="s">
        <v>0</v>
      </c>
      <c r="AJ96" s="260" t="s">
        <v>12</v>
      </c>
      <c r="AK96" s="261" t="s">
        <v>3577</v>
      </c>
      <c r="AL96" s="261"/>
      <c r="AM96" s="105"/>
      <c r="AN96" s="23" t="s">
        <v>1606</v>
      </c>
      <c r="AO96" s="13" t="s">
        <v>15</v>
      </c>
      <c r="AP96" s="82" t="s">
        <v>4</v>
      </c>
      <c r="AQ96" s="91" t="s">
        <v>3576</v>
      </c>
      <c r="AR96" s="91"/>
      <c r="AS96" s="87"/>
      <c r="AT96" s="21" t="s">
        <v>1805</v>
      </c>
      <c r="AU96" s="13" t="s">
        <v>15</v>
      </c>
      <c r="AV96" s="82" t="s">
        <v>4</v>
      </c>
      <c r="AW96" s="91" t="s">
        <v>3576</v>
      </c>
      <c r="AX96" s="91"/>
      <c r="AY96" s="87"/>
      <c r="AZ96" s="22" t="s">
        <v>2002</v>
      </c>
      <c r="BA96" s="13" t="s">
        <v>15</v>
      </c>
      <c r="BB96" s="82" t="s">
        <v>4</v>
      </c>
      <c r="BC96" s="91" t="s">
        <v>3577</v>
      </c>
      <c r="BD96" s="91"/>
      <c r="BE96" s="87"/>
      <c r="BF96" s="24" t="s">
        <v>2198</v>
      </c>
      <c r="BG96" s="13" t="s">
        <v>15</v>
      </c>
      <c r="BH96" s="82" t="s">
        <v>4</v>
      </c>
      <c r="BI96" s="91" t="s">
        <v>3577</v>
      </c>
      <c r="BJ96" s="91"/>
      <c r="BK96" s="87"/>
      <c r="BL96" s="27" t="s">
        <v>2386</v>
      </c>
      <c r="BM96" s="13" t="s">
        <v>15</v>
      </c>
      <c r="BN96" s="82" t="s">
        <v>4</v>
      </c>
      <c r="BO96" s="91" t="s">
        <v>3577</v>
      </c>
      <c r="BP96" s="91"/>
      <c r="BQ96" s="105"/>
      <c r="BR96" s="72" t="s">
        <v>2585</v>
      </c>
      <c r="BS96" s="13" t="s">
        <v>15</v>
      </c>
      <c r="BT96" s="82" t="s">
        <v>4</v>
      </c>
      <c r="BU96" s="91" t="s">
        <v>3576</v>
      </c>
      <c r="BV96" s="91"/>
      <c r="BW96" s="87"/>
      <c r="BX96" s="49" t="s">
        <v>2779</v>
      </c>
      <c r="BY96" s="13" t="s">
        <v>15</v>
      </c>
      <c r="BZ96" s="82" t="s">
        <v>4</v>
      </c>
      <c r="CA96" s="91" t="s">
        <v>3576</v>
      </c>
      <c r="CB96" s="91"/>
      <c r="CC96" s="264"/>
      <c r="CD96" s="52" t="s">
        <v>2951</v>
      </c>
      <c r="CE96" s="13" t="s">
        <v>15</v>
      </c>
      <c r="CF96" s="82" t="s">
        <v>4</v>
      </c>
      <c r="CG96" s="91" t="s">
        <v>3576</v>
      </c>
      <c r="CH96" s="91"/>
      <c r="CI96" s="87"/>
      <c r="CJ96" s="19" t="s">
        <v>3126</v>
      </c>
      <c r="CK96" s="13" t="s">
        <v>15</v>
      </c>
      <c r="CL96" s="82" t="s">
        <v>4</v>
      </c>
      <c r="CM96" s="91" t="s">
        <v>3576</v>
      </c>
      <c r="CN96" s="91"/>
      <c r="CO96" s="87"/>
      <c r="CP96" s="56" t="s">
        <v>3264</v>
      </c>
      <c r="CQ96" s="13" t="s">
        <v>15</v>
      </c>
      <c r="CR96" s="82" t="s">
        <v>4</v>
      </c>
      <c r="CS96" s="91" t="s">
        <v>3576</v>
      </c>
      <c r="CT96" s="91"/>
      <c r="CU96" s="105"/>
    </row>
    <row r="97" spans="1:99" ht="42" customHeight="1" thickBot="1" x14ac:dyDescent="0.4">
      <c r="A97" s="40" t="s">
        <v>192</v>
      </c>
      <c r="B97" s="40" t="s">
        <v>377</v>
      </c>
      <c r="C97" s="40" t="s">
        <v>567</v>
      </c>
      <c r="D97" s="135" t="s">
        <v>3824</v>
      </c>
      <c r="E97" s="314" t="s">
        <v>3855</v>
      </c>
      <c r="F97" s="315" t="s">
        <v>3387</v>
      </c>
      <c r="G97" s="315" t="s">
        <v>3861</v>
      </c>
      <c r="H97" s="142" t="s">
        <v>3772</v>
      </c>
      <c r="I97" s="138" t="s">
        <v>3559</v>
      </c>
      <c r="J97" s="136" t="s">
        <v>758</v>
      </c>
      <c r="K97" s="13" t="s">
        <v>15</v>
      </c>
      <c r="L97" s="82" t="s">
        <v>9</v>
      </c>
      <c r="M97" s="146" t="s">
        <v>3576</v>
      </c>
      <c r="N97" s="91"/>
      <c r="O97" s="87"/>
      <c r="P97" s="49" t="s">
        <v>957</v>
      </c>
      <c r="Q97" s="13" t="s">
        <v>15</v>
      </c>
      <c r="R97" s="82" t="s">
        <v>9</v>
      </c>
      <c r="S97" s="91" t="s">
        <v>3576</v>
      </c>
      <c r="T97" s="91"/>
      <c r="U97" s="87"/>
      <c r="V97" s="52" t="s">
        <v>1155</v>
      </c>
      <c r="W97" s="13" t="s">
        <v>15</v>
      </c>
      <c r="X97" s="82" t="s">
        <v>9</v>
      </c>
      <c r="Y97" s="91" t="s">
        <v>3576</v>
      </c>
      <c r="Z97" s="91"/>
      <c r="AA97" s="87"/>
      <c r="AB97" s="19" t="s">
        <v>1354</v>
      </c>
      <c r="AC97" s="13" t="s">
        <v>15</v>
      </c>
      <c r="AD97" s="82" t="s">
        <v>9</v>
      </c>
      <c r="AE97" s="91" t="s">
        <v>3576</v>
      </c>
      <c r="AF97" s="91"/>
      <c r="AG97" s="87"/>
      <c r="AH97" s="56" t="s">
        <v>1552</v>
      </c>
      <c r="AI97" s="13" t="s">
        <v>15</v>
      </c>
      <c r="AJ97" s="82" t="s">
        <v>9</v>
      </c>
      <c r="AK97" s="91" t="s">
        <v>3576</v>
      </c>
      <c r="AL97" s="91"/>
      <c r="AM97" s="105"/>
      <c r="AN97" s="23" t="s">
        <v>1751</v>
      </c>
      <c r="AO97" s="13" t="s">
        <v>15</v>
      </c>
      <c r="AP97" s="82" t="s">
        <v>9</v>
      </c>
      <c r="AQ97" s="91" t="s">
        <v>3576</v>
      </c>
      <c r="AR97" s="91"/>
      <c r="AS97" s="87"/>
      <c r="AT97" s="21" t="s">
        <v>1948</v>
      </c>
      <c r="AU97" s="13" t="s">
        <v>15</v>
      </c>
      <c r="AV97" s="82" t="s">
        <v>9</v>
      </c>
      <c r="AW97" s="91" t="s">
        <v>3576</v>
      </c>
      <c r="AX97" s="91"/>
      <c r="AY97" s="87"/>
      <c r="AZ97" s="22" t="s">
        <v>2144</v>
      </c>
      <c r="BA97" s="13" t="s">
        <v>15</v>
      </c>
      <c r="BB97" s="82" t="s">
        <v>9</v>
      </c>
      <c r="BC97" s="91" t="s">
        <v>3576</v>
      </c>
      <c r="BD97" s="91"/>
      <c r="BE97" s="87" t="s">
        <v>3844</v>
      </c>
      <c r="BF97" s="24" t="s">
        <v>2335</v>
      </c>
      <c r="BG97" s="13" t="s">
        <v>15</v>
      </c>
      <c r="BH97" s="82" t="s">
        <v>9</v>
      </c>
      <c r="BI97" s="91" t="s">
        <v>3576</v>
      </c>
      <c r="BJ97" s="91"/>
      <c r="BK97" s="87"/>
      <c r="BL97" s="27" t="s">
        <v>2527</v>
      </c>
      <c r="BM97" s="13" t="s">
        <v>15</v>
      </c>
      <c r="BN97" s="82" t="s">
        <v>9</v>
      </c>
      <c r="BO97" s="91" t="s">
        <v>3576</v>
      </c>
      <c r="BP97" s="91"/>
      <c r="BQ97" s="105"/>
      <c r="BR97" s="72" t="s">
        <v>2725</v>
      </c>
      <c r="BS97" s="13" t="s">
        <v>15</v>
      </c>
      <c r="BT97" s="82" t="s">
        <v>9</v>
      </c>
      <c r="BU97" s="91" t="s">
        <v>3576</v>
      </c>
      <c r="BV97" s="91"/>
      <c r="BW97" s="87"/>
      <c r="BX97" s="49" t="s">
        <v>2905</v>
      </c>
      <c r="BY97" s="13" t="s">
        <v>15</v>
      </c>
      <c r="BZ97" s="82" t="s">
        <v>9</v>
      </c>
      <c r="CA97" s="91" t="s">
        <v>3576</v>
      </c>
      <c r="CB97" s="91"/>
      <c r="CC97" s="87"/>
      <c r="CD97" s="52" t="s">
        <v>3077</v>
      </c>
      <c r="CE97" s="13" t="s">
        <v>15</v>
      </c>
      <c r="CF97" s="82" t="s">
        <v>9</v>
      </c>
      <c r="CG97" s="91" t="s">
        <v>3576</v>
      </c>
      <c r="CH97" s="91"/>
      <c r="CI97" s="87"/>
      <c r="CJ97" s="19" t="s">
        <v>3225</v>
      </c>
      <c r="CK97" s="13" t="s">
        <v>15</v>
      </c>
      <c r="CL97" s="82" t="s">
        <v>9</v>
      </c>
      <c r="CM97" s="91" t="s">
        <v>3576</v>
      </c>
      <c r="CN97" s="91"/>
      <c r="CO97" s="87"/>
      <c r="CP97" s="56" t="s">
        <v>3345</v>
      </c>
      <c r="CQ97" s="13" t="s">
        <v>15</v>
      </c>
      <c r="CR97" s="82" t="s">
        <v>9</v>
      </c>
      <c r="CS97" s="91" t="s">
        <v>3576</v>
      </c>
      <c r="CT97" s="91"/>
      <c r="CU97" s="105"/>
    </row>
    <row r="98" spans="1:99" ht="42" customHeight="1" thickBot="1" x14ac:dyDescent="0.4">
      <c r="A98" s="40" t="s">
        <v>123</v>
      </c>
      <c r="B98" s="40" t="s">
        <v>286</v>
      </c>
      <c r="C98" s="40" t="s">
        <v>487</v>
      </c>
      <c r="D98" s="135" t="s">
        <v>3431</v>
      </c>
      <c r="E98" s="323" t="s">
        <v>3869</v>
      </c>
      <c r="F98" s="324" t="s">
        <v>3392</v>
      </c>
      <c r="G98" s="324" t="s">
        <v>3870</v>
      </c>
      <c r="H98" s="142" t="s">
        <v>3647</v>
      </c>
      <c r="I98" s="138" t="s">
        <v>3648</v>
      </c>
      <c r="J98" s="136" t="s">
        <v>667</v>
      </c>
      <c r="K98" s="13" t="s">
        <v>0</v>
      </c>
      <c r="L98" s="82" t="s">
        <v>12</v>
      </c>
      <c r="M98" s="146" t="s">
        <v>3577</v>
      </c>
      <c r="N98" s="91"/>
      <c r="O98" s="87"/>
      <c r="P98" s="49" t="s">
        <v>866</v>
      </c>
      <c r="Q98" s="13" t="s">
        <v>0</v>
      </c>
      <c r="R98" s="82" t="s">
        <v>12</v>
      </c>
      <c r="S98" s="91" t="s">
        <v>3577</v>
      </c>
      <c r="T98" s="91"/>
      <c r="U98" s="87"/>
      <c r="V98" s="52" t="s">
        <v>1065</v>
      </c>
      <c r="W98" s="13" t="s">
        <v>0</v>
      </c>
      <c r="X98" s="82" t="s">
        <v>12</v>
      </c>
      <c r="Y98" s="91" t="s">
        <v>3577</v>
      </c>
      <c r="Z98" s="91"/>
      <c r="AA98" s="87"/>
      <c r="AB98" s="19" t="s">
        <v>1266</v>
      </c>
      <c r="AC98" s="13" t="s">
        <v>0</v>
      </c>
      <c r="AD98" s="82" t="s">
        <v>12</v>
      </c>
      <c r="AE98" s="91" t="s">
        <v>3577</v>
      </c>
      <c r="AF98" s="91"/>
      <c r="AG98" s="87"/>
      <c r="AH98" s="56" t="s">
        <v>1463</v>
      </c>
      <c r="AI98" s="13" t="s">
        <v>0</v>
      </c>
      <c r="AJ98" s="82" t="s">
        <v>12</v>
      </c>
      <c r="AK98" s="91" t="s">
        <v>3577</v>
      </c>
      <c r="AL98" s="91"/>
      <c r="AM98" s="105"/>
      <c r="AN98" s="23" t="s">
        <v>1662</v>
      </c>
      <c r="AO98" s="13" t="s">
        <v>0</v>
      </c>
      <c r="AP98" s="82" t="s">
        <v>12</v>
      </c>
      <c r="AQ98" s="91" t="s">
        <v>3577</v>
      </c>
      <c r="AR98" s="91"/>
      <c r="AS98" s="87"/>
      <c r="AT98" s="21" t="s">
        <v>1859</v>
      </c>
      <c r="AU98" s="13" t="s">
        <v>0</v>
      </c>
      <c r="AV98" s="82" t="s">
        <v>12</v>
      </c>
      <c r="AW98" s="91" t="s">
        <v>3577</v>
      </c>
      <c r="AX98" s="91"/>
      <c r="AY98" s="87"/>
      <c r="AZ98" s="22" t="s">
        <v>2057</v>
      </c>
      <c r="BA98" s="13" t="s">
        <v>0</v>
      </c>
      <c r="BB98" s="82" t="s">
        <v>12</v>
      </c>
      <c r="BC98" s="91" t="s">
        <v>3577</v>
      </c>
      <c r="BD98" s="91"/>
      <c r="BE98" s="87"/>
      <c r="BF98" s="24" t="s">
        <v>2251</v>
      </c>
      <c r="BG98" s="13" t="s">
        <v>0</v>
      </c>
      <c r="BH98" s="82" t="s">
        <v>12</v>
      </c>
      <c r="BI98" s="91" t="s">
        <v>3577</v>
      </c>
      <c r="BJ98" s="91"/>
      <c r="BK98" s="87"/>
      <c r="BL98" s="27" t="s">
        <v>2251</v>
      </c>
      <c r="BM98" s="13" t="s">
        <v>0</v>
      </c>
      <c r="BN98" s="82" t="s">
        <v>12</v>
      </c>
      <c r="BO98" s="91" t="s">
        <v>3577</v>
      </c>
      <c r="BP98" s="91"/>
      <c r="BQ98" s="350"/>
      <c r="BR98" s="72" t="s">
        <v>2636</v>
      </c>
      <c r="BS98" s="13" t="s">
        <v>0</v>
      </c>
      <c r="BT98" s="82" t="s">
        <v>12</v>
      </c>
      <c r="BU98" s="91" t="s">
        <v>3577</v>
      </c>
      <c r="BV98" s="91"/>
      <c r="BW98" s="87"/>
      <c r="BX98" s="49" t="s">
        <v>3653</v>
      </c>
      <c r="BY98" s="13" t="s">
        <v>0</v>
      </c>
      <c r="BZ98" s="82" t="s">
        <v>12</v>
      </c>
      <c r="CA98" s="91" t="s">
        <v>3577</v>
      </c>
      <c r="CB98" s="91"/>
      <c r="CC98" s="264"/>
      <c r="CD98" s="52" t="s">
        <v>3002</v>
      </c>
      <c r="CE98" s="13" t="s">
        <v>0</v>
      </c>
      <c r="CF98" s="82" t="s">
        <v>12</v>
      </c>
      <c r="CG98" s="91" t="s">
        <v>3577</v>
      </c>
      <c r="CH98" s="91"/>
      <c r="CI98" s="87"/>
      <c r="CJ98" s="19" t="s">
        <v>3164</v>
      </c>
      <c r="CK98" s="13" t="s">
        <v>0</v>
      </c>
      <c r="CL98" s="82" t="s">
        <v>12</v>
      </c>
      <c r="CM98" s="91" t="s">
        <v>3577</v>
      </c>
      <c r="CN98" s="91"/>
      <c r="CO98" s="87"/>
      <c r="CP98" s="56" t="s">
        <v>3294</v>
      </c>
      <c r="CQ98" s="13" t="s">
        <v>0</v>
      </c>
      <c r="CR98" s="82" t="s">
        <v>12</v>
      </c>
      <c r="CS98" s="91" t="s">
        <v>3577</v>
      </c>
      <c r="CT98" s="91"/>
      <c r="CU98" s="105"/>
    </row>
    <row r="99" spans="1:99" ht="42" customHeight="1" thickBot="1" x14ac:dyDescent="0.4">
      <c r="A99" s="40" t="s">
        <v>180</v>
      </c>
      <c r="B99" s="40" t="s">
        <v>359</v>
      </c>
      <c r="C99" s="40" t="s">
        <v>517</v>
      </c>
      <c r="D99" s="135" t="s">
        <v>3847</v>
      </c>
      <c r="E99" s="314" t="s">
        <v>3855</v>
      </c>
      <c r="F99" s="315" t="s">
        <v>3371</v>
      </c>
      <c r="G99" s="315" t="s">
        <v>3859</v>
      </c>
      <c r="H99" s="142" t="s">
        <v>3754</v>
      </c>
      <c r="I99" s="138" t="s">
        <v>3591</v>
      </c>
      <c r="J99" s="136" t="s">
        <v>740</v>
      </c>
      <c r="K99" s="13" t="s">
        <v>15</v>
      </c>
      <c r="L99" s="82" t="s">
        <v>9</v>
      </c>
      <c r="M99" s="150" t="s">
        <v>3576</v>
      </c>
      <c r="N99" s="91"/>
      <c r="O99" s="87"/>
      <c r="P99" s="49" t="s">
        <v>939</v>
      </c>
      <c r="Q99" s="13" t="s">
        <v>15</v>
      </c>
      <c r="R99" s="82" t="s">
        <v>9</v>
      </c>
      <c r="S99" s="91" t="s">
        <v>3576</v>
      </c>
      <c r="T99" s="91"/>
      <c r="U99" s="87"/>
      <c r="V99" s="52" t="s">
        <v>1137</v>
      </c>
      <c r="W99" s="13" t="s">
        <v>15</v>
      </c>
      <c r="X99" s="82" t="s">
        <v>9</v>
      </c>
      <c r="Y99" s="91" t="s">
        <v>3576</v>
      </c>
      <c r="Z99" s="91"/>
      <c r="AA99" s="87"/>
      <c r="AB99" s="19" t="s">
        <v>1336</v>
      </c>
      <c r="AC99" s="13" t="s">
        <v>15</v>
      </c>
      <c r="AD99" s="82" t="s">
        <v>9</v>
      </c>
      <c r="AE99" s="91" t="s">
        <v>3576</v>
      </c>
      <c r="AF99" s="91"/>
      <c r="AG99" s="87"/>
      <c r="AH99" s="56" t="s">
        <v>1534</v>
      </c>
      <c r="AI99" s="13" t="s">
        <v>15</v>
      </c>
      <c r="AJ99" s="82" t="s">
        <v>9</v>
      </c>
      <c r="AK99" s="91" t="s">
        <v>3576</v>
      </c>
      <c r="AL99" s="91"/>
      <c r="AM99" s="105"/>
      <c r="AN99" s="23" t="s">
        <v>1733</v>
      </c>
      <c r="AO99" s="13" t="s">
        <v>15</v>
      </c>
      <c r="AP99" s="82" t="s">
        <v>20</v>
      </c>
      <c r="AQ99" s="91" t="s">
        <v>3577</v>
      </c>
      <c r="AR99" s="91"/>
      <c r="AS99" s="87"/>
      <c r="AT99" s="21" t="s">
        <v>1931</v>
      </c>
      <c r="AU99" s="13" t="s">
        <v>15</v>
      </c>
      <c r="AV99" s="82" t="s">
        <v>20</v>
      </c>
      <c r="AW99" s="91" t="s">
        <v>3577</v>
      </c>
      <c r="AX99" s="91"/>
      <c r="AY99" s="87"/>
      <c r="AZ99" s="22" t="s">
        <v>2127</v>
      </c>
      <c r="BA99" s="13" t="s">
        <v>15</v>
      </c>
      <c r="BB99" s="82" t="s">
        <v>20</v>
      </c>
      <c r="BC99" s="91" t="s">
        <v>3577</v>
      </c>
      <c r="BD99" s="91"/>
      <c r="BE99" s="87"/>
      <c r="BF99" s="24" t="s">
        <v>2318</v>
      </c>
      <c r="BG99" s="13" t="s">
        <v>15</v>
      </c>
      <c r="BH99" s="82" t="s">
        <v>20</v>
      </c>
      <c r="BI99" s="91" t="s">
        <v>3577</v>
      </c>
      <c r="BJ99" s="91"/>
      <c r="BK99" s="87"/>
      <c r="BL99" s="27" t="s">
        <v>2509</v>
      </c>
      <c r="BM99" s="13" t="s">
        <v>15</v>
      </c>
      <c r="BN99" s="82" t="s">
        <v>20</v>
      </c>
      <c r="BO99" s="91" t="s">
        <v>3577</v>
      </c>
      <c r="BP99" s="91"/>
      <c r="BQ99" s="105"/>
      <c r="BR99" s="72" t="s">
        <v>2707</v>
      </c>
      <c r="BS99" s="13" t="s">
        <v>15</v>
      </c>
      <c r="BT99" s="82" t="s">
        <v>20</v>
      </c>
      <c r="BU99" s="91" t="s">
        <v>3577</v>
      </c>
      <c r="BV99" s="91"/>
      <c r="BW99" s="87"/>
      <c r="BX99" s="49" t="s">
        <v>2890</v>
      </c>
      <c r="BY99" s="13" t="s">
        <v>15</v>
      </c>
      <c r="BZ99" s="82" t="s">
        <v>9</v>
      </c>
      <c r="CA99" s="91" t="s">
        <v>3576</v>
      </c>
      <c r="CB99" s="91"/>
      <c r="CC99" s="87"/>
      <c r="CD99" s="52" t="s">
        <v>2509</v>
      </c>
      <c r="CE99" s="13" t="s">
        <v>15</v>
      </c>
      <c r="CF99" s="82" t="s">
        <v>20</v>
      </c>
      <c r="CG99" s="91" t="s">
        <v>3577</v>
      </c>
      <c r="CH99" s="91"/>
      <c r="CI99" s="87"/>
      <c r="CJ99" s="19" t="s">
        <v>2509</v>
      </c>
      <c r="CK99" s="13" t="s">
        <v>15</v>
      </c>
      <c r="CL99" s="82" t="s">
        <v>20</v>
      </c>
      <c r="CM99" s="91" t="s">
        <v>3577</v>
      </c>
      <c r="CN99" s="91"/>
      <c r="CO99" s="87"/>
      <c r="CP99" s="56" t="s">
        <v>2509</v>
      </c>
      <c r="CQ99" s="13" t="s">
        <v>15</v>
      </c>
      <c r="CR99" s="82" t="s">
        <v>20</v>
      </c>
      <c r="CS99" s="91" t="s">
        <v>3577</v>
      </c>
      <c r="CT99" s="91"/>
      <c r="CU99" s="105"/>
    </row>
    <row r="100" spans="1:99" ht="42" customHeight="1" thickBot="1" x14ac:dyDescent="0.4">
      <c r="A100" s="40" t="s">
        <v>207</v>
      </c>
      <c r="B100" s="40" t="s">
        <v>397</v>
      </c>
      <c r="C100" s="40" t="s">
        <v>581</v>
      </c>
      <c r="D100" s="135" t="s">
        <v>3527</v>
      </c>
      <c r="E100" s="314" t="s">
        <v>3855</v>
      </c>
      <c r="F100" s="315" t="s">
        <v>3437</v>
      </c>
      <c r="G100" s="315" t="s">
        <v>3864</v>
      </c>
      <c r="H100" s="142" t="s">
        <v>3791</v>
      </c>
      <c r="I100" s="138" t="s">
        <v>3559</v>
      </c>
      <c r="J100" s="136" t="s">
        <v>778</v>
      </c>
      <c r="K100" s="13" t="s">
        <v>0</v>
      </c>
      <c r="L100" s="82" t="s">
        <v>12</v>
      </c>
      <c r="M100" s="168" t="s">
        <v>3577</v>
      </c>
      <c r="N100" s="165"/>
      <c r="O100" s="87"/>
      <c r="P100" s="49" t="s">
        <v>976</v>
      </c>
      <c r="Q100" s="13" t="s">
        <v>0</v>
      </c>
      <c r="R100" s="82" t="s">
        <v>12</v>
      </c>
      <c r="S100" s="91" t="s">
        <v>3577</v>
      </c>
      <c r="T100" s="91"/>
      <c r="U100" s="87"/>
      <c r="V100" s="52" t="s">
        <v>1175</v>
      </c>
      <c r="W100" s="13" t="s">
        <v>0</v>
      </c>
      <c r="X100" s="82" t="s">
        <v>12</v>
      </c>
      <c r="Y100" s="91" t="s">
        <v>3577</v>
      </c>
      <c r="Z100" s="91"/>
      <c r="AA100" s="87"/>
      <c r="AB100" s="19" t="s">
        <v>1374</v>
      </c>
      <c r="AC100" s="13" t="s">
        <v>0</v>
      </c>
      <c r="AD100" s="82" t="s">
        <v>12</v>
      </c>
      <c r="AE100" s="91" t="s">
        <v>3577</v>
      </c>
      <c r="AF100" s="91"/>
      <c r="AG100" s="87"/>
      <c r="AH100" s="56" t="s">
        <v>1572</v>
      </c>
      <c r="AI100" s="13" t="s">
        <v>0</v>
      </c>
      <c r="AJ100" s="82" t="s">
        <v>12</v>
      </c>
      <c r="AK100" s="91" t="s">
        <v>3577</v>
      </c>
      <c r="AL100" s="91"/>
      <c r="AM100" s="105"/>
      <c r="AN100" s="23" t="s">
        <v>1771</v>
      </c>
      <c r="AO100" s="13" t="s">
        <v>0</v>
      </c>
      <c r="AP100" s="82" t="s">
        <v>12</v>
      </c>
      <c r="AQ100" s="91" t="s">
        <v>3577</v>
      </c>
      <c r="AR100" s="91"/>
      <c r="AS100" s="87"/>
      <c r="AT100" s="21" t="s">
        <v>1968</v>
      </c>
      <c r="AU100" s="13" t="s">
        <v>0</v>
      </c>
      <c r="AV100" s="82" t="s">
        <v>12</v>
      </c>
      <c r="AW100" s="91" t="s">
        <v>3577</v>
      </c>
      <c r="AX100" s="91"/>
      <c r="AY100" s="87"/>
      <c r="AZ100" s="22" t="s">
        <v>2164</v>
      </c>
      <c r="BA100" s="13" t="s">
        <v>0</v>
      </c>
      <c r="BB100" s="82" t="s">
        <v>12</v>
      </c>
      <c r="BC100" s="91" t="s">
        <v>3577</v>
      </c>
      <c r="BD100" s="91"/>
      <c r="BE100" s="87"/>
      <c r="BF100" s="24" t="s">
        <v>2355</v>
      </c>
      <c r="BG100" s="13" t="s">
        <v>0</v>
      </c>
      <c r="BH100" s="82" t="s">
        <v>12</v>
      </c>
      <c r="BI100" s="91" t="s">
        <v>3577</v>
      </c>
      <c r="BJ100" s="91"/>
      <c r="BK100" s="87"/>
      <c r="BL100" s="27" t="s">
        <v>2547</v>
      </c>
      <c r="BM100" s="13" t="s">
        <v>0</v>
      </c>
      <c r="BN100" s="82" t="s">
        <v>12</v>
      </c>
      <c r="BO100" s="91" t="s">
        <v>3577</v>
      </c>
      <c r="BP100" s="91"/>
      <c r="BQ100" s="105"/>
      <c r="BR100" s="72" t="s">
        <v>2745</v>
      </c>
      <c r="BS100" s="13" t="s">
        <v>0</v>
      </c>
      <c r="BT100" s="82" t="s">
        <v>12</v>
      </c>
      <c r="BU100" s="91" t="s">
        <v>3577</v>
      </c>
      <c r="BV100" s="91"/>
      <c r="BW100" s="87"/>
      <c r="BX100" s="49" t="s">
        <v>2745</v>
      </c>
      <c r="BY100" s="13" t="s">
        <v>0</v>
      </c>
      <c r="BZ100" s="82" t="s">
        <v>12</v>
      </c>
      <c r="CA100" s="91" t="s">
        <v>3577</v>
      </c>
      <c r="CB100" s="91"/>
      <c r="CC100" s="87"/>
      <c r="CD100" s="52" t="s">
        <v>3095</v>
      </c>
      <c r="CE100" s="13" t="s">
        <v>0</v>
      </c>
      <c r="CF100" s="82" t="s">
        <v>12</v>
      </c>
      <c r="CG100" s="91" t="s">
        <v>3577</v>
      </c>
      <c r="CH100" s="91"/>
      <c r="CI100" s="87"/>
      <c r="CJ100" s="19" t="s">
        <v>3239</v>
      </c>
      <c r="CK100" s="13" t="s">
        <v>0</v>
      </c>
      <c r="CL100" s="82" t="s">
        <v>12</v>
      </c>
      <c r="CM100" s="91" t="s">
        <v>3577</v>
      </c>
      <c r="CN100" s="91"/>
      <c r="CO100" s="87"/>
      <c r="CP100" s="56" t="s">
        <v>3353</v>
      </c>
      <c r="CQ100" s="13" t="s">
        <v>0</v>
      </c>
      <c r="CR100" s="82" t="s">
        <v>12</v>
      </c>
      <c r="CS100" s="91" t="s">
        <v>3577</v>
      </c>
      <c r="CT100" s="91"/>
      <c r="CU100" s="105"/>
    </row>
    <row r="101" spans="1:99" ht="86" customHeight="1" thickBot="1" x14ac:dyDescent="0.4">
      <c r="A101" s="40" t="s">
        <v>165</v>
      </c>
      <c r="B101" s="40" t="s">
        <v>341</v>
      </c>
      <c r="C101" s="40" t="s">
        <v>459</v>
      </c>
      <c r="D101" s="135" t="s">
        <v>3735</v>
      </c>
      <c r="E101" s="314" t="s">
        <v>3855</v>
      </c>
      <c r="F101" s="315" t="s">
        <v>3376</v>
      </c>
      <c r="G101" s="315" t="s">
        <v>3856</v>
      </c>
      <c r="H101" s="142" t="s">
        <v>3736</v>
      </c>
      <c r="I101" s="138" t="s">
        <v>3559</v>
      </c>
      <c r="J101" s="136" t="s">
        <v>722</v>
      </c>
      <c r="K101" s="13" t="s">
        <v>6</v>
      </c>
      <c r="L101" s="82" t="s">
        <v>8</v>
      </c>
      <c r="M101" s="151" t="s">
        <v>3576</v>
      </c>
      <c r="N101" s="91"/>
      <c r="O101" s="87"/>
      <c r="P101" s="49" t="s">
        <v>921</v>
      </c>
      <c r="Q101" s="13" t="s">
        <v>6</v>
      </c>
      <c r="R101" s="82" t="s">
        <v>8</v>
      </c>
      <c r="S101" s="91" t="s">
        <v>3576</v>
      </c>
      <c r="T101" s="91"/>
      <c r="U101" s="87"/>
      <c r="V101" s="52" t="s">
        <v>1120</v>
      </c>
      <c r="W101" s="13" t="s">
        <v>6</v>
      </c>
      <c r="X101" s="82" t="s">
        <v>8</v>
      </c>
      <c r="Y101" s="91" t="s">
        <v>3576</v>
      </c>
      <c r="Z101" s="91"/>
      <c r="AA101" s="87"/>
      <c r="AB101" s="19" t="s">
        <v>3737</v>
      </c>
      <c r="AC101" s="13" t="s">
        <v>6</v>
      </c>
      <c r="AD101" s="82" t="s">
        <v>8</v>
      </c>
      <c r="AE101" s="91" t="s">
        <v>3576</v>
      </c>
      <c r="AF101" s="91"/>
      <c r="AG101" s="87"/>
      <c r="AH101" s="56" t="s">
        <v>1516</v>
      </c>
      <c r="AI101" s="13" t="s">
        <v>6</v>
      </c>
      <c r="AJ101" s="82" t="s">
        <v>8</v>
      </c>
      <c r="AK101" s="91" t="s">
        <v>3576</v>
      </c>
      <c r="AL101" s="91"/>
      <c r="AM101" s="350"/>
      <c r="AN101" s="23" t="s">
        <v>1715</v>
      </c>
      <c r="AO101" s="13" t="s">
        <v>6</v>
      </c>
      <c r="AP101" s="82" t="s">
        <v>8</v>
      </c>
      <c r="AQ101" s="91" t="s">
        <v>3576</v>
      </c>
      <c r="AR101" s="91"/>
      <c r="AS101" s="87"/>
      <c r="AT101" s="21" t="s">
        <v>1914</v>
      </c>
      <c r="AU101" s="13" t="s">
        <v>6</v>
      </c>
      <c r="AV101" s="82" t="s">
        <v>8</v>
      </c>
      <c r="AW101" s="91" t="s">
        <v>3576</v>
      </c>
      <c r="AX101" s="91"/>
      <c r="AY101" s="87"/>
      <c r="AZ101" s="22" t="s">
        <v>2109</v>
      </c>
      <c r="BA101" s="13" t="s">
        <v>6</v>
      </c>
      <c r="BB101" s="82" t="s">
        <v>8</v>
      </c>
      <c r="BC101" s="91" t="s">
        <v>3576</v>
      </c>
      <c r="BD101" s="91"/>
      <c r="BE101" s="87"/>
      <c r="BF101" s="24" t="s">
        <v>2301</v>
      </c>
      <c r="BG101" s="13" t="s">
        <v>0</v>
      </c>
      <c r="BH101" s="82" t="s">
        <v>12</v>
      </c>
      <c r="BI101" s="91" t="s">
        <v>3577</v>
      </c>
      <c r="BJ101" s="91"/>
      <c r="BK101" s="87"/>
      <c r="BL101" s="27" t="s">
        <v>2491</v>
      </c>
      <c r="BM101" s="13" t="s">
        <v>0</v>
      </c>
      <c r="BN101" s="82" t="s">
        <v>12</v>
      </c>
      <c r="BO101" s="91" t="s">
        <v>3577</v>
      </c>
      <c r="BP101" s="91"/>
      <c r="BQ101" s="105"/>
      <c r="BR101" s="72" t="s">
        <v>2689</v>
      </c>
      <c r="BS101" s="13" t="s">
        <v>6</v>
      </c>
      <c r="BT101" s="82" t="s">
        <v>8</v>
      </c>
      <c r="BU101" s="91" t="s">
        <v>3576</v>
      </c>
      <c r="BV101" s="91"/>
      <c r="BW101" s="87"/>
      <c r="BX101" s="49" t="s">
        <v>2876</v>
      </c>
      <c r="BY101" s="13" t="s">
        <v>15</v>
      </c>
      <c r="BZ101" s="82" t="s">
        <v>19</v>
      </c>
      <c r="CA101" s="91" t="s">
        <v>3576</v>
      </c>
      <c r="CB101" s="91"/>
      <c r="CC101" s="87"/>
      <c r="CD101" s="52" t="s">
        <v>3049</v>
      </c>
      <c r="CE101" s="13" t="s">
        <v>15</v>
      </c>
      <c r="CF101" s="82" t="s">
        <v>19</v>
      </c>
      <c r="CG101" s="91" t="s">
        <v>3576</v>
      </c>
      <c r="CH101" s="91"/>
      <c r="CI101" s="87"/>
      <c r="CJ101" s="19" t="s">
        <v>3199</v>
      </c>
      <c r="CK101" s="13" t="s">
        <v>6</v>
      </c>
      <c r="CL101" s="82" t="s">
        <v>8</v>
      </c>
      <c r="CM101" s="91" t="s">
        <v>3576</v>
      </c>
      <c r="CN101" s="91"/>
      <c r="CO101" s="87"/>
      <c r="CP101" s="56" t="s">
        <v>3326</v>
      </c>
      <c r="CQ101" s="13" t="s">
        <v>6</v>
      </c>
      <c r="CR101" s="82" t="s">
        <v>8</v>
      </c>
      <c r="CS101" s="91" t="s">
        <v>3576</v>
      </c>
      <c r="CT101" s="91"/>
      <c r="CU101" s="105"/>
    </row>
    <row r="102" spans="1:99" ht="94.5" customHeight="1" thickBot="1" x14ac:dyDescent="0.4">
      <c r="A102" s="40" t="s">
        <v>74</v>
      </c>
      <c r="B102" s="40" t="s">
        <v>235</v>
      </c>
      <c r="C102" s="40" t="s">
        <v>434</v>
      </c>
      <c r="D102" s="135" t="s">
        <v>3561</v>
      </c>
      <c r="E102" s="314" t="s">
        <v>3855</v>
      </c>
      <c r="F102" s="315" t="s">
        <v>3371</v>
      </c>
      <c r="G102" s="315" t="s">
        <v>3859</v>
      </c>
      <c r="H102" s="142" t="s">
        <v>3587</v>
      </c>
      <c r="I102" s="138" t="s">
        <v>3559</v>
      </c>
      <c r="J102" s="136" t="s">
        <v>614</v>
      </c>
      <c r="K102" s="13" t="s">
        <v>15</v>
      </c>
      <c r="L102" s="82" t="s">
        <v>9</v>
      </c>
      <c r="M102" s="146" t="s">
        <v>3576</v>
      </c>
      <c r="N102" s="91"/>
      <c r="O102" s="351" t="s">
        <v>3830</v>
      </c>
      <c r="P102" s="49" t="s">
        <v>3560</v>
      </c>
      <c r="Q102" s="13" t="s">
        <v>15</v>
      </c>
      <c r="R102" s="82" t="s">
        <v>9</v>
      </c>
      <c r="S102" s="91" t="s">
        <v>3576</v>
      </c>
      <c r="T102" s="91"/>
      <c r="U102" s="350" t="s">
        <v>3831</v>
      </c>
      <c r="V102" s="52" t="s">
        <v>1012</v>
      </c>
      <c r="W102" s="13" t="s">
        <v>15</v>
      </c>
      <c r="X102" s="82" t="s">
        <v>20</v>
      </c>
      <c r="Y102" s="91" t="s">
        <v>3576</v>
      </c>
      <c r="Z102" s="91"/>
      <c r="AA102" s="87"/>
      <c r="AB102" s="19" t="s">
        <v>1212</v>
      </c>
      <c r="AC102" s="13" t="s">
        <v>15</v>
      </c>
      <c r="AD102" s="82" t="s">
        <v>20</v>
      </c>
      <c r="AE102" s="91" t="s">
        <v>3576</v>
      </c>
      <c r="AF102" s="91"/>
      <c r="AG102" s="87"/>
      <c r="AH102" s="56" t="s">
        <v>1411</v>
      </c>
      <c r="AI102" s="13" t="s">
        <v>15</v>
      </c>
      <c r="AJ102" s="82" t="s">
        <v>9</v>
      </c>
      <c r="AK102" s="91" t="s">
        <v>3576</v>
      </c>
      <c r="AL102" s="91"/>
      <c r="AM102" s="105" t="s">
        <v>3832</v>
      </c>
      <c r="AN102" s="23" t="s">
        <v>1609</v>
      </c>
      <c r="AO102" s="13" t="s">
        <v>15</v>
      </c>
      <c r="AP102" s="82" t="s">
        <v>9</v>
      </c>
      <c r="AQ102" s="91" t="s">
        <v>3576</v>
      </c>
      <c r="AR102" s="91"/>
      <c r="AS102" s="87" t="s">
        <v>3833</v>
      </c>
      <c r="AT102" s="21" t="s">
        <v>1808</v>
      </c>
      <c r="AU102" s="13" t="s">
        <v>15</v>
      </c>
      <c r="AV102" s="82" t="s">
        <v>9</v>
      </c>
      <c r="AW102" s="91" t="s">
        <v>3576</v>
      </c>
      <c r="AX102" s="91"/>
      <c r="AY102" s="349" t="s">
        <v>3834</v>
      </c>
      <c r="AZ102" s="22" t="s">
        <v>2005</v>
      </c>
      <c r="BA102" s="13" t="s">
        <v>15</v>
      </c>
      <c r="BB102" s="82" t="s">
        <v>9</v>
      </c>
      <c r="BC102" s="91" t="s">
        <v>3576</v>
      </c>
      <c r="BD102" s="91"/>
      <c r="BE102" s="87"/>
      <c r="BF102" s="24" t="s">
        <v>2201</v>
      </c>
      <c r="BG102" s="13" t="s">
        <v>15</v>
      </c>
      <c r="BH102" s="82" t="s">
        <v>19</v>
      </c>
      <c r="BI102" s="91" t="s">
        <v>3577</v>
      </c>
      <c r="BJ102" s="91"/>
      <c r="BK102" s="87"/>
      <c r="BL102" s="27" t="s">
        <v>2389</v>
      </c>
      <c r="BM102" s="13" t="s">
        <v>0</v>
      </c>
      <c r="BN102" s="82" t="s">
        <v>12</v>
      </c>
      <c r="BO102" s="91" t="s">
        <v>3576</v>
      </c>
      <c r="BP102" s="91"/>
      <c r="BQ102" s="350"/>
      <c r="BR102" s="72" t="s">
        <v>2588</v>
      </c>
      <c r="BS102" s="13" t="s">
        <v>15</v>
      </c>
      <c r="BT102" s="82" t="s">
        <v>9</v>
      </c>
      <c r="BU102" s="91" t="s">
        <v>3576</v>
      </c>
      <c r="BV102" s="91"/>
      <c r="BW102" s="87"/>
      <c r="BX102" s="49" t="s">
        <v>2780</v>
      </c>
      <c r="BY102" s="13" t="s">
        <v>15</v>
      </c>
      <c r="BZ102" s="82" t="s">
        <v>9</v>
      </c>
      <c r="CA102" s="91" t="s">
        <v>3576</v>
      </c>
      <c r="CB102" s="91"/>
      <c r="CC102" s="264"/>
      <c r="CD102" s="52" t="s">
        <v>2954</v>
      </c>
      <c r="CE102" s="13" t="s">
        <v>15</v>
      </c>
      <c r="CF102" s="82" t="s">
        <v>9</v>
      </c>
      <c r="CG102" s="91" t="s">
        <v>3576</v>
      </c>
      <c r="CH102" s="91"/>
      <c r="CI102" s="87"/>
      <c r="CJ102" s="19" t="s">
        <v>2588</v>
      </c>
      <c r="CK102" s="13" t="s">
        <v>15</v>
      </c>
      <c r="CL102" s="82" t="s">
        <v>9</v>
      </c>
      <c r="CM102" s="91" t="s">
        <v>3576</v>
      </c>
      <c r="CN102" s="91"/>
      <c r="CO102" s="87"/>
      <c r="CP102" s="56" t="s">
        <v>2588</v>
      </c>
      <c r="CQ102" s="13" t="s">
        <v>15</v>
      </c>
      <c r="CR102" s="82" t="s">
        <v>9</v>
      </c>
      <c r="CS102" s="91" t="s">
        <v>3576</v>
      </c>
      <c r="CT102" s="91"/>
      <c r="CU102" s="105"/>
    </row>
    <row r="103" spans="1:99" ht="42" customHeight="1" thickBot="1" x14ac:dyDescent="0.4">
      <c r="A103" s="40" t="s">
        <v>181</v>
      </c>
      <c r="B103" s="40" t="s">
        <v>360</v>
      </c>
      <c r="C103" s="40" t="s">
        <v>551</v>
      </c>
      <c r="D103" s="135" t="s">
        <v>3499</v>
      </c>
      <c r="E103" s="314" t="s">
        <v>3855</v>
      </c>
      <c r="F103" s="315" t="s">
        <v>3376</v>
      </c>
      <c r="G103" s="315" t="s">
        <v>3856</v>
      </c>
      <c r="H103" s="142" t="s">
        <v>3755</v>
      </c>
      <c r="I103" s="138" t="s">
        <v>3559</v>
      </c>
      <c r="J103" s="136" t="s">
        <v>741</v>
      </c>
      <c r="K103" s="13" t="s">
        <v>15</v>
      </c>
      <c r="L103" s="82" t="s">
        <v>4</v>
      </c>
      <c r="M103" s="146" t="s">
        <v>3576</v>
      </c>
      <c r="N103" s="91"/>
      <c r="O103" s="87" t="s">
        <v>3827</v>
      </c>
      <c r="P103" s="49" t="s">
        <v>940</v>
      </c>
      <c r="Q103" s="13" t="s">
        <v>15</v>
      </c>
      <c r="R103" s="82" t="s">
        <v>4</v>
      </c>
      <c r="S103" s="91" t="s">
        <v>3576</v>
      </c>
      <c r="T103" s="91"/>
      <c r="U103" s="87"/>
      <c r="V103" s="52" t="s">
        <v>1138</v>
      </c>
      <c r="W103" s="13" t="s">
        <v>15</v>
      </c>
      <c r="X103" s="82" t="s">
        <v>20</v>
      </c>
      <c r="Y103" s="91" t="s">
        <v>3576</v>
      </c>
      <c r="Z103" s="91"/>
      <c r="AA103" s="87"/>
      <c r="AB103" s="19" t="s">
        <v>1337</v>
      </c>
      <c r="AC103" s="13" t="s">
        <v>15</v>
      </c>
      <c r="AD103" s="82" t="s">
        <v>4</v>
      </c>
      <c r="AE103" s="91" t="s">
        <v>3576</v>
      </c>
      <c r="AF103" s="91"/>
      <c r="AG103" s="87"/>
      <c r="AH103" s="56" t="s">
        <v>1535</v>
      </c>
      <c r="AI103" s="13" t="s">
        <v>15</v>
      </c>
      <c r="AJ103" s="82" t="s">
        <v>4</v>
      </c>
      <c r="AK103" s="91" t="s">
        <v>3576</v>
      </c>
      <c r="AL103" s="91"/>
      <c r="AM103" s="105"/>
      <c r="AN103" s="23" t="s">
        <v>1734</v>
      </c>
      <c r="AO103" s="13" t="s">
        <v>15</v>
      </c>
      <c r="AP103" s="82" t="s">
        <v>4</v>
      </c>
      <c r="AQ103" s="91" t="s">
        <v>3576</v>
      </c>
      <c r="AR103" s="91"/>
      <c r="AS103" s="87"/>
      <c r="AT103" s="21" t="s">
        <v>1932</v>
      </c>
      <c r="AU103" s="13" t="s">
        <v>15</v>
      </c>
      <c r="AV103" s="82" t="s">
        <v>4</v>
      </c>
      <c r="AW103" s="91" t="s">
        <v>3576</v>
      </c>
      <c r="AX103" s="91"/>
      <c r="AY103" s="87"/>
      <c r="AZ103" s="22" t="s">
        <v>2128</v>
      </c>
      <c r="BA103" s="13" t="s">
        <v>15</v>
      </c>
      <c r="BB103" s="82" t="s">
        <v>20</v>
      </c>
      <c r="BC103" s="91" t="s">
        <v>3577</v>
      </c>
      <c r="BD103" s="91"/>
      <c r="BE103" s="87"/>
      <c r="BF103" s="24" t="s">
        <v>2319</v>
      </c>
      <c r="BG103" s="13" t="s">
        <v>15</v>
      </c>
      <c r="BH103" s="82" t="s">
        <v>4</v>
      </c>
      <c r="BI103" s="91" t="s">
        <v>3576</v>
      </c>
      <c r="BJ103" s="91"/>
      <c r="BK103" s="87"/>
      <c r="BL103" s="27" t="s">
        <v>2510</v>
      </c>
      <c r="BM103" s="13" t="s">
        <v>15</v>
      </c>
      <c r="BN103" s="82" t="s">
        <v>20</v>
      </c>
      <c r="BO103" s="91" t="s">
        <v>3577</v>
      </c>
      <c r="BP103" s="91"/>
      <c r="BQ103" s="105"/>
      <c r="BR103" s="72" t="s">
        <v>2708</v>
      </c>
      <c r="BS103" s="13" t="s">
        <v>15</v>
      </c>
      <c r="BT103" s="82" t="s">
        <v>4</v>
      </c>
      <c r="BU103" s="91" t="s">
        <v>3576</v>
      </c>
      <c r="BV103" s="91"/>
      <c r="BW103" s="87"/>
      <c r="BX103" s="49" t="s">
        <v>2891</v>
      </c>
      <c r="BY103" s="13" t="s">
        <v>15</v>
      </c>
      <c r="BZ103" s="82" t="s">
        <v>4</v>
      </c>
      <c r="CA103" s="91" t="s">
        <v>3576</v>
      </c>
      <c r="CB103" s="91"/>
      <c r="CC103" s="87"/>
      <c r="CD103" s="52" t="s">
        <v>3063</v>
      </c>
      <c r="CE103" s="13" t="s">
        <v>15</v>
      </c>
      <c r="CF103" s="82" t="s">
        <v>4</v>
      </c>
      <c r="CG103" s="91" t="s">
        <v>3576</v>
      </c>
      <c r="CH103" s="91"/>
      <c r="CI103" s="87"/>
      <c r="CJ103" s="19" t="s">
        <v>3212</v>
      </c>
      <c r="CK103" s="13" t="s">
        <v>15</v>
      </c>
      <c r="CL103" s="82" t="s">
        <v>4</v>
      </c>
      <c r="CM103" s="91" t="s">
        <v>3576</v>
      </c>
      <c r="CN103" s="91"/>
      <c r="CO103" s="87"/>
      <c r="CP103" s="56" t="s">
        <v>3335</v>
      </c>
      <c r="CQ103" s="13" t="s">
        <v>15</v>
      </c>
      <c r="CR103" s="82" t="s">
        <v>4</v>
      </c>
      <c r="CS103" s="91" t="s">
        <v>3576</v>
      </c>
      <c r="CT103" s="91"/>
      <c r="CU103" s="105"/>
    </row>
    <row r="104" spans="1:99" ht="86" customHeight="1" thickBot="1" x14ac:dyDescent="0.4">
      <c r="A104" s="40" t="s">
        <v>136</v>
      </c>
      <c r="B104" s="40" t="s">
        <v>299</v>
      </c>
      <c r="C104" s="40" t="s">
        <v>499</v>
      </c>
      <c r="D104" s="137" t="s">
        <v>299</v>
      </c>
      <c r="E104" s="320" t="s">
        <v>3866</v>
      </c>
      <c r="F104" s="321" t="s">
        <v>3440</v>
      </c>
      <c r="G104" s="322" t="s">
        <v>3868</v>
      </c>
      <c r="H104" s="142"/>
      <c r="I104" s="138"/>
      <c r="J104" s="136" t="s">
        <v>680</v>
      </c>
      <c r="K104" s="13" t="s">
        <v>0</v>
      </c>
      <c r="L104" s="82" t="s">
        <v>12</v>
      </c>
      <c r="M104" s="146" t="s">
        <v>3577</v>
      </c>
      <c r="N104" s="91"/>
      <c r="O104" s="87"/>
      <c r="P104" s="49" t="s">
        <v>879</v>
      </c>
      <c r="Q104" s="13" t="s">
        <v>0</v>
      </c>
      <c r="R104" s="82" t="s">
        <v>12</v>
      </c>
      <c r="S104" s="91" t="s">
        <v>3577</v>
      </c>
      <c r="T104" s="91"/>
      <c r="U104" s="87"/>
      <c r="V104" s="52" t="s">
        <v>1078</v>
      </c>
      <c r="W104" s="13" t="s">
        <v>0</v>
      </c>
      <c r="X104" s="82" t="s">
        <v>12</v>
      </c>
      <c r="Y104" s="91" t="s">
        <v>3577</v>
      </c>
      <c r="Z104" s="91"/>
      <c r="AA104" s="87"/>
      <c r="AB104" s="19" t="s">
        <v>1279</v>
      </c>
      <c r="AC104" s="13" t="s">
        <v>0</v>
      </c>
      <c r="AD104" s="82" t="s">
        <v>12</v>
      </c>
      <c r="AE104" s="91" t="s">
        <v>3577</v>
      </c>
      <c r="AF104" s="91"/>
      <c r="AG104" s="87"/>
      <c r="AH104" s="56" t="s">
        <v>1475</v>
      </c>
      <c r="AI104" s="13" t="s">
        <v>0</v>
      </c>
      <c r="AJ104" s="82" t="s">
        <v>12</v>
      </c>
      <c r="AK104" s="91" t="s">
        <v>3577</v>
      </c>
      <c r="AL104" s="91"/>
      <c r="AM104" s="105"/>
      <c r="AN104" s="23" t="s">
        <v>1675</v>
      </c>
      <c r="AO104" s="13" t="s">
        <v>0</v>
      </c>
      <c r="AP104" s="82" t="s">
        <v>12</v>
      </c>
      <c r="AQ104" s="91" t="s">
        <v>3577</v>
      </c>
      <c r="AR104" s="91"/>
      <c r="AS104" s="87"/>
      <c r="AT104" s="21" t="s">
        <v>1872</v>
      </c>
      <c r="AU104" s="13" t="s">
        <v>0</v>
      </c>
      <c r="AV104" s="82" t="s">
        <v>12</v>
      </c>
      <c r="AW104" s="91" t="s">
        <v>3577</v>
      </c>
      <c r="AX104" s="91"/>
      <c r="AY104" s="87"/>
      <c r="AZ104" s="22" t="s">
        <v>2069</v>
      </c>
      <c r="BA104" s="13" t="s">
        <v>0</v>
      </c>
      <c r="BB104" s="82" t="s">
        <v>12</v>
      </c>
      <c r="BC104" s="91" t="s">
        <v>3577</v>
      </c>
      <c r="BD104" s="91"/>
      <c r="BE104" s="87"/>
      <c r="BF104" s="24" t="s">
        <v>2264</v>
      </c>
      <c r="BG104" s="13" t="s">
        <v>0</v>
      </c>
      <c r="BH104" s="82" t="s">
        <v>12</v>
      </c>
      <c r="BI104" s="91" t="s">
        <v>3577</v>
      </c>
      <c r="BJ104" s="91"/>
      <c r="BK104" s="87"/>
      <c r="BL104" s="27" t="s">
        <v>2451</v>
      </c>
      <c r="BM104" s="13" t="s">
        <v>0</v>
      </c>
      <c r="BN104" s="82" t="s">
        <v>12</v>
      </c>
      <c r="BO104" s="91" t="s">
        <v>3577</v>
      </c>
      <c r="BP104" s="91"/>
      <c r="BQ104" s="105"/>
      <c r="BR104" s="72" t="s">
        <v>2649</v>
      </c>
      <c r="BS104" s="13" t="s">
        <v>0</v>
      </c>
      <c r="BT104" s="82" t="s">
        <v>12</v>
      </c>
      <c r="BU104" s="91" t="s">
        <v>3577</v>
      </c>
      <c r="BV104" s="91"/>
      <c r="BW104" s="87"/>
      <c r="BX104" s="49" t="s">
        <v>2839</v>
      </c>
      <c r="BY104" s="13" t="s">
        <v>0</v>
      </c>
      <c r="BZ104" s="82" t="s">
        <v>12</v>
      </c>
      <c r="CA104" s="91" t="s">
        <v>3577</v>
      </c>
      <c r="CB104" s="91"/>
      <c r="CC104" s="264"/>
      <c r="CD104" s="52" t="s">
        <v>2839</v>
      </c>
      <c r="CE104" s="13" t="s">
        <v>0</v>
      </c>
      <c r="CF104" s="82" t="s">
        <v>12</v>
      </c>
      <c r="CG104" s="91" t="s">
        <v>3577</v>
      </c>
      <c r="CH104" s="91"/>
      <c r="CI104" s="87"/>
      <c r="CJ104" s="19" t="s">
        <v>2839</v>
      </c>
      <c r="CK104" s="13" t="s">
        <v>0</v>
      </c>
      <c r="CL104" s="82" t="s">
        <v>12</v>
      </c>
      <c r="CM104" s="91" t="s">
        <v>3577</v>
      </c>
      <c r="CN104" s="91"/>
      <c r="CO104" s="87"/>
      <c r="CP104" s="56" t="s">
        <v>3301</v>
      </c>
      <c r="CQ104" s="13" t="s">
        <v>0</v>
      </c>
      <c r="CR104" s="82" t="s">
        <v>12</v>
      </c>
      <c r="CS104" s="91" t="s">
        <v>3577</v>
      </c>
      <c r="CT104" s="91"/>
      <c r="CU104" s="105"/>
    </row>
    <row r="105" spans="1:99" ht="69.5" customHeight="1" thickBot="1" x14ac:dyDescent="0.4">
      <c r="A105" s="40" t="s">
        <v>135</v>
      </c>
      <c r="B105" s="40" t="s">
        <v>298</v>
      </c>
      <c r="C105" s="40" t="s">
        <v>498</v>
      </c>
      <c r="D105" s="135" t="s">
        <v>3446</v>
      </c>
      <c r="E105" s="314" t="s">
        <v>3855</v>
      </c>
      <c r="F105" s="315" t="s">
        <v>3445</v>
      </c>
      <c r="G105" s="315" t="s">
        <v>3860</v>
      </c>
      <c r="H105" s="142" t="s">
        <v>3661</v>
      </c>
      <c r="I105" s="138" t="s">
        <v>3568</v>
      </c>
      <c r="J105" s="136" t="s">
        <v>679</v>
      </c>
      <c r="K105" s="13" t="s">
        <v>0</v>
      </c>
      <c r="L105" s="82" t="s">
        <v>7</v>
      </c>
      <c r="M105" s="146" t="s">
        <v>3576</v>
      </c>
      <c r="N105" s="91"/>
      <c r="O105" s="87" t="s">
        <v>3842</v>
      </c>
      <c r="P105" s="49" t="s">
        <v>878</v>
      </c>
      <c r="Q105" s="13" t="s">
        <v>0</v>
      </c>
      <c r="R105" s="82" t="s">
        <v>12</v>
      </c>
      <c r="S105" s="91" t="s">
        <v>3577</v>
      </c>
      <c r="T105" s="91"/>
      <c r="U105" s="87"/>
      <c r="V105" s="52" t="s">
        <v>1077</v>
      </c>
      <c r="W105" s="13" t="s">
        <v>0</v>
      </c>
      <c r="X105" s="82" t="s">
        <v>12</v>
      </c>
      <c r="Y105" s="91" t="s">
        <v>3577</v>
      </c>
      <c r="Z105" s="91"/>
      <c r="AA105" s="87"/>
      <c r="AB105" s="19" t="s">
        <v>1278</v>
      </c>
      <c r="AC105" s="13" t="s">
        <v>0</v>
      </c>
      <c r="AD105" s="82" t="s">
        <v>7</v>
      </c>
      <c r="AE105" s="91" t="s">
        <v>3576</v>
      </c>
      <c r="AF105" s="91"/>
      <c r="AG105" s="87"/>
      <c r="AH105" s="56" t="s">
        <v>1474</v>
      </c>
      <c r="AI105" s="13" t="s">
        <v>0</v>
      </c>
      <c r="AJ105" s="82" t="s">
        <v>7</v>
      </c>
      <c r="AK105" s="91" t="s">
        <v>3576</v>
      </c>
      <c r="AL105" s="91"/>
      <c r="AM105" s="105"/>
      <c r="AN105" s="23" t="s">
        <v>1674</v>
      </c>
      <c r="AO105" s="13" t="s">
        <v>0</v>
      </c>
      <c r="AP105" s="82" t="s">
        <v>12</v>
      </c>
      <c r="AQ105" s="91" t="s">
        <v>3577</v>
      </c>
      <c r="AR105" s="91"/>
      <c r="AS105" s="87"/>
      <c r="AT105" s="21" t="s">
        <v>1871</v>
      </c>
      <c r="AU105" s="13" t="s">
        <v>0</v>
      </c>
      <c r="AV105" s="82" t="s">
        <v>12</v>
      </c>
      <c r="AW105" s="91" t="s">
        <v>3577</v>
      </c>
      <c r="AX105" s="91"/>
      <c r="AY105" s="87"/>
      <c r="AZ105" s="22" t="s">
        <v>2068</v>
      </c>
      <c r="BA105" s="13" t="s">
        <v>0</v>
      </c>
      <c r="BB105" s="82" t="s">
        <v>7</v>
      </c>
      <c r="BC105" s="91" t="s">
        <v>3576</v>
      </c>
      <c r="BD105" s="91"/>
      <c r="BE105" s="87"/>
      <c r="BF105" s="24" t="s">
        <v>2263</v>
      </c>
      <c r="BG105" s="13" t="s">
        <v>0</v>
      </c>
      <c r="BH105" s="82" t="s">
        <v>12</v>
      </c>
      <c r="BI105" s="91" t="s">
        <v>3577</v>
      </c>
      <c r="BJ105" s="91"/>
      <c r="BK105" s="87"/>
      <c r="BL105" s="27" t="s">
        <v>2450</v>
      </c>
      <c r="BM105" s="13" t="s">
        <v>0</v>
      </c>
      <c r="BN105" s="82" t="s">
        <v>12</v>
      </c>
      <c r="BO105" s="91" t="s">
        <v>3577</v>
      </c>
      <c r="BP105" s="91"/>
      <c r="BQ105" s="105"/>
      <c r="BR105" s="72" t="s">
        <v>2648</v>
      </c>
      <c r="BS105" s="13" t="s">
        <v>0</v>
      </c>
      <c r="BT105" s="82" t="s">
        <v>12</v>
      </c>
      <c r="BU105" s="91" t="s">
        <v>3577</v>
      </c>
      <c r="BV105" s="91"/>
      <c r="BW105" s="87"/>
      <c r="BX105" s="49" t="s">
        <v>2648</v>
      </c>
      <c r="BY105" s="13" t="s">
        <v>0</v>
      </c>
      <c r="BZ105" s="82" t="s">
        <v>12</v>
      </c>
      <c r="CA105" s="91" t="s">
        <v>3577</v>
      </c>
      <c r="CB105" s="91"/>
      <c r="CC105" s="264"/>
      <c r="CD105" s="52" t="s">
        <v>3013</v>
      </c>
      <c r="CE105" s="13" t="s">
        <v>0</v>
      </c>
      <c r="CF105" s="82" t="s">
        <v>12</v>
      </c>
      <c r="CG105" s="91" t="s">
        <v>3577</v>
      </c>
      <c r="CH105" s="91"/>
      <c r="CI105" s="87"/>
      <c r="CJ105" s="19" t="s">
        <v>3173</v>
      </c>
      <c r="CK105" s="13" t="s">
        <v>0</v>
      </c>
      <c r="CL105" s="82" t="s">
        <v>12</v>
      </c>
      <c r="CM105" s="91" t="s">
        <v>3577</v>
      </c>
      <c r="CN105" s="91"/>
      <c r="CO105" s="87"/>
      <c r="CP105" s="56" t="s">
        <v>3300</v>
      </c>
      <c r="CQ105" s="13" t="s">
        <v>0</v>
      </c>
      <c r="CR105" s="82" t="s">
        <v>12</v>
      </c>
      <c r="CS105" s="91" t="s">
        <v>3577</v>
      </c>
      <c r="CT105" s="91"/>
      <c r="CU105" s="105"/>
    </row>
    <row r="106" spans="1:99" ht="67" customHeight="1" thickBot="1" x14ac:dyDescent="0.4">
      <c r="A106" s="40" t="s">
        <v>195</v>
      </c>
      <c r="B106" s="40" t="s">
        <v>381</v>
      </c>
      <c r="C106" s="40" t="s">
        <v>517</v>
      </c>
      <c r="D106" s="135" t="s">
        <v>3515</v>
      </c>
      <c r="E106" s="314" t="s">
        <v>3855</v>
      </c>
      <c r="F106" s="315" t="s">
        <v>3437</v>
      </c>
      <c r="G106" s="315" t="s">
        <v>3864</v>
      </c>
      <c r="H106" s="142" t="s">
        <v>3776</v>
      </c>
      <c r="I106" s="138" t="s">
        <v>3777</v>
      </c>
      <c r="J106" s="136" t="s">
        <v>762</v>
      </c>
      <c r="K106" s="13" t="s">
        <v>15</v>
      </c>
      <c r="L106" s="82" t="s">
        <v>9</v>
      </c>
      <c r="M106" s="146" t="s">
        <v>3576</v>
      </c>
      <c r="N106" s="91"/>
      <c r="O106" s="87"/>
      <c r="P106" s="49" t="s">
        <v>961</v>
      </c>
      <c r="Q106" s="13" t="s">
        <v>15</v>
      </c>
      <c r="R106" s="82" t="s">
        <v>9</v>
      </c>
      <c r="S106" s="91" t="s">
        <v>3576</v>
      </c>
      <c r="T106" s="91"/>
      <c r="U106" s="87"/>
      <c r="V106" s="52" t="s">
        <v>1159</v>
      </c>
      <c r="W106" s="13" t="s">
        <v>15</v>
      </c>
      <c r="X106" s="82" t="s">
        <v>9</v>
      </c>
      <c r="Y106" s="91" t="s">
        <v>3576</v>
      </c>
      <c r="Z106" s="91"/>
      <c r="AA106" s="87"/>
      <c r="AB106" s="19" t="s">
        <v>1358</v>
      </c>
      <c r="AC106" s="13" t="s">
        <v>15</v>
      </c>
      <c r="AD106" s="82" t="s">
        <v>9</v>
      </c>
      <c r="AE106" s="91" t="s">
        <v>3576</v>
      </c>
      <c r="AF106" s="91"/>
      <c r="AG106" s="87"/>
      <c r="AH106" s="56" t="s">
        <v>1556</v>
      </c>
      <c r="AI106" s="13" t="s">
        <v>6</v>
      </c>
      <c r="AJ106" s="82" t="s">
        <v>8</v>
      </c>
      <c r="AK106" s="91" t="s">
        <v>3576</v>
      </c>
      <c r="AL106" s="91"/>
      <c r="AM106" s="105"/>
      <c r="AN106" s="23" t="s">
        <v>1755</v>
      </c>
      <c r="AO106" s="13" t="s">
        <v>0</v>
      </c>
      <c r="AP106" s="82" t="s">
        <v>1</v>
      </c>
      <c r="AQ106" s="91" t="s">
        <v>3577</v>
      </c>
      <c r="AR106" s="91"/>
      <c r="AS106" s="87"/>
      <c r="AT106" s="21" t="s">
        <v>1952</v>
      </c>
      <c r="AU106" s="13" t="s">
        <v>0</v>
      </c>
      <c r="AV106" s="82" t="s">
        <v>1</v>
      </c>
      <c r="AW106" s="91" t="s">
        <v>3577</v>
      </c>
      <c r="AX106" s="91"/>
      <c r="AY106" s="87"/>
      <c r="AZ106" s="22" t="s">
        <v>2148</v>
      </c>
      <c r="BA106" s="13" t="s">
        <v>0</v>
      </c>
      <c r="BB106" s="82" t="s">
        <v>1</v>
      </c>
      <c r="BC106" s="91" t="s">
        <v>3577</v>
      </c>
      <c r="BD106" s="91"/>
      <c r="BE106" s="87"/>
      <c r="BF106" s="24" t="s">
        <v>2339</v>
      </c>
      <c r="BG106" s="13" t="s">
        <v>0</v>
      </c>
      <c r="BH106" s="82" t="s">
        <v>1</v>
      </c>
      <c r="BI106" s="91" t="s">
        <v>3577</v>
      </c>
      <c r="BJ106" s="91"/>
      <c r="BK106" s="87"/>
      <c r="BL106" s="27" t="s">
        <v>2531</v>
      </c>
      <c r="BM106" s="13" t="s">
        <v>0</v>
      </c>
      <c r="BN106" s="82" t="s">
        <v>1</v>
      </c>
      <c r="BO106" s="91" t="s">
        <v>3577</v>
      </c>
      <c r="BP106" s="91"/>
      <c r="BQ106" s="105"/>
      <c r="BR106" s="72" t="s">
        <v>2729</v>
      </c>
      <c r="BS106" s="13" t="s">
        <v>0</v>
      </c>
      <c r="BT106" s="82" t="s">
        <v>1</v>
      </c>
      <c r="BU106" s="91" t="s">
        <v>3577</v>
      </c>
      <c r="BV106" s="91"/>
      <c r="BW106" s="87"/>
      <c r="BX106" s="49" t="s">
        <v>2729</v>
      </c>
      <c r="BY106" s="13" t="s">
        <v>0</v>
      </c>
      <c r="BZ106" s="82" t="s">
        <v>1</v>
      </c>
      <c r="CA106" s="91" t="s">
        <v>3577</v>
      </c>
      <c r="CB106" s="91"/>
      <c r="CC106" s="87"/>
      <c r="CD106" s="52" t="s">
        <v>3081</v>
      </c>
      <c r="CE106" s="13" t="s">
        <v>0</v>
      </c>
      <c r="CF106" s="82" t="s">
        <v>1</v>
      </c>
      <c r="CG106" s="91" t="s">
        <v>3577</v>
      </c>
      <c r="CH106" s="91"/>
      <c r="CI106" s="87"/>
      <c r="CJ106" s="19" t="s">
        <v>3229</v>
      </c>
      <c r="CK106" s="13" t="s">
        <v>0</v>
      </c>
      <c r="CL106" s="82" t="s">
        <v>1</v>
      </c>
      <c r="CM106" s="91" t="s">
        <v>3577</v>
      </c>
      <c r="CN106" s="91"/>
      <c r="CO106" s="87"/>
      <c r="CP106" s="56" t="s">
        <v>3347</v>
      </c>
      <c r="CQ106" s="13" t="s">
        <v>0</v>
      </c>
      <c r="CR106" s="82" t="s">
        <v>1</v>
      </c>
      <c r="CS106" s="91" t="s">
        <v>3577</v>
      </c>
      <c r="CT106" s="91"/>
      <c r="CU106" s="105"/>
    </row>
    <row r="107" spans="1:99" ht="71" customHeight="1" thickBot="1" x14ac:dyDescent="0.4">
      <c r="A107" s="40" t="s">
        <v>223</v>
      </c>
      <c r="B107" s="40" t="s">
        <v>420</v>
      </c>
      <c r="C107" s="40" t="s">
        <v>601</v>
      </c>
      <c r="D107" s="135" t="s">
        <v>3875</v>
      </c>
      <c r="E107" s="314" t="s">
        <v>3855</v>
      </c>
      <c r="F107" s="315" t="s">
        <v>3383</v>
      </c>
      <c r="G107" s="315" t="s">
        <v>3863</v>
      </c>
      <c r="H107" s="142" t="s">
        <v>3818</v>
      </c>
      <c r="I107" s="138" t="s">
        <v>3782</v>
      </c>
      <c r="J107" s="136" t="s">
        <v>801</v>
      </c>
      <c r="K107" s="13" t="s">
        <v>0</v>
      </c>
      <c r="L107" s="82" t="s">
        <v>12</v>
      </c>
      <c r="M107" s="146" t="s">
        <v>3576</v>
      </c>
      <c r="N107" s="91"/>
      <c r="O107" s="87"/>
      <c r="P107" s="49" t="s">
        <v>998</v>
      </c>
      <c r="Q107" s="13" t="s">
        <v>0</v>
      </c>
      <c r="R107" s="82" t="s">
        <v>12</v>
      </c>
      <c r="S107" s="91" t="s">
        <v>3576</v>
      </c>
      <c r="T107" s="91"/>
      <c r="U107" s="87"/>
      <c r="V107" s="52" t="s">
        <v>1198</v>
      </c>
      <c r="W107" s="13" t="s">
        <v>0</v>
      </c>
      <c r="X107" s="82" t="s">
        <v>12</v>
      </c>
      <c r="Y107" s="91" t="s">
        <v>3576</v>
      </c>
      <c r="Z107" s="91"/>
      <c r="AA107" s="87"/>
      <c r="AB107" s="19" t="s">
        <v>1397</v>
      </c>
      <c r="AC107" s="13" t="s">
        <v>0</v>
      </c>
      <c r="AD107" s="82" t="s">
        <v>12</v>
      </c>
      <c r="AE107" s="91" t="s">
        <v>3576</v>
      </c>
      <c r="AF107" s="91"/>
      <c r="AG107" s="87"/>
      <c r="AH107" s="56" t="s">
        <v>1595</v>
      </c>
      <c r="AI107" s="13" t="s">
        <v>0</v>
      </c>
      <c r="AJ107" s="82" t="s">
        <v>12</v>
      </c>
      <c r="AK107" s="91" t="s">
        <v>3576</v>
      </c>
      <c r="AL107" s="91"/>
      <c r="AM107" s="105"/>
      <c r="AN107" s="23" t="s">
        <v>1794</v>
      </c>
      <c r="AO107" s="13" t="s">
        <v>0</v>
      </c>
      <c r="AP107" s="82" t="s">
        <v>12</v>
      </c>
      <c r="AQ107" s="91" t="s">
        <v>3576</v>
      </c>
      <c r="AR107" s="91"/>
      <c r="AS107" s="87"/>
      <c r="AT107" s="21" t="s">
        <v>1991</v>
      </c>
      <c r="AU107" s="13" t="s">
        <v>0</v>
      </c>
      <c r="AV107" s="82" t="s">
        <v>12</v>
      </c>
      <c r="AW107" s="91" t="s">
        <v>3576</v>
      </c>
      <c r="AX107" s="91"/>
      <c r="AY107" s="87"/>
      <c r="AZ107" s="22" t="s">
        <v>2187</v>
      </c>
      <c r="BA107" s="13" t="s">
        <v>0</v>
      </c>
      <c r="BB107" s="82" t="s">
        <v>12</v>
      </c>
      <c r="BC107" s="91" t="s">
        <v>3576</v>
      </c>
      <c r="BD107" s="91"/>
      <c r="BE107" s="87"/>
      <c r="BF107" s="24" t="s">
        <v>2376</v>
      </c>
      <c r="BG107" s="13" t="s">
        <v>0</v>
      </c>
      <c r="BH107" s="82" t="s">
        <v>12</v>
      </c>
      <c r="BI107" s="91" t="s">
        <v>3576</v>
      </c>
      <c r="BJ107" s="91"/>
      <c r="BK107" s="87"/>
      <c r="BL107" s="27" t="s">
        <v>2569</v>
      </c>
      <c r="BM107" s="13" t="s">
        <v>0</v>
      </c>
      <c r="BN107" s="82" t="s">
        <v>12</v>
      </c>
      <c r="BO107" s="91" t="s">
        <v>3576</v>
      </c>
      <c r="BP107" s="91"/>
      <c r="BQ107" s="105"/>
      <c r="BR107" s="72" t="s">
        <v>2768</v>
      </c>
      <c r="BS107" s="13" t="s">
        <v>0</v>
      </c>
      <c r="BT107" s="82" t="s">
        <v>12</v>
      </c>
      <c r="BU107" s="91" t="s">
        <v>3576</v>
      </c>
      <c r="BV107" s="91"/>
      <c r="BW107" s="87"/>
      <c r="BX107" s="49" t="s">
        <v>2941</v>
      </c>
      <c r="BY107" s="13" t="s">
        <v>0</v>
      </c>
      <c r="BZ107" s="82" t="s">
        <v>12</v>
      </c>
      <c r="CA107" s="91" t="s">
        <v>3576</v>
      </c>
      <c r="CB107" s="91"/>
      <c r="CC107" s="87"/>
      <c r="CD107" s="52" t="s">
        <v>3117</v>
      </c>
      <c r="CE107" s="13" t="s">
        <v>0</v>
      </c>
      <c r="CF107" s="82" t="s">
        <v>12</v>
      </c>
      <c r="CG107" s="91" t="s">
        <v>3576</v>
      </c>
      <c r="CH107" s="91"/>
      <c r="CI107" s="87"/>
      <c r="CJ107" s="19" t="s">
        <v>3255</v>
      </c>
      <c r="CK107" s="13" t="s">
        <v>0</v>
      </c>
      <c r="CL107" s="82" t="s">
        <v>12</v>
      </c>
      <c r="CM107" s="91" t="s">
        <v>3576</v>
      </c>
      <c r="CN107" s="91"/>
      <c r="CO107" s="87"/>
      <c r="CP107" s="56" t="s">
        <v>3365</v>
      </c>
      <c r="CQ107" s="13" t="s">
        <v>0</v>
      </c>
      <c r="CR107" s="82" t="s">
        <v>12</v>
      </c>
      <c r="CS107" s="91" t="s">
        <v>3576</v>
      </c>
      <c r="CT107" s="91"/>
      <c r="CU107" s="105"/>
    </row>
    <row r="108" spans="1:99" ht="89.5" customHeight="1" thickBot="1" x14ac:dyDescent="0.4">
      <c r="A108" s="40" t="s">
        <v>228</v>
      </c>
      <c r="B108" s="40" t="s">
        <v>427</v>
      </c>
      <c r="C108" s="40" t="s">
        <v>608</v>
      </c>
      <c r="D108" s="135" t="s">
        <v>3552</v>
      </c>
      <c r="E108" s="317" t="s">
        <v>3866</v>
      </c>
      <c r="F108" s="318" t="s">
        <v>3382</v>
      </c>
      <c r="G108" s="319" t="s">
        <v>3867</v>
      </c>
      <c r="H108" s="142"/>
      <c r="I108" s="138"/>
      <c r="J108" s="136" t="s">
        <v>808</v>
      </c>
      <c r="K108" s="13"/>
      <c r="L108" s="82"/>
      <c r="M108" s="146"/>
      <c r="N108" s="91"/>
      <c r="O108" s="351"/>
      <c r="P108" s="49" t="s">
        <v>1005</v>
      </c>
      <c r="Q108" s="13"/>
      <c r="R108" s="82"/>
      <c r="S108" s="91"/>
      <c r="T108" s="91"/>
      <c r="U108" s="351"/>
      <c r="V108" s="52" t="s">
        <v>1205</v>
      </c>
      <c r="W108" s="13"/>
      <c r="X108" s="82"/>
      <c r="Y108" s="91"/>
      <c r="Z108" s="91"/>
      <c r="AA108" s="351"/>
      <c r="AB108" s="19" t="s">
        <v>1404</v>
      </c>
      <c r="AC108" s="13"/>
      <c r="AD108" s="82"/>
      <c r="AE108" s="91"/>
      <c r="AF108" s="91"/>
      <c r="AG108" s="351"/>
      <c r="AH108" s="56" t="s">
        <v>1602</v>
      </c>
      <c r="AI108" s="13"/>
      <c r="AJ108" s="82"/>
      <c r="AK108" s="91"/>
      <c r="AL108" s="91"/>
      <c r="AM108" s="353"/>
      <c r="AN108" s="23" t="s">
        <v>1801</v>
      </c>
      <c r="AO108" s="13"/>
      <c r="AP108" s="82"/>
      <c r="AQ108" s="91"/>
      <c r="AR108" s="91"/>
      <c r="AS108" s="351"/>
      <c r="AT108" s="21" t="s">
        <v>1998</v>
      </c>
      <c r="AU108" s="13"/>
      <c r="AV108" s="82"/>
      <c r="AW108" s="91"/>
      <c r="AX108" s="91"/>
      <c r="AY108" s="351"/>
      <c r="AZ108" s="22" t="s">
        <v>2194</v>
      </c>
      <c r="BA108" s="13"/>
      <c r="BB108" s="82"/>
      <c r="BC108" s="91"/>
      <c r="BD108" s="91"/>
      <c r="BE108" s="351"/>
      <c r="BF108" s="24" t="s">
        <v>2382</v>
      </c>
      <c r="BG108" s="13"/>
      <c r="BH108" s="82"/>
      <c r="BI108" s="91"/>
      <c r="BJ108" s="91"/>
      <c r="BK108" s="351"/>
      <c r="BL108" s="27" t="s">
        <v>2576</v>
      </c>
      <c r="BM108" s="13"/>
      <c r="BN108" s="82"/>
      <c r="BO108" s="91"/>
      <c r="BP108" s="91"/>
      <c r="BQ108" s="105"/>
      <c r="BR108" s="72" t="s">
        <v>2775</v>
      </c>
      <c r="BS108" s="13"/>
      <c r="BT108" s="82"/>
      <c r="BU108" s="91"/>
      <c r="BV108" s="91"/>
      <c r="BW108" s="351"/>
      <c r="BX108" s="49" t="s">
        <v>2947</v>
      </c>
      <c r="BY108" s="13"/>
      <c r="BZ108" s="82"/>
      <c r="CA108" s="91"/>
      <c r="CB108" s="91"/>
      <c r="CC108" s="87"/>
      <c r="CD108" s="52" t="s">
        <v>3124</v>
      </c>
      <c r="CE108" s="13"/>
      <c r="CF108" s="82"/>
      <c r="CG108" s="91"/>
      <c r="CH108" s="91"/>
      <c r="CI108" s="87"/>
      <c r="CJ108" s="19" t="s">
        <v>3260</v>
      </c>
      <c r="CK108" s="13"/>
      <c r="CL108" s="82"/>
      <c r="CM108" s="91"/>
      <c r="CN108" s="91"/>
      <c r="CO108" s="87"/>
      <c r="CP108" s="56" t="s">
        <v>3260</v>
      </c>
      <c r="CQ108" s="357"/>
      <c r="CR108" s="359"/>
      <c r="CS108" s="360"/>
      <c r="CT108" s="360"/>
      <c r="CU108" s="353"/>
    </row>
    <row r="109" spans="1:99" ht="42" customHeight="1" thickBot="1" x14ac:dyDescent="0.4">
      <c r="A109" s="40" t="s">
        <v>94</v>
      </c>
      <c r="B109" s="40" t="s">
        <v>255</v>
      </c>
      <c r="C109" s="40" t="s">
        <v>454</v>
      </c>
      <c r="D109" s="135" t="s">
        <v>3403</v>
      </c>
      <c r="E109" s="317" t="s">
        <v>3866</v>
      </c>
      <c r="F109" s="318" t="s">
        <v>3382</v>
      </c>
      <c r="G109" s="319" t="s">
        <v>3867</v>
      </c>
      <c r="H109" s="142"/>
      <c r="I109" s="138"/>
      <c r="J109" s="136" t="s">
        <v>634</v>
      </c>
      <c r="K109" s="13"/>
      <c r="L109" s="82"/>
      <c r="M109" s="146"/>
      <c r="N109" s="91"/>
      <c r="O109" s="87"/>
      <c r="P109" s="49" t="s">
        <v>835</v>
      </c>
      <c r="Q109" s="13"/>
      <c r="R109" s="82"/>
      <c r="S109" s="91"/>
      <c r="T109" s="91"/>
      <c r="U109" s="87"/>
      <c r="V109" s="52" t="s">
        <v>1033</v>
      </c>
      <c r="W109" s="13"/>
      <c r="X109" s="82"/>
      <c r="Y109" s="91"/>
      <c r="Z109" s="91"/>
      <c r="AA109" s="87"/>
      <c r="AB109" s="19" t="s">
        <v>1233</v>
      </c>
      <c r="AC109" s="13"/>
      <c r="AD109" s="82"/>
      <c r="AE109" s="91"/>
      <c r="AF109" s="91"/>
      <c r="AG109" s="87"/>
      <c r="AH109" s="56" t="s">
        <v>1432</v>
      </c>
      <c r="AI109" s="13"/>
      <c r="AJ109" s="82"/>
      <c r="AK109" s="91"/>
      <c r="AL109" s="91"/>
      <c r="AM109" s="105"/>
      <c r="AN109" s="23" t="s">
        <v>1630</v>
      </c>
      <c r="AO109" s="13"/>
      <c r="AP109" s="82"/>
      <c r="AQ109" s="91"/>
      <c r="AR109" s="91"/>
      <c r="AS109" s="87"/>
      <c r="AT109" s="21" t="s">
        <v>1828</v>
      </c>
      <c r="AU109" s="13"/>
      <c r="AV109" s="82"/>
      <c r="AW109" s="91"/>
      <c r="AX109" s="91"/>
      <c r="AY109" s="87"/>
      <c r="AZ109" s="22" t="s">
        <v>2025</v>
      </c>
      <c r="BA109" s="13"/>
      <c r="BB109" s="82"/>
      <c r="BC109" s="91"/>
      <c r="BD109" s="91"/>
      <c r="BE109" s="87"/>
      <c r="BF109" s="24" t="s">
        <v>2222</v>
      </c>
      <c r="BG109" s="13"/>
      <c r="BH109" s="82"/>
      <c r="BI109" s="91"/>
      <c r="BJ109" s="91"/>
      <c r="BK109" s="87"/>
      <c r="BL109" s="27" t="s">
        <v>2410</v>
      </c>
      <c r="BM109" s="13"/>
      <c r="BN109" s="82"/>
      <c r="BO109" s="91"/>
      <c r="BP109" s="91"/>
      <c r="BQ109" s="105"/>
      <c r="BR109" s="72" t="s">
        <v>2607</v>
      </c>
      <c r="BS109" s="13"/>
      <c r="BT109" s="82"/>
      <c r="BU109" s="91"/>
      <c r="BV109" s="91"/>
      <c r="BW109" s="87"/>
      <c r="BX109" s="49" t="s">
        <v>2799</v>
      </c>
      <c r="BY109" s="13"/>
      <c r="BZ109" s="82"/>
      <c r="CA109" s="91"/>
      <c r="CB109" s="91"/>
      <c r="CC109" s="264"/>
      <c r="CD109" s="52" t="s">
        <v>2973</v>
      </c>
      <c r="CE109" s="13"/>
      <c r="CF109" s="82"/>
      <c r="CG109" s="91"/>
      <c r="CH109" s="91"/>
      <c r="CI109" s="87"/>
      <c r="CJ109" s="19" t="s">
        <v>2607</v>
      </c>
      <c r="CK109" s="13"/>
      <c r="CL109" s="82"/>
      <c r="CM109" s="91"/>
      <c r="CN109" s="91"/>
      <c r="CO109" s="87"/>
      <c r="CP109" s="56" t="s">
        <v>2607</v>
      </c>
      <c r="CQ109" s="13"/>
      <c r="CR109" s="82"/>
      <c r="CS109" s="91"/>
      <c r="CT109" s="91"/>
      <c r="CU109" s="311"/>
    </row>
    <row r="110" spans="1:99" ht="91" customHeight="1" thickBot="1" x14ac:dyDescent="0.4">
      <c r="A110" s="40" t="s">
        <v>134</v>
      </c>
      <c r="B110" s="40" t="s">
        <v>297</v>
      </c>
      <c r="C110" s="40" t="s">
        <v>497</v>
      </c>
      <c r="D110" s="135" t="s">
        <v>3444</v>
      </c>
      <c r="E110" s="325" t="s">
        <v>3873</v>
      </c>
      <c r="F110" s="326" t="s">
        <v>3378</v>
      </c>
      <c r="G110" s="326" t="s">
        <v>3874</v>
      </c>
      <c r="H110" s="142"/>
      <c r="I110" s="138"/>
      <c r="J110" s="136" t="s">
        <v>678</v>
      </c>
      <c r="K110" s="13" t="s">
        <v>15</v>
      </c>
      <c r="L110" s="82" t="s">
        <v>4</v>
      </c>
      <c r="M110" s="146" t="s">
        <v>3576</v>
      </c>
      <c r="N110" s="91"/>
      <c r="O110" s="87"/>
      <c r="P110" s="49" t="s">
        <v>877</v>
      </c>
      <c r="Q110" s="13" t="s">
        <v>15</v>
      </c>
      <c r="R110" s="82" t="s">
        <v>4</v>
      </c>
      <c r="S110" s="91" t="s">
        <v>3576</v>
      </c>
      <c r="T110" s="91"/>
      <c r="U110" s="87"/>
      <c r="V110" s="52" t="s">
        <v>1076</v>
      </c>
      <c r="W110" s="13" t="s">
        <v>15</v>
      </c>
      <c r="X110" s="82" t="s">
        <v>4</v>
      </c>
      <c r="Y110" s="91" t="s">
        <v>3576</v>
      </c>
      <c r="Z110" s="91"/>
      <c r="AA110" s="87"/>
      <c r="AB110" s="19" t="s">
        <v>1277</v>
      </c>
      <c r="AC110" s="13" t="s">
        <v>15</v>
      </c>
      <c r="AD110" s="82" t="s">
        <v>4</v>
      </c>
      <c r="AE110" s="91" t="s">
        <v>3576</v>
      </c>
      <c r="AF110" s="91"/>
      <c r="AG110" s="87"/>
      <c r="AH110" s="56" t="s">
        <v>1473</v>
      </c>
      <c r="AI110" s="13" t="s">
        <v>15</v>
      </c>
      <c r="AJ110" s="82" t="s">
        <v>4</v>
      </c>
      <c r="AK110" s="91" t="s">
        <v>3576</v>
      </c>
      <c r="AL110" s="91"/>
      <c r="AM110" s="105"/>
      <c r="AN110" s="23" t="s">
        <v>1673</v>
      </c>
      <c r="AO110" s="13" t="s">
        <v>15</v>
      </c>
      <c r="AP110" s="82" t="s">
        <v>4</v>
      </c>
      <c r="AQ110" s="91" t="s">
        <v>3576</v>
      </c>
      <c r="AR110" s="91"/>
      <c r="AS110" s="87"/>
      <c r="AT110" s="21" t="s">
        <v>1870</v>
      </c>
      <c r="AU110" s="13" t="s">
        <v>15</v>
      </c>
      <c r="AV110" s="82" t="s">
        <v>4</v>
      </c>
      <c r="AW110" s="91" t="s">
        <v>3576</v>
      </c>
      <c r="AX110" s="91"/>
      <c r="AY110" s="87"/>
      <c r="AZ110" s="22" t="s">
        <v>2067</v>
      </c>
      <c r="BA110" s="13" t="s">
        <v>15</v>
      </c>
      <c r="BB110" s="82" t="s">
        <v>4</v>
      </c>
      <c r="BC110" s="91" t="s">
        <v>3576</v>
      </c>
      <c r="BD110" s="91"/>
      <c r="BE110" s="87"/>
      <c r="BF110" s="24" t="s">
        <v>2262</v>
      </c>
      <c r="BG110" s="13" t="s">
        <v>15</v>
      </c>
      <c r="BH110" s="82" t="s">
        <v>4</v>
      </c>
      <c r="BI110" s="91" t="s">
        <v>3576</v>
      </c>
      <c r="BJ110" s="91"/>
      <c r="BK110" s="87"/>
      <c r="BL110" s="27" t="s">
        <v>2449</v>
      </c>
      <c r="BM110" s="13" t="s">
        <v>15</v>
      </c>
      <c r="BN110" s="82" t="s">
        <v>4</v>
      </c>
      <c r="BO110" s="91" t="s">
        <v>3576</v>
      </c>
      <c r="BP110" s="91"/>
      <c r="BQ110" s="105"/>
      <c r="BR110" s="72" t="s">
        <v>2647</v>
      </c>
      <c r="BS110" s="13" t="s">
        <v>15</v>
      </c>
      <c r="BT110" s="82" t="s">
        <v>4</v>
      </c>
      <c r="BU110" s="91" t="s">
        <v>3576</v>
      </c>
      <c r="BV110" s="91"/>
      <c r="BW110" s="87"/>
      <c r="BX110" s="49" t="s">
        <v>2838</v>
      </c>
      <c r="BY110" s="13" t="s">
        <v>15</v>
      </c>
      <c r="BZ110" s="82" t="s">
        <v>4</v>
      </c>
      <c r="CA110" s="91" t="s">
        <v>3576</v>
      </c>
      <c r="CB110" s="91"/>
      <c r="CC110" s="264"/>
      <c r="CD110" s="52" t="s">
        <v>3012</v>
      </c>
      <c r="CE110" s="13" t="s">
        <v>15</v>
      </c>
      <c r="CF110" s="82" t="s">
        <v>4</v>
      </c>
      <c r="CG110" s="91" t="s">
        <v>3576</v>
      </c>
      <c r="CH110" s="91"/>
      <c r="CI110" s="87"/>
      <c r="CJ110" s="19" t="s">
        <v>3172</v>
      </c>
      <c r="CK110" s="13" t="s">
        <v>15</v>
      </c>
      <c r="CL110" s="82" t="s">
        <v>4</v>
      </c>
      <c r="CM110" s="91" t="s">
        <v>3576</v>
      </c>
      <c r="CN110" s="91"/>
      <c r="CO110" s="87"/>
      <c r="CP110" s="56" t="s">
        <v>3172</v>
      </c>
      <c r="CQ110" s="13" t="s">
        <v>15</v>
      </c>
      <c r="CR110" s="82" t="s">
        <v>4</v>
      </c>
      <c r="CS110" s="91" t="s">
        <v>3576</v>
      </c>
      <c r="CT110" s="91"/>
      <c r="CU110" s="105"/>
    </row>
    <row r="111" spans="1:99" ht="42" customHeight="1" thickBot="1" x14ac:dyDescent="0.4">
      <c r="A111" s="40" t="s">
        <v>218</v>
      </c>
      <c r="B111" s="40" t="s">
        <v>411</v>
      </c>
      <c r="C111" s="40" t="s">
        <v>592</v>
      </c>
      <c r="D111" s="135" t="s">
        <v>3538</v>
      </c>
      <c r="E111" s="314" t="s">
        <v>3855</v>
      </c>
      <c r="F111" s="315" t="s">
        <v>3387</v>
      </c>
      <c r="G111" s="315" t="s">
        <v>3861</v>
      </c>
      <c r="H111" s="142" t="s">
        <v>3805</v>
      </c>
      <c r="I111" s="138" t="s">
        <v>3566</v>
      </c>
      <c r="J111" s="136" t="s">
        <v>792</v>
      </c>
      <c r="K111" s="13" t="s">
        <v>15</v>
      </c>
      <c r="L111" s="82" t="s">
        <v>9</v>
      </c>
      <c r="M111" s="146" t="s">
        <v>3576</v>
      </c>
      <c r="N111" s="91"/>
      <c r="O111" s="87"/>
      <c r="P111" s="49" t="s">
        <v>990</v>
      </c>
      <c r="Q111" s="13" t="s">
        <v>15</v>
      </c>
      <c r="R111" s="82" t="s">
        <v>9</v>
      </c>
      <c r="S111" s="91" t="s">
        <v>3576</v>
      </c>
      <c r="T111" s="91"/>
      <c r="U111" s="87"/>
      <c r="V111" s="52" t="s">
        <v>1189</v>
      </c>
      <c r="W111" s="13" t="s">
        <v>15</v>
      </c>
      <c r="X111" s="82" t="s">
        <v>19</v>
      </c>
      <c r="Y111" s="91" t="s">
        <v>3577</v>
      </c>
      <c r="Z111" s="91"/>
      <c r="AA111" s="87"/>
      <c r="AB111" s="19" t="s">
        <v>1388</v>
      </c>
      <c r="AC111" s="13" t="s">
        <v>15</v>
      </c>
      <c r="AD111" s="82" t="s">
        <v>9</v>
      </c>
      <c r="AE111" s="91" t="s">
        <v>3576</v>
      </c>
      <c r="AF111" s="91"/>
      <c r="AG111" s="87"/>
      <c r="AH111" s="56" t="s">
        <v>1586</v>
      </c>
      <c r="AI111" s="13" t="s">
        <v>15</v>
      </c>
      <c r="AJ111" s="82" t="s">
        <v>9</v>
      </c>
      <c r="AK111" s="91" t="s">
        <v>3576</v>
      </c>
      <c r="AL111" s="91"/>
      <c r="AM111" s="105"/>
      <c r="AN111" s="23" t="s">
        <v>1785</v>
      </c>
      <c r="AO111" s="13" t="s">
        <v>15</v>
      </c>
      <c r="AP111" s="82" t="s">
        <v>9</v>
      </c>
      <c r="AQ111" s="91" t="s">
        <v>3576</v>
      </c>
      <c r="AR111" s="91"/>
      <c r="AS111" s="87"/>
      <c r="AT111" s="21" t="s">
        <v>1982</v>
      </c>
      <c r="AU111" s="13" t="s">
        <v>15</v>
      </c>
      <c r="AV111" s="82" t="s">
        <v>9</v>
      </c>
      <c r="AW111" s="91" t="s">
        <v>3576</v>
      </c>
      <c r="AX111" s="91"/>
      <c r="AY111" s="87"/>
      <c r="AZ111" s="22" t="s">
        <v>2178</v>
      </c>
      <c r="BA111" s="13" t="s">
        <v>15</v>
      </c>
      <c r="BB111" s="82" t="s">
        <v>9</v>
      </c>
      <c r="BC111" s="91" t="s">
        <v>3576</v>
      </c>
      <c r="BD111" s="91"/>
      <c r="BE111" s="87"/>
      <c r="BF111" s="24" t="s">
        <v>3806</v>
      </c>
      <c r="BG111" s="13" t="s">
        <v>15</v>
      </c>
      <c r="BH111" s="82" t="s">
        <v>9</v>
      </c>
      <c r="BI111" s="91" t="s">
        <v>3576</v>
      </c>
      <c r="BJ111" s="91"/>
      <c r="BK111" s="87"/>
      <c r="BL111" s="27" t="s">
        <v>3807</v>
      </c>
      <c r="BM111" s="13" t="s">
        <v>15</v>
      </c>
      <c r="BN111" s="82" t="s">
        <v>20</v>
      </c>
      <c r="BO111" s="91" t="s">
        <v>3577</v>
      </c>
      <c r="BP111" s="91"/>
      <c r="BQ111" s="105"/>
      <c r="BR111" s="72" t="s">
        <v>2759</v>
      </c>
      <c r="BS111" s="13" t="s">
        <v>0</v>
      </c>
      <c r="BT111" s="82" t="s">
        <v>12</v>
      </c>
      <c r="BU111" s="91" t="s">
        <v>3576</v>
      </c>
      <c r="BV111" s="91"/>
      <c r="BW111" s="87"/>
      <c r="BX111" s="49" t="s">
        <v>2933</v>
      </c>
      <c r="BY111" s="13" t="s">
        <v>15</v>
      </c>
      <c r="BZ111" s="82" t="s">
        <v>9</v>
      </c>
      <c r="CA111" s="91" t="s">
        <v>3576</v>
      </c>
      <c r="CB111" s="91"/>
      <c r="CC111" s="87"/>
      <c r="CD111" s="52" t="s">
        <v>3108</v>
      </c>
      <c r="CE111" s="13" t="s">
        <v>0</v>
      </c>
      <c r="CF111" s="82" t="s">
        <v>12</v>
      </c>
      <c r="CG111" s="91" t="s">
        <v>3576</v>
      </c>
      <c r="CH111" s="91"/>
      <c r="CI111" s="87"/>
      <c r="CJ111" s="19" t="s">
        <v>3249</v>
      </c>
      <c r="CK111" s="13" t="s">
        <v>0</v>
      </c>
      <c r="CL111" s="82" t="s">
        <v>12</v>
      </c>
      <c r="CM111" s="91" t="s">
        <v>3576</v>
      </c>
      <c r="CN111" s="91"/>
      <c r="CO111" s="87"/>
      <c r="CP111" s="56" t="s">
        <v>3360</v>
      </c>
      <c r="CQ111" s="13" t="s">
        <v>0</v>
      </c>
      <c r="CR111" s="82" t="s">
        <v>12</v>
      </c>
      <c r="CS111" s="91" t="s">
        <v>3576</v>
      </c>
      <c r="CT111" s="91"/>
      <c r="CU111" s="105"/>
    </row>
    <row r="112" spans="1:99" ht="68" customHeight="1" thickBot="1" x14ac:dyDescent="0.4">
      <c r="A112" s="40" t="s">
        <v>83</v>
      </c>
      <c r="B112" s="40" t="s">
        <v>244</v>
      </c>
      <c r="C112" s="40" t="s">
        <v>444</v>
      </c>
      <c r="D112" s="135" t="s">
        <v>3391</v>
      </c>
      <c r="E112" s="317" t="s">
        <v>3866</v>
      </c>
      <c r="F112" s="318" t="s">
        <v>3382</v>
      </c>
      <c r="G112" s="319" t="s">
        <v>3867</v>
      </c>
      <c r="H112" s="142" t="s">
        <v>3596</v>
      </c>
      <c r="I112" s="138" t="s">
        <v>3559</v>
      </c>
      <c r="J112" s="136" t="s">
        <v>623</v>
      </c>
      <c r="K112" s="13"/>
      <c r="L112" s="82"/>
      <c r="M112" s="146"/>
      <c r="N112" s="91"/>
      <c r="O112" s="264"/>
      <c r="P112" s="49" t="s">
        <v>824</v>
      </c>
      <c r="Q112" s="13"/>
      <c r="R112" s="82"/>
      <c r="S112" s="91"/>
      <c r="T112" s="91"/>
      <c r="U112" s="87"/>
      <c r="V112" s="52" t="s">
        <v>1022</v>
      </c>
      <c r="W112" s="13"/>
      <c r="X112" s="82"/>
      <c r="Y112" s="91"/>
      <c r="Z112" s="91"/>
      <c r="AA112" s="87"/>
      <c r="AB112" s="19" t="s">
        <v>1222</v>
      </c>
      <c r="AC112" s="13"/>
      <c r="AD112" s="82"/>
      <c r="AE112" s="91"/>
      <c r="AF112" s="91"/>
      <c r="AG112" s="87"/>
      <c r="AH112" s="56" t="s">
        <v>1421</v>
      </c>
      <c r="AI112" s="13"/>
      <c r="AJ112" s="82"/>
      <c r="AK112" s="91"/>
      <c r="AL112" s="91"/>
      <c r="AM112" s="105"/>
      <c r="AN112" s="23" t="s">
        <v>1619</v>
      </c>
      <c r="AO112" s="13"/>
      <c r="AP112" s="82"/>
      <c r="AQ112" s="91"/>
      <c r="AR112" s="91"/>
      <c r="AS112" s="87"/>
      <c r="AT112" s="21" t="s">
        <v>1818</v>
      </c>
      <c r="AU112" s="13"/>
      <c r="AV112" s="82"/>
      <c r="AW112" s="91"/>
      <c r="AX112" s="91"/>
      <c r="AY112" s="87"/>
      <c r="AZ112" s="22" t="s">
        <v>2015</v>
      </c>
      <c r="BA112" s="13"/>
      <c r="BB112" s="82"/>
      <c r="BC112" s="91"/>
      <c r="BD112" s="91"/>
      <c r="BE112" s="87"/>
      <c r="BF112" s="24" t="s">
        <v>2211</v>
      </c>
      <c r="BG112" s="13"/>
      <c r="BH112" s="82"/>
      <c r="BI112" s="91"/>
      <c r="BJ112" s="91"/>
      <c r="BK112" s="87"/>
      <c r="BL112" s="27" t="s">
        <v>2399</v>
      </c>
      <c r="BM112" s="13"/>
      <c r="BN112" s="82"/>
      <c r="BO112" s="91"/>
      <c r="BP112" s="91"/>
      <c r="BQ112" s="105"/>
      <c r="BR112" s="72" t="s">
        <v>2597</v>
      </c>
      <c r="BS112" s="13"/>
      <c r="BT112" s="82"/>
      <c r="BU112" s="91"/>
      <c r="BV112" s="91"/>
      <c r="BW112" s="87"/>
      <c r="BX112" s="49" t="s">
        <v>2789</v>
      </c>
      <c r="BY112" s="13"/>
      <c r="BZ112" s="82"/>
      <c r="CA112" s="91"/>
      <c r="CB112" s="91"/>
      <c r="CC112" s="264"/>
      <c r="CD112" s="52" t="s">
        <v>2963</v>
      </c>
      <c r="CE112" s="13"/>
      <c r="CF112" s="82"/>
      <c r="CG112" s="91"/>
      <c r="CH112" s="91"/>
      <c r="CI112" s="87"/>
      <c r="CJ112" s="19" t="s">
        <v>3135</v>
      </c>
      <c r="CK112" s="13"/>
      <c r="CL112" s="82"/>
      <c r="CM112" s="91"/>
      <c r="CN112" s="91"/>
      <c r="CO112" s="87"/>
      <c r="CP112" s="56" t="s">
        <v>3135</v>
      </c>
      <c r="CQ112" s="13"/>
      <c r="CR112" s="82"/>
      <c r="CS112" s="91"/>
      <c r="CT112" s="91"/>
      <c r="CU112" s="105"/>
    </row>
    <row r="113" spans="1:99" ht="87" customHeight="1" thickBot="1" x14ac:dyDescent="0.4">
      <c r="A113" s="40" t="s">
        <v>140</v>
      </c>
      <c r="B113" s="40" t="s">
        <v>304</v>
      </c>
      <c r="C113" s="40" t="s">
        <v>504</v>
      </c>
      <c r="D113" s="135" t="s">
        <v>3450</v>
      </c>
      <c r="E113" s="325" t="s">
        <v>3873</v>
      </c>
      <c r="F113" s="326" t="s">
        <v>3378</v>
      </c>
      <c r="G113" s="326" t="s">
        <v>3874</v>
      </c>
      <c r="H113" s="142" t="s">
        <v>3664</v>
      </c>
      <c r="I113" s="138" t="s">
        <v>3566</v>
      </c>
      <c r="J113" s="136" t="s">
        <v>685</v>
      </c>
      <c r="K113" s="13" t="s">
        <v>11</v>
      </c>
      <c r="L113" s="82"/>
      <c r="M113" s="146" t="s">
        <v>3576</v>
      </c>
      <c r="N113" s="91"/>
      <c r="O113" s="87"/>
      <c r="P113" s="49" t="s">
        <v>884</v>
      </c>
      <c r="Q113" s="13" t="s">
        <v>0</v>
      </c>
      <c r="R113" s="82" t="s">
        <v>12</v>
      </c>
      <c r="S113" s="91" t="s">
        <v>3576</v>
      </c>
      <c r="T113" s="91"/>
      <c r="U113" s="87"/>
      <c r="V113" s="52" t="s">
        <v>1083</v>
      </c>
      <c r="W113" s="13" t="s">
        <v>0</v>
      </c>
      <c r="X113" s="82" t="s">
        <v>12</v>
      </c>
      <c r="Y113" s="91" t="s">
        <v>3576</v>
      </c>
      <c r="Z113" s="91"/>
      <c r="AA113" s="87"/>
      <c r="AB113" s="19" t="s">
        <v>1284</v>
      </c>
      <c r="AC113" s="13" t="s">
        <v>0</v>
      </c>
      <c r="AD113" s="82" t="s">
        <v>12</v>
      </c>
      <c r="AE113" s="91" t="s">
        <v>3576</v>
      </c>
      <c r="AF113" s="91"/>
      <c r="AG113" s="87"/>
      <c r="AH113" s="56" t="s">
        <v>1480</v>
      </c>
      <c r="AI113" s="13" t="s">
        <v>0</v>
      </c>
      <c r="AJ113" s="82" t="s">
        <v>12</v>
      </c>
      <c r="AK113" s="91" t="s">
        <v>3576</v>
      </c>
      <c r="AL113" s="91"/>
      <c r="AM113" s="105"/>
      <c r="AN113" s="23" t="s">
        <v>1680</v>
      </c>
      <c r="AO113" s="13" t="s">
        <v>0</v>
      </c>
      <c r="AP113" s="82" t="s">
        <v>12</v>
      </c>
      <c r="AQ113" s="91" t="s">
        <v>3576</v>
      </c>
      <c r="AR113" s="91"/>
      <c r="AS113" s="87"/>
      <c r="AT113" s="21" t="s">
        <v>1877</v>
      </c>
      <c r="AU113" s="13" t="s">
        <v>0</v>
      </c>
      <c r="AV113" s="82" t="s">
        <v>12</v>
      </c>
      <c r="AW113" s="91" t="s">
        <v>3576</v>
      </c>
      <c r="AX113" s="91"/>
      <c r="AY113" s="87"/>
      <c r="AZ113" s="22" t="s">
        <v>1877</v>
      </c>
      <c r="BA113" s="13" t="s">
        <v>0</v>
      </c>
      <c r="BB113" s="82" t="s">
        <v>12</v>
      </c>
      <c r="BC113" s="91" t="s">
        <v>3576</v>
      </c>
      <c r="BD113" s="91"/>
      <c r="BE113" s="87"/>
      <c r="BF113" s="24" t="s">
        <v>2269</v>
      </c>
      <c r="BG113" s="13" t="s">
        <v>0</v>
      </c>
      <c r="BH113" s="82" t="s">
        <v>12</v>
      </c>
      <c r="BI113" s="91" t="s">
        <v>3576</v>
      </c>
      <c r="BJ113" s="91"/>
      <c r="BK113" s="87"/>
      <c r="BL113" s="27" t="s">
        <v>2456</v>
      </c>
      <c r="BM113" s="13" t="s">
        <v>0</v>
      </c>
      <c r="BN113" s="82" t="s">
        <v>12</v>
      </c>
      <c r="BO113" s="91" t="s">
        <v>3576</v>
      </c>
      <c r="BP113" s="91"/>
      <c r="BQ113" s="105"/>
      <c r="BR113" s="72" t="s">
        <v>2654</v>
      </c>
      <c r="BS113" s="13" t="s">
        <v>0</v>
      </c>
      <c r="BT113" s="82" t="s">
        <v>12</v>
      </c>
      <c r="BU113" s="91" t="s">
        <v>3576</v>
      </c>
      <c r="BV113" s="91"/>
      <c r="BW113" s="87"/>
      <c r="BX113" s="49" t="s">
        <v>2843</v>
      </c>
      <c r="BY113" s="13" t="s">
        <v>0</v>
      </c>
      <c r="BZ113" s="82" t="s">
        <v>12</v>
      </c>
      <c r="CA113" s="91" t="s">
        <v>3576</v>
      </c>
      <c r="CB113" s="91"/>
      <c r="CC113" s="87"/>
      <c r="CD113" s="52" t="s">
        <v>3018</v>
      </c>
      <c r="CE113" s="13" t="s">
        <v>0</v>
      </c>
      <c r="CF113" s="82" t="s">
        <v>12</v>
      </c>
      <c r="CG113" s="91" t="s">
        <v>3576</v>
      </c>
      <c r="CH113" s="91"/>
      <c r="CI113" s="87"/>
      <c r="CJ113" s="19" t="s">
        <v>3018</v>
      </c>
      <c r="CK113" s="13" t="s">
        <v>0</v>
      </c>
      <c r="CL113" s="82" t="s">
        <v>12</v>
      </c>
      <c r="CM113" s="91" t="s">
        <v>3576</v>
      </c>
      <c r="CN113" s="91"/>
      <c r="CO113" s="87"/>
      <c r="CP113" s="56" t="s">
        <v>3018</v>
      </c>
      <c r="CQ113" s="13" t="s">
        <v>0</v>
      </c>
      <c r="CR113" s="82" t="s">
        <v>12</v>
      </c>
      <c r="CS113" s="91" t="s">
        <v>3576</v>
      </c>
      <c r="CT113" s="91"/>
      <c r="CU113" s="105"/>
    </row>
    <row r="114" spans="1:99" ht="42" customHeight="1" thickBot="1" x14ac:dyDescent="0.4">
      <c r="A114" s="40" t="s">
        <v>72</v>
      </c>
      <c r="B114" s="40" t="s">
        <v>233</v>
      </c>
      <c r="C114" s="40" t="s">
        <v>432</v>
      </c>
      <c r="D114" s="135" t="s">
        <v>3377</v>
      </c>
      <c r="E114" s="314" t="s">
        <v>3855</v>
      </c>
      <c r="F114" s="315" t="s">
        <v>3371</v>
      </c>
      <c r="G114" s="315" t="s">
        <v>3859</v>
      </c>
      <c r="H114" s="142" t="s">
        <v>3585</v>
      </c>
      <c r="I114" s="138" t="s">
        <v>3559</v>
      </c>
      <c r="J114" s="136" t="s">
        <v>612</v>
      </c>
      <c r="K114" s="13" t="s">
        <v>15</v>
      </c>
      <c r="L114" s="82" t="s">
        <v>20</v>
      </c>
      <c r="M114" s="146" t="s">
        <v>3577</v>
      </c>
      <c r="N114" s="91"/>
      <c r="O114" s="87"/>
      <c r="P114" s="49" t="s">
        <v>813</v>
      </c>
      <c r="Q114" s="13" t="s">
        <v>15</v>
      </c>
      <c r="R114" s="82" t="s">
        <v>20</v>
      </c>
      <c r="S114" s="91" t="s">
        <v>3577</v>
      </c>
      <c r="T114" s="91"/>
      <c r="U114" s="87"/>
      <c r="V114" s="52" t="s">
        <v>1010</v>
      </c>
      <c r="W114" s="13" t="s">
        <v>15</v>
      </c>
      <c r="X114" s="82" t="s">
        <v>20</v>
      </c>
      <c r="Y114" s="91" t="s">
        <v>3577</v>
      </c>
      <c r="Z114" s="91"/>
      <c r="AA114" s="87"/>
      <c r="AB114" s="19" t="s">
        <v>1210</v>
      </c>
      <c r="AC114" s="13" t="s">
        <v>15</v>
      </c>
      <c r="AD114" s="82" t="s">
        <v>20</v>
      </c>
      <c r="AE114" s="91" t="s">
        <v>3577</v>
      </c>
      <c r="AF114" s="91"/>
      <c r="AG114" s="87"/>
      <c r="AH114" s="56" t="s">
        <v>1409</v>
      </c>
      <c r="AI114" s="259" t="s">
        <v>15</v>
      </c>
      <c r="AJ114" s="260" t="s">
        <v>20</v>
      </c>
      <c r="AK114" s="261" t="s">
        <v>3577</v>
      </c>
      <c r="AL114" s="261"/>
      <c r="AM114" s="105"/>
      <c r="AN114" s="23" t="s">
        <v>1607</v>
      </c>
      <c r="AO114" s="13" t="s">
        <v>15</v>
      </c>
      <c r="AP114" s="82" t="s">
        <v>4</v>
      </c>
      <c r="AQ114" s="91" t="s">
        <v>3576</v>
      </c>
      <c r="AR114" s="91"/>
      <c r="AS114" s="87" t="s">
        <v>3556</v>
      </c>
      <c r="AT114" s="21" t="s">
        <v>1806</v>
      </c>
      <c r="AU114" s="13" t="s">
        <v>15</v>
      </c>
      <c r="AV114" s="82" t="s">
        <v>20</v>
      </c>
      <c r="AW114" s="91" t="s">
        <v>3577</v>
      </c>
      <c r="AX114" s="91"/>
      <c r="AY114" s="87" t="s">
        <v>3555</v>
      </c>
      <c r="AZ114" s="22" t="s">
        <v>2003</v>
      </c>
      <c r="BA114" s="13" t="s">
        <v>15</v>
      </c>
      <c r="BB114" s="82" t="s">
        <v>20</v>
      </c>
      <c r="BC114" s="91" t="s">
        <v>3577</v>
      </c>
      <c r="BD114" s="91"/>
      <c r="BE114" s="87"/>
      <c r="BF114" s="24" t="s">
        <v>2199</v>
      </c>
      <c r="BG114" s="13" t="s">
        <v>6</v>
      </c>
      <c r="BH114" s="82" t="s">
        <v>8</v>
      </c>
      <c r="BI114" s="91" t="s">
        <v>3576</v>
      </c>
      <c r="BJ114" s="91"/>
      <c r="BK114" s="87"/>
      <c r="BL114" s="27" t="s">
        <v>2387</v>
      </c>
      <c r="BM114" s="13" t="s">
        <v>6</v>
      </c>
      <c r="BN114" s="82" t="s">
        <v>8</v>
      </c>
      <c r="BO114" s="91" t="s">
        <v>3576</v>
      </c>
      <c r="BP114" s="91"/>
      <c r="BQ114" s="105"/>
      <c r="BR114" s="72" t="s">
        <v>2586</v>
      </c>
      <c r="BS114" s="13" t="s">
        <v>15</v>
      </c>
      <c r="BT114" s="82" t="s">
        <v>20</v>
      </c>
      <c r="BU114" s="91" t="s">
        <v>3577</v>
      </c>
      <c r="BV114" s="91"/>
      <c r="BW114" s="87"/>
      <c r="BX114" s="49" t="s">
        <v>3558</v>
      </c>
      <c r="BY114" s="13" t="s">
        <v>6</v>
      </c>
      <c r="BZ114" s="82" t="s">
        <v>8</v>
      </c>
      <c r="CA114" s="91" t="s">
        <v>3576</v>
      </c>
      <c r="CB114" s="91"/>
      <c r="CC114" s="264"/>
      <c r="CD114" s="52" t="s">
        <v>2952</v>
      </c>
      <c r="CE114" s="13" t="s">
        <v>15</v>
      </c>
      <c r="CF114" s="82" t="s">
        <v>20</v>
      </c>
      <c r="CG114" s="91" t="s">
        <v>3577</v>
      </c>
      <c r="CH114" s="91"/>
      <c r="CI114" s="87"/>
      <c r="CJ114" s="19" t="s">
        <v>3127</v>
      </c>
      <c r="CK114" s="13" t="s">
        <v>15</v>
      </c>
      <c r="CL114" s="82" t="s">
        <v>20</v>
      </c>
      <c r="CM114" s="91" t="s">
        <v>3577</v>
      </c>
      <c r="CN114" s="91"/>
      <c r="CO114" s="87"/>
      <c r="CP114" s="56" t="s">
        <v>3265</v>
      </c>
      <c r="CQ114" s="13" t="s">
        <v>15</v>
      </c>
      <c r="CR114" s="82" t="s">
        <v>20</v>
      </c>
      <c r="CS114" s="91" t="s">
        <v>3577</v>
      </c>
      <c r="CT114" s="91"/>
      <c r="CU114" s="105"/>
    </row>
    <row r="115" spans="1:99" ht="42" customHeight="1" thickBot="1" x14ac:dyDescent="0.4">
      <c r="A115" s="40" t="s">
        <v>201</v>
      </c>
      <c r="B115" s="40" t="s">
        <v>388</v>
      </c>
      <c r="C115" s="40" t="s">
        <v>574</v>
      </c>
      <c r="D115" s="135" t="s">
        <v>3520</v>
      </c>
      <c r="E115" s="323" t="s">
        <v>3869</v>
      </c>
      <c r="F115" s="324" t="s">
        <v>3392</v>
      </c>
      <c r="G115" s="324" t="s">
        <v>3870</v>
      </c>
      <c r="H115" s="142" t="s">
        <v>3783</v>
      </c>
      <c r="I115" s="138" t="s">
        <v>3568</v>
      </c>
      <c r="J115" s="136" t="s">
        <v>769</v>
      </c>
      <c r="K115" s="13" t="s">
        <v>0</v>
      </c>
      <c r="L115" s="82" t="s">
        <v>12</v>
      </c>
      <c r="M115" s="146" t="s">
        <v>3577</v>
      </c>
      <c r="N115" s="91"/>
      <c r="O115" s="87"/>
      <c r="P115" s="49" t="s">
        <v>967</v>
      </c>
      <c r="Q115" s="13" t="s">
        <v>0</v>
      </c>
      <c r="R115" s="82" t="s">
        <v>12</v>
      </c>
      <c r="S115" s="91" t="s">
        <v>3577</v>
      </c>
      <c r="T115" s="91"/>
      <c r="U115" s="87"/>
      <c r="V115" s="52" t="s">
        <v>1166</v>
      </c>
      <c r="W115" s="13" t="s">
        <v>0</v>
      </c>
      <c r="X115" s="82" t="s">
        <v>12</v>
      </c>
      <c r="Y115" s="91" t="s">
        <v>3577</v>
      </c>
      <c r="Z115" s="91"/>
      <c r="AA115" s="87"/>
      <c r="AB115" s="19" t="s">
        <v>1365</v>
      </c>
      <c r="AC115" s="13" t="s">
        <v>0</v>
      </c>
      <c r="AD115" s="82" t="s">
        <v>12</v>
      </c>
      <c r="AE115" s="91" t="s">
        <v>3577</v>
      </c>
      <c r="AF115" s="91"/>
      <c r="AG115" s="87"/>
      <c r="AH115" s="56" t="s">
        <v>1563</v>
      </c>
      <c r="AI115" s="13" t="s">
        <v>0</v>
      </c>
      <c r="AJ115" s="82" t="s">
        <v>12</v>
      </c>
      <c r="AK115" s="91" t="s">
        <v>3577</v>
      </c>
      <c r="AL115" s="91"/>
      <c r="AM115" s="105"/>
      <c r="AN115" s="23" t="s">
        <v>1762</v>
      </c>
      <c r="AO115" s="13" t="s">
        <v>0</v>
      </c>
      <c r="AP115" s="82" t="s">
        <v>12</v>
      </c>
      <c r="AQ115" s="91" t="s">
        <v>3577</v>
      </c>
      <c r="AR115" s="91"/>
      <c r="AS115" s="87"/>
      <c r="AT115" s="21" t="s">
        <v>1959</v>
      </c>
      <c r="AU115" s="13" t="s">
        <v>0</v>
      </c>
      <c r="AV115" s="82" t="s">
        <v>12</v>
      </c>
      <c r="AW115" s="91" t="s">
        <v>3577</v>
      </c>
      <c r="AX115" s="91"/>
      <c r="AY115" s="87"/>
      <c r="AZ115" s="22" t="s">
        <v>2155</v>
      </c>
      <c r="BA115" s="13" t="s">
        <v>0</v>
      </c>
      <c r="BB115" s="82" t="s">
        <v>12</v>
      </c>
      <c r="BC115" s="91" t="s">
        <v>3577</v>
      </c>
      <c r="BD115" s="91"/>
      <c r="BE115" s="87"/>
      <c r="BF115" s="24" t="s">
        <v>2346</v>
      </c>
      <c r="BG115" s="13" t="s">
        <v>0</v>
      </c>
      <c r="BH115" s="82" t="s">
        <v>12</v>
      </c>
      <c r="BI115" s="91" t="s">
        <v>3577</v>
      </c>
      <c r="BJ115" s="91"/>
      <c r="BK115" s="87"/>
      <c r="BL115" s="27" t="s">
        <v>2538</v>
      </c>
      <c r="BM115" s="13" t="s">
        <v>0</v>
      </c>
      <c r="BN115" s="82" t="s">
        <v>12</v>
      </c>
      <c r="BO115" s="91" t="s">
        <v>3577</v>
      </c>
      <c r="BP115" s="91"/>
      <c r="BQ115" s="105"/>
      <c r="BR115" s="72" t="s">
        <v>2736</v>
      </c>
      <c r="BS115" s="13" t="s">
        <v>0</v>
      </c>
      <c r="BT115" s="82" t="s">
        <v>12</v>
      </c>
      <c r="BU115" s="91" t="s">
        <v>3577</v>
      </c>
      <c r="BV115" s="91"/>
      <c r="BW115" s="87"/>
      <c r="BX115" s="49" t="s">
        <v>2913</v>
      </c>
      <c r="BY115" s="13" t="s">
        <v>0</v>
      </c>
      <c r="BZ115" s="82" t="s">
        <v>12</v>
      </c>
      <c r="CA115" s="91" t="s">
        <v>3577</v>
      </c>
      <c r="CB115" s="91"/>
      <c r="CC115" s="87"/>
      <c r="CD115" s="52" t="s">
        <v>2736</v>
      </c>
      <c r="CE115" s="13" t="s">
        <v>0</v>
      </c>
      <c r="CF115" s="82" t="s">
        <v>12</v>
      </c>
      <c r="CG115" s="91" t="s">
        <v>3577</v>
      </c>
      <c r="CH115" s="91"/>
      <c r="CI115" s="87"/>
      <c r="CJ115" s="19" t="s">
        <v>2736</v>
      </c>
      <c r="CK115" s="13" t="s">
        <v>0</v>
      </c>
      <c r="CL115" s="82" t="s">
        <v>12</v>
      </c>
      <c r="CM115" s="91" t="s">
        <v>3577</v>
      </c>
      <c r="CN115" s="91"/>
      <c r="CO115" s="87"/>
      <c r="CP115" s="56" t="s">
        <v>2736</v>
      </c>
      <c r="CQ115" s="13" t="s">
        <v>0</v>
      </c>
      <c r="CR115" s="82" t="s">
        <v>12</v>
      </c>
      <c r="CS115" s="91" t="s">
        <v>3577</v>
      </c>
      <c r="CT115" s="91"/>
      <c r="CU115" s="105"/>
    </row>
    <row r="116" spans="1:99" ht="42" customHeight="1" thickBot="1" x14ac:dyDescent="0.4">
      <c r="A116" s="40" t="s">
        <v>113</v>
      </c>
      <c r="B116" s="40" t="s">
        <v>277</v>
      </c>
      <c r="C116" s="40" t="s">
        <v>477</v>
      </c>
      <c r="D116" s="135" t="s">
        <v>3425</v>
      </c>
      <c r="E116" s="314" t="s">
        <v>3855</v>
      </c>
      <c r="F116" s="315" t="s">
        <v>3376</v>
      </c>
      <c r="G116" s="315" t="s">
        <v>3856</v>
      </c>
      <c r="H116" s="142" t="s">
        <v>3639</v>
      </c>
      <c r="I116" s="138" t="s">
        <v>3640</v>
      </c>
      <c r="J116" s="136" t="s">
        <v>657</v>
      </c>
      <c r="K116" s="13" t="s">
        <v>15</v>
      </c>
      <c r="L116" s="82" t="s">
        <v>20</v>
      </c>
      <c r="M116" s="146" t="s">
        <v>3576</v>
      </c>
      <c r="N116" s="91"/>
      <c r="O116" s="87"/>
      <c r="P116" s="49" t="s">
        <v>856</v>
      </c>
      <c r="Q116" s="13" t="s">
        <v>6</v>
      </c>
      <c r="R116" s="82" t="s">
        <v>8</v>
      </c>
      <c r="S116" s="91" t="s">
        <v>3576</v>
      </c>
      <c r="T116" s="91"/>
      <c r="U116" s="87"/>
      <c r="V116" s="52" t="s">
        <v>1055</v>
      </c>
      <c r="W116" s="13" t="s">
        <v>0</v>
      </c>
      <c r="X116" s="82" t="s">
        <v>12</v>
      </c>
      <c r="Y116" s="91" t="s">
        <v>3576</v>
      </c>
      <c r="Z116" s="91"/>
      <c r="AA116" s="87"/>
      <c r="AB116" s="19" t="s">
        <v>1256</v>
      </c>
      <c r="AC116" s="13" t="s">
        <v>15</v>
      </c>
      <c r="AD116" s="82" t="s">
        <v>20</v>
      </c>
      <c r="AE116" s="91" t="s">
        <v>3576</v>
      </c>
      <c r="AF116" s="91"/>
      <c r="AG116" s="87"/>
      <c r="AH116" s="56" t="s">
        <v>1453</v>
      </c>
      <c r="AI116" s="13" t="s">
        <v>15</v>
      </c>
      <c r="AJ116" s="82" t="s">
        <v>20</v>
      </c>
      <c r="AK116" s="91" t="s">
        <v>3576</v>
      </c>
      <c r="AL116" s="91"/>
      <c r="AM116" s="105"/>
      <c r="AN116" s="23" t="s">
        <v>1652</v>
      </c>
      <c r="AO116" s="13" t="s">
        <v>15</v>
      </c>
      <c r="AP116" s="82" t="s">
        <v>20</v>
      </c>
      <c r="AQ116" s="91" t="s">
        <v>3576</v>
      </c>
      <c r="AR116" s="91"/>
      <c r="AS116" s="87"/>
      <c r="AT116" s="21" t="s">
        <v>1849</v>
      </c>
      <c r="AU116" s="13" t="s">
        <v>15</v>
      </c>
      <c r="AV116" s="82" t="s">
        <v>20</v>
      </c>
      <c r="AW116" s="91" t="s">
        <v>3576</v>
      </c>
      <c r="AX116" s="91"/>
      <c r="AY116" s="87"/>
      <c r="AZ116" s="22" t="s">
        <v>2047</v>
      </c>
      <c r="BA116" s="13" t="s">
        <v>15</v>
      </c>
      <c r="BB116" s="82" t="s">
        <v>19</v>
      </c>
      <c r="BC116" s="91" t="s">
        <v>3577</v>
      </c>
      <c r="BD116" s="91"/>
      <c r="BE116" s="87"/>
      <c r="BF116" s="24" t="s">
        <v>2241</v>
      </c>
      <c r="BG116" s="13" t="s">
        <v>15</v>
      </c>
      <c r="BH116" s="82" t="s">
        <v>20</v>
      </c>
      <c r="BI116" s="91" t="s">
        <v>3576</v>
      </c>
      <c r="BJ116" s="91"/>
      <c r="BK116" s="87"/>
      <c r="BL116" s="27" t="s">
        <v>2430</v>
      </c>
      <c r="BM116" s="13" t="s">
        <v>15</v>
      </c>
      <c r="BN116" s="82" t="s">
        <v>20</v>
      </c>
      <c r="BO116" s="91" t="s">
        <v>3576</v>
      </c>
      <c r="BP116" s="91"/>
      <c r="BQ116" s="105"/>
      <c r="BR116" s="72" t="s">
        <v>2626</v>
      </c>
      <c r="BS116" s="13" t="s">
        <v>0</v>
      </c>
      <c r="BT116" s="82" t="s">
        <v>12</v>
      </c>
      <c r="BU116" s="91" t="s">
        <v>3577</v>
      </c>
      <c r="BV116" s="91"/>
      <c r="BW116" s="87"/>
      <c r="BX116" s="49" t="s">
        <v>2821</v>
      </c>
      <c r="BY116" s="13" t="s">
        <v>0</v>
      </c>
      <c r="BZ116" s="82" t="s">
        <v>12</v>
      </c>
      <c r="CA116" s="91" t="s">
        <v>3577</v>
      </c>
      <c r="CB116" s="91"/>
      <c r="CC116" s="264"/>
      <c r="CD116" s="52" t="s">
        <v>2993</v>
      </c>
      <c r="CE116" s="13" t="s">
        <v>0</v>
      </c>
      <c r="CF116" s="82" t="s">
        <v>12</v>
      </c>
      <c r="CG116" s="91" t="s">
        <v>3577</v>
      </c>
      <c r="CH116" s="91"/>
      <c r="CI116" s="87"/>
      <c r="CJ116" s="19" t="s">
        <v>3155</v>
      </c>
      <c r="CK116" s="13" t="s">
        <v>0</v>
      </c>
      <c r="CL116" s="82" t="s">
        <v>12</v>
      </c>
      <c r="CM116" s="91" t="s">
        <v>3577</v>
      </c>
      <c r="CN116" s="91"/>
      <c r="CO116" s="87"/>
      <c r="CP116" s="56" t="s">
        <v>3291</v>
      </c>
      <c r="CQ116" s="13" t="s">
        <v>0</v>
      </c>
      <c r="CR116" s="82" t="s">
        <v>12</v>
      </c>
      <c r="CS116" s="91" t="s">
        <v>3577</v>
      </c>
      <c r="CT116" s="91"/>
      <c r="CU116" s="105"/>
    </row>
    <row r="117" spans="1:99" ht="42" customHeight="1" thickBot="1" x14ac:dyDescent="0.4">
      <c r="A117" s="40" t="s">
        <v>92</v>
      </c>
      <c r="B117" s="40" t="s">
        <v>253</v>
      </c>
      <c r="C117" s="40" t="s">
        <v>444</v>
      </c>
      <c r="D117" s="135" t="s">
        <v>3401</v>
      </c>
      <c r="E117" s="314" t="s">
        <v>3855</v>
      </c>
      <c r="F117" s="315" t="s">
        <v>3376</v>
      </c>
      <c r="G117" s="315" t="s">
        <v>3856</v>
      </c>
      <c r="H117" s="142" t="s">
        <v>3608</v>
      </c>
      <c r="I117" s="138" t="s">
        <v>3559</v>
      </c>
      <c r="J117" s="136" t="s">
        <v>632</v>
      </c>
      <c r="K117" s="13" t="s">
        <v>15</v>
      </c>
      <c r="L117" s="82" t="s">
        <v>19</v>
      </c>
      <c r="M117" s="146" t="s">
        <v>3577</v>
      </c>
      <c r="N117" s="91"/>
      <c r="O117" s="87" t="s">
        <v>3571</v>
      </c>
      <c r="P117" s="49" t="s">
        <v>833</v>
      </c>
      <c r="Q117" s="13" t="s">
        <v>15</v>
      </c>
      <c r="R117" s="82" t="s">
        <v>19</v>
      </c>
      <c r="S117" s="91" t="s">
        <v>3577</v>
      </c>
      <c r="T117" s="91"/>
      <c r="U117" s="87" t="s">
        <v>3572</v>
      </c>
      <c r="V117" s="52" t="s">
        <v>1031</v>
      </c>
      <c r="W117" s="13" t="s">
        <v>15</v>
      </c>
      <c r="X117" s="82" t="s">
        <v>19</v>
      </c>
      <c r="Y117" s="91" t="s">
        <v>3577</v>
      </c>
      <c r="Z117" s="91"/>
      <c r="AA117" s="87" t="s">
        <v>3572</v>
      </c>
      <c r="AB117" s="19" t="s">
        <v>1231</v>
      </c>
      <c r="AC117" s="13" t="s">
        <v>15</v>
      </c>
      <c r="AD117" s="82" t="s">
        <v>19</v>
      </c>
      <c r="AE117" s="91" t="s">
        <v>3577</v>
      </c>
      <c r="AF117" s="91"/>
      <c r="AG117" s="87" t="s">
        <v>3572</v>
      </c>
      <c r="AH117" s="56" t="s">
        <v>1430</v>
      </c>
      <c r="AI117" s="13" t="s">
        <v>15</v>
      </c>
      <c r="AJ117" s="82" t="s">
        <v>19</v>
      </c>
      <c r="AK117" s="91" t="s">
        <v>3577</v>
      </c>
      <c r="AL117" s="91"/>
      <c r="AM117" s="105" t="s">
        <v>3568</v>
      </c>
      <c r="AN117" s="23" t="s">
        <v>1628</v>
      </c>
      <c r="AO117" s="13" t="s">
        <v>15</v>
      </c>
      <c r="AP117" s="82" t="s">
        <v>19</v>
      </c>
      <c r="AQ117" s="91" t="s">
        <v>3577</v>
      </c>
      <c r="AR117" s="91"/>
      <c r="AS117" s="87" t="s">
        <v>3568</v>
      </c>
      <c r="AT117" s="21" t="s">
        <v>1826</v>
      </c>
      <c r="AU117" s="13" t="s">
        <v>15</v>
      </c>
      <c r="AV117" s="82" t="s">
        <v>19</v>
      </c>
      <c r="AW117" s="91" t="s">
        <v>3577</v>
      </c>
      <c r="AX117" s="91"/>
      <c r="AY117" s="87" t="s">
        <v>3568</v>
      </c>
      <c r="AZ117" s="22" t="s">
        <v>2023</v>
      </c>
      <c r="BA117" s="13" t="s">
        <v>15</v>
      </c>
      <c r="BB117" s="82" t="s">
        <v>19</v>
      </c>
      <c r="BC117" s="91" t="s">
        <v>3577</v>
      </c>
      <c r="BD117" s="91"/>
      <c r="BE117" s="87" t="s">
        <v>3568</v>
      </c>
      <c r="BF117" s="24" t="s">
        <v>2220</v>
      </c>
      <c r="BG117" s="13" t="s">
        <v>15</v>
      </c>
      <c r="BH117" s="82" t="s">
        <v>19</v>
      </c>
      <c r="BI117" s="91" t="s">
        <v>3577</v>
      </c>
      <c r="BJ117" s="91"/>
      <c r="BK117" s="87" t="s">
        <v>3568</v>
      </c>
      <c r="BL117" s="27" t="s">
        <v>2408</v>
      </c>
      <c r="BM117" s="13" t="s">
        <v>15</v>
      </c>
      <c r="BN117" s="82" t="s">
        <v>19</v>
      </c>
      <c r="BO117" s="91" t="s">
        <v>3577</v>
      </c>
      <c r="BP117" s="91"/>
      <c r="BQ117" s="105" t="s">
        <v>3568</v>
      </c>
      <c r="BR117" s="72" t="s">
        <v>2605</v>
      </c>
      <c r="BS117" s="13" t="s">
        <v>15</v>
      </c>
      <c r="BT117" s="82" t="s">
        <v>19</v>
      </c>
      <c r="BU117" s="91" t="s">
        <v>3577</v>
      </c>
      <c r="BV117" s="91"/>
      <c r="BW117" s="87" t="s">
        <v>3565</v>
      </c>
      <c r="BX117" s="49" t="s">
        <v>2797</v>
      </c>
      <c r="BY117" s="13" t="s">
        <v>15</v>
      </c>
      <c r="BZ117" s="82" t="s">
        <v>19</v>
      </c>
      <c r="CA117" s="91" t="s">
        <v>3577</v>
      </c>
      <c r="CB117" s="91"/>
      <c r="CC117" s="264" t="s">
        <v>3565</v>
      </c>
      <c r="CD117" s="52" t="s">
        <v>2972</v>
      </c>
      <c r="CE117" s="13" t="s">
        <v>15</v>
      </c>
      <c r="CF117" s="82" t="s">
        <v>19</v>
      </c>
      <c r="CG117" s="91" t="s">
        <v>3577</v>
      </c>
      <c r="CH117" s="91"/>
      <c r="CI117" s="87" t="s">
        <v>3559</v>
      </c>
      <c r="CJ117" s="19" t="s">
        <v>3142</v>
      </c>
      <c r="CK117" s="13" t="s">
        <v>15</v>
      </c>
      <c r="CL117" s="82" t="s">
        <v>19</v>
      </c>
      <c r="CM117" s="91" t="s">
        <v>3577</v>
      </c>
      <c r="CN117" s="91"/>
      <c r="CO117" s="87" t="s">
        <v>3568</v>
      </c>
      <c r="CP117" s="56" t="s">
        <v>3279</v>
      </c>
      <c r="CQ117" s="13" t="s">
        <v>15</v>
      </c>
      <c r="CR117" s="82" t="s">
        <v>19</v>
      </c>
      <c r="CS117" s="91" t="s">
        <v>3577</v>
      </c>
      <c r="CT117" s="91"/>
      <c r="CU117" s="105" t="s">
        <v>3565</v>
      </c>
    </row>
    <row r="118" spans="1:99" ht="84.5" customHeight="1" thickBot="1" x14ac:dyDescent="0.4">
      <c r="A118" s="40" t="s">
        <v>186</v>
      </c>
      <c r="B118" s="40" t="s">
        <v>370</v>
      </c>
      <c r="C118" s="40" t="s">
        <v>560</v>
      </c>
      <c r="D118" s="135" t="s">
        <v>3767</v>
      </c>
      <c r="E118" s="314" t="s">
        <v>3855</v>
      </c>
      <c r="F118" s="315" t="s">
        <v>3371</v>
      </c>
      <c r="G118" s="315" t="s">
        <v>3859</v>
      </c>
      <c r="H118" s="142" t="s">
        <v>3768</v>
      </c>
      <c r="I118" s="138" t="s">
        <v>3568</v>
      </c>
      <c r="J118" s="136" t="s">
        <v>751</v>
      </c>
      <c r="K118" s="13" t="s">
        <v>15</v>
      </c>
      <c r="L118" s="82" t="s">
        <v>4</v>
      </c>
      <c r="M118" s="146" t="s">
        <v>3576</v>
      </c>
      <c r="N118" s="91"/>
      <c r="O118" s="87"/>
      <c r="P118" s="49" t="s">
        <v>950</v>
      </c>
      <c r="Q118" s="13" t="s">
        <v>15</v>
      </c>
      <c r="R118" s="82" t="s">
        <v>4</v>
      </c>
      <c r="S118" s="91" t="s">
        <v>3576</v>
      </c>
      <c r="T118" s="91"/>
      <c r="U118" s="87"/>
      <c r="V118" s="52" t="s">
        <v>1148</v>
      </c>
      <c r="W118" s="13" t="s">
        <v>15</v>
      </c>
      <c r="X118" s="82" t="s">
        <v>4</v>
      </c>
      <c r="Y118" s="91" t="s">
        <v>3576</v>
      </c>
      <c r="Z118" s="91"/>
      <c r="AA118" s="87"/>
      <c r="AB118" s="19" t="s">
        <v>1347</v>
      </c>
      <c r="AC118" s="13" t="s">
        <v>15</v>
      </c>
      <c r="AD118" s="82" t="s">
        <v>4</v>
      </c>
      <c r="AE118" s="91" t="s">
        <v>3576</v>
      </c>
      <c r="AF118" s="91"/>
      <c r="AG118" s="87"/>
      <c r="AH118" s="56" t="s">
        <v>1545</v>
      </c>
      <c r="AI118" s="13" t="s">
        <v>15</v>
      </c>
      <c r="AJ118" s="82" t="s">
        <v>4</v>
      </c>
      <c r="AK118" s="91" t="s">
        <v>3576</v>
      </c>
      <c r="AL118" s="91"/>
      <c r="AM118" s="105"/>
      <c r="AN118" s="23" t="s">
        <v>1744</v>
      </c>
      <c r="AO118" s="13" t="s">
        <v>15</v>
      </c>
      <c r="AP118" s="82" t="s">
        <v>19</v>
      </c>
      <c r="AQ118" s="91" t="s">
        <v>3577</v>
      </c>
      <c r="AR118" s="91"/>
      <c r="AS118" s="87"/>
      <c r="AT118" s="21" t="s">
        <v>1941</v>
      </c>
      <c r="AU118" s="13" t="s">
        <v>15</v>
      </c>
      <c r="AV118" s="82" t="s">
        <v>19</v>
      </c>
      <c r="AW118" s="91" t="s">
        <v>3577</v>
      </c>
      <c r="AX118" s="91"/>
      <c r="AY118" s="87"/>
      <c r="AZ118" s="22" t="s">
        <v>2137</v>
      </c>
      <c r="BA118" s="13" t="s">
        <v>15</v>
      </c>
      <c r="BB118" s="82" t="s">
        <v>4</v>
      </c>
      <c r="BC118" s="91" t="s">
        <v>3576</v>
      </c>
      <c r="BD118" s="91"/>
      <c r="BE118" s="87"/>
      <c r="BF118" s="24" t="s">
        <v>2329</v>
      </c>
      <c r="BG118" s="13" t="s">
        <v>15</v>
      </c>
      <c r="BH118" s="82" t="s">
        <v>19</v>
      </c>
      <c r="BI118" s="91" t="s">
        <v>3577</v>
      </c>
      <c r="BJ118" s="91"/>
      <c r="BK118" s="87"/>
      <c r="BL118" s="27" t="s">
        <v>2520</v>
      </c>
      <c r="BM118" s="13" t="s">
        <v>15</v>
      </c>
      <c r="BN118" s="82" t="s">
        <v>19</v>
      </c>
      <c r="BO118" s="91" t="s">
        <v>3577</v>
      </c>
      <c r="BP118" s="91"/>
      <c r="BQ118" s="105"/>
      <c r="BR118" s="72" t="s">
        <v>2718</v>
      </c>
      <c r="BS118" s="13" t="s">
        <v>15</v>
      </c>
      <c r="BT118" s="82" t="s">
        <v>4</v>
      </c>
      <c r="BU118" s="91" t="s">
        <v>3576</v>
      </c>
      <c r="BV118" s="91"/>
      <c r="BW118" s="87"/>
      <c r="BX118" s="49" t="s">
        <v>2901</v>
      </c>
      <c r="BY118" s="13" t="s">
        <v>15</v>
      </c>
      <c r="BZ118" s="82" t="s">
        <v>4</v>
      </c>
      <c r="CA118" s="91" t="s">
        <v>3576</v>
      </c>
      <c r="CB118" s="91"/>
      <c r="CC118" s="87"/>
      <c r="CD118" s="52" t="s">
        <v>3071</v>
      </c>
      <c r="CE118" s="13" t="s">
        <v>15</v>
      </c>
      <c r="CF118" s="82" t="s">
        <v>4</v>
      </c>
      <c r="CG118" s="91" t="s">
        <v>3576</v>
      </c>
      <c r="CH118" s="91"/>
      <c r="CI118" s="87"/>
      <c r="CJ118" s="19" t="s">
        <v>3219</v>
      </c>
      <c r="CK118" s="13" t="s">
        <v>15</v>
      </c>
      <c r="CL118" s="82" t="s">
        <v>4</v>
      </c>
      <c r="CM118" s="91" t="s">
        <v>3576</v>
      </c>
      <c r="CN118" s="91"/>
      <c r="CO118" s="87"/>
      <c r="CP118" s="56" t="s">
        <v>2718</v>
      </c>
      <c r="CQ118" s="13" t="s">
        <v>15</v>
      </c>
      <c r="CR118" s="82" t="s">
        <v>4</v>
      </c>
      <c r="CS118" s="91" t="s">
        <v>3576</v>
      </c>
      <c r="CT118" s="91"/>
      <c r="CU118" s="105"/>
    </row>
    <row r="119" spans="1:99" ht="106" customHeight="1" thickBot="1" x14ac:dyDescent="0.4">
      <c r="A119" s="40" t="s">
        <v>138</v>
      </c>
      <c r="B119" s="40" t="s">
        <v>302</v>
      </c>
      <c r="C119" s="40" t="s">
        <v>502</v>
      </c>
      <c r="D119" s="135" t="s">
        <v>3449</v>
      </c>
      <c r="E119" s="314" t="s">
        <v>3855</v>
      </c>
      <c r="F119" s="315" t="s">
        <v>3445</v>
      </c>
      <c r="G119" s="315" t="s">
        <v>3860</v>
      </c>
      <c r="H119" s="142"/>
      <c r="I119" s="138"/>
      <c r="J119" s="136" t="s">
        <v>683</v>
      </c>
      <c r="K119" s="13" t="s">
        <v>15</v>
      </c>
      <c r="L119" s="82" t="s">
        <v>4</v>
      </c>
      <c r="M119" s="146" t="s">
        <v>3576</v>
      </c>
      <c r="N119" s="91"/>
      <c r="O119" s="87"/>
      <c r="P119" s="49" t="s">
        <v>882</v>
      </c>
      <c r="Q119" s="13" t="s">
        <v>0</v>
      </c>
      <c r="R119" s="82" t="s">
        <v>12</v>
      </c>
      <c r="S119" s="91" t="s">
        <v>3577</v>
      </c>
      <c r="T119" s="91"/>
      <c r="U119" s="87"/>
      <c r="V119" s="52" t="s">
        <v>1081</v>
      </c>
      <c r="W119" s="13" t="s">
        <v>0</v>
      </c>
      <c r="X119" s="82" t="s">
        <v>12</v>
      </c>
      <c r="Y119" s="91" t="s">
        <v>3577</v>
      </c>
      <c r="Z119" s="91"/>
      <c r="AA119" s="87"/>
      <c r="AB119" s="19" t="s">
        <v>1282</v>
      </c>
      <c r="AC119" s="13" t="s">
        <v>15</v>
      </c>
      <c r="AD119" s="82" t="s">
        <v>4</v>
      </c>
      <c r="AE119" s="91" t="s">
        <v>3576</v>
      </c>
      <c r="AF119" s="91"/>
      <c r="AG119" s="87"/>
      <c r="AH119" s="56" t="s">
        <v>1478</v>
      </c>
      <c r="AI119" s="13" t="s">
        <v>15</v>
      </c>
      <c r="AJ119" s="82" t="s">
        <v>4</v>
      </c>
      <c r="AK119" s="91" t="s">
        <v>3576</v>
      </c>
      <c r="AL119" s="91"/>
      <c r="AM119" s="105"/>
      <c r="AN119" s="23" t="s">
        <v>1678</v>
      </c>
      <c r="AO119" s="13" t="s">
        <v>0</v>
      </c>
      <c r="AP119" s="82" t="s">
        <v>12</v>
      </c>
      <c r="AQ119" s="91" t="s">
        <v>3577</v>
      </c>
      <c r="AR119" s="91"/>
      <c r="AS119" s="87"/>
      <c r="AT119" s="21" t="s">
        <v>1875</v>
      </c>
      <c r="AU119" s="13" t="s">
        <v>0</v>
      </c>
      <c r="AV119" s="82" t="s">
        <v>12</v>
      </c>
      <c r="AW119" s="91" t="s">
        <v>3577</v>
      </c>
      <c r="AX119" s="91"/>
      <c r="AY119" s="87"/>
      <c r="AZ119" s="22" t="s">
        <v>2072</v>
      </c>
      <c r="BA119" s="13" t="s">
        <v>0</v>
      </c>
      <c r="BB119" s="82" t="s">
        <v>12</v>
      </c>
      <c r="BC119" s="91" t="s">
        <v>3577</v>
      </c>
      <c r="BD119" s="91"/>
      <c r="BE119" s="87"/>
      <c r="BF119" s="26" t="s">
        <v>2267</v>
      </c>
      <c r="BG119" s="13" t="s">
        <v>15</v>
      </c>
      <c r="BH119" s="82" t="s">
        <v>4</v>
      </c>
      <c r="BI119" s="91" t="s">
        <v>3576</v>
      </c>
      <c r="BJ119" s="91"/>
      <c r="BK119" s="87"/>
      <c r="BL119" s="27" t="s">
        <v>2454</v>
      </c>
      <c r="BM119" s="13" t="s">
        <v>0</v>
      </c>
      <c r="BN119" s="82" t="s">
        <v>12</v>
      </c>
      <c r="BO119" s="91" t="s">
        <v>3577</v>
      </c>
      <c r="BP119" s="91"/>
      <c r="BQ119" s="105"/>
      <c r="BR119" s="72" t="s">
        <v>2652</v>
      </c>
      <c r="BS119" s="13" t="s">
        <v>0</v>
      </c>
      <c r="BT119" s="82" t="s">
        <v>12</v>
      </c>
      <c r="BU119" s="91" t="s">
        <v>3577</v>
      </c>
      <c r="BV119" s="91"/>
      <c r="BW119" s="87"/>
      <c r="BX119" s="49" t="s">
        <v>2841</v>
      </c>
      <c r="BY119" s="13" t="s">
        <v>0</v>
      </c>
      <c r="BZ119" s="82" t="s">
        <v>12</v>
      </c>
      <c r="CA119" s="91" t="s">
        <v>3577</v>
      </c>
      <c r="CB119" s="91"/>
      <c r="CC119" s="264"/>
      <c r="CD119" s="52" t="s">
        <v>3016</v>
      </c>
      <c r="CE119" s="13" t="s">
        <v>0</v>
      </c>
      <c r="CF119" s="82" t="s">
        <v>12</v>
      </c>
      <c r="CG119" s="91" t="s">
        <v>3577</v>
      </c>
      <c r="CH119" s="91"/>
      <c r="CI119" s="87"/>
      <c r="CJ119" s="19" t="s">
        <v>3176</v>
      </c>
      <c r="CK119" s="13" t="s">
        <v>0</v>
      </c>
      <c r="CL119" s="82" t="s">
        <v>12</v>
      </c>
      <c r="CM119" s="91" t="s">
        <v>3577</v>
      </c>
      <c r="CN119" s="91"/>
      <c r="CO119" s="87"/>
      <c r="CP119" s="56" t="s">
        <v>3304</v>
      </c>
      <c r="CQ119" s="13" t="s">
        <v>0</v>
      </c>
      <c r="CR119" s="82" t="s">
        <v>12</v>
      </c>
      <c r="CS119" s="91" t="s">
        <v>3577</v>
      </c>
      <c r="CT119" s="91"/>
      <c r="CU119" s="105"/>
    </row>
    <row r="120" spans="1:99" ht="63.5" customHeight="1" thickBot="1" x14ac:dyDescent="0.4">
      <c r="A120" s="40" t="s">
        <v>225</v>
      </c>
      <c r="B120" s="40" t="s">
        <v>423</v>
      </c>
      <c r="C120" s="40" t="s">
        <v>604</v>
      </c>
      <c r="D120" s="135" t="s">
        <v>3549</v>
      </c>
      <c r="E120" s="325" t="s">
        <v>3873</v>
      </c>
      <c r="F120" s="326" t="s">
        <v>3378</v>
      </c>
      <c r="G120" s="326" t="s">
        <v>3874</v>
      </c>
      <c r="H120" s="142"/>
      <c r="I120" s="138"/>
      <c r="J120" s="136" t="s">
        <v>804</v>
      </c>
      <c r="K120" s="13" t="s">
        <v>0</v>
      </c>
      <c r="L120" s="82" t="s">
        <v>12</v>
      </c>
      <c r="M120" s="146" t="s">
        <v>3577</v>
      </c>
      <c r="N120" s="91"/>
      <c r="O120" s="87"/>
      <c r="P120" s="49" t="s">
        <v>1001</v>
      </c>
      <c r="Q120" s="13" t="s">
        <v>0</v>
      </c>
      <c r="R120" s="82" t="s">
        <v>12</v>
      </c>
      <c r="S120" s="91" t="s">
        <v>3577</v>
      </c>
      <c r="T120" s="91"/>
      <c r="U120" s="87"/>
      <c r="V120" s="52" t="s">
        <v>1201</v>
      </c>
      <c r="W120" s="13" t="s">
        <v>0</v>
      </c>
      <c r="X120" s="82" t="s">
        <v>12</v>
      </c>
      <c r="Y120" s="91" t="s">
        <v>3577</v>
      </c>
      <c r="Z120" s="91"/>
      <c r="AA120" s="87"/>
      <c r="AB120" s="19" t="s">
        <v>1400</v>
      </c>
      <c r="AC120" s="13" t="s">
        <v>0</v>
      </c>
      <c r="AD120" s="82" t="s">
        <v>12</v>
      </c>
      <c r="AE120" s="91" t="s">
        <v>3577</v>
      </c>
      <c r="AF120" s="91"/>
      <c r="AG120" s="87"/>
      <c r="AH120" s="56" t="s">
        <v>1598</v>
      </c>
      <c r="AI120" s="13" t="s">
        <v>0</v>
      </c>
      <c r="AJ120" s="82" t="s">
        <v>12</v>
      </c>
      <c r="AK120" s="91" t="s">
        <v>3577</v>
      </c>
      <c r="AL120" s="91"/>
      <c r="AM120" s="105"/>
      <c r="AN120" s="23" t="s">
        <v>1797</v>
      </c>
      <c r="AO120" s="13" t="s">
        <v>0</v>
      </c>
      <c r="AP120" s="82" t="s">
        <v>12</v>
      </c>
      <c r="AQ120" s="91" t="s">
        <v>3577</v>
      </c>
      <c r="AR120" s="91"/>
      <c r="AS120" s="87"/>
      <c r="AT120" s="21" t="s">
        <v>1994</v>
      </c>
      <c r="AU120" s="13" t="s">
        <v>0</v>
      </c>
      <c r="AV120" s="82" t="s">
        <v>12</v>
      </c>
      <c r="AW120" s="91" t="s">
        <v>3577</v>
      </c>
      <c r="AX120" s="91"/>
      <c r="AY120" s="87"/>
      <c r="AZ120" s="22" t="s">
        <v>2190</v>
      </c>
      <c r="BA120" s="13" t="s">
        <v>0</v>
      </c>
      <c r="BB120" s="82" t="s">
        <v>12</v>
      </c>
      <c r="BC120" s="91" t="s">
        <v>3577</v>
      </c>
      <c r="BD120" s="91"/>
      <c r="BE120" s="87"/>
      <c r="BF120" s="24" t="s">
        <v>2379</v>
      </c>
      <c r="BG120" s="13" t="s">
        <v>0</v>
      </c>
      <c r="BH120" s="82" t="s">
        <v>12</v>
      </c>
      <c r="BI120" s="91" t="s">
        <v>3577</v>
      </c>
      <c r="BJ120" s="91"/>
      <c r="BK120" s="87"/>
      <c r="BL120" s="27" t="s">
        <v>2572</v>
      </c>
      <c r="BM120" s="13" t="s">
        <v>0</v>
      </c>
      <c r="BN120" s="82" t="s">
        <v>12</v>
      </c>
      <c r="BO120" s="91" t="s">
        <v>3577</v>
      </c>
      <c r="BP120" s="91"/>
      <c r="BQ120" s="105"/>
      <c r="BR120" s="72" t="s">
        <v>2771</v>
      </c>
      <c r="BS120" s="13" t="s">
        <v>0</v>
      </c>
      <c r="BT120" s="82" t="s">
        <v>12</v>
      </c>
      <c r="BU120" s="91" t="s">
        <v>3577</v>
      </c>
      <c r="BV120" s="91"/>
      <c r="BW120" s="87"/>
      <c r="BX120" s="49" t="s">
        <v>2944</v>
      </c>
      <c r="BY120" s="13" t="s">
        <v>0</v>
      </c>
      <c r="BZ120" s="82" t="s">
        <v>12</v>
      </c>
      <c r="CA120" s="91" t="s">
        <v>3577</v>
      </c>
      <c r="CB120" s="91"/>
      <c r="CC120" s="87"/>
      <c r="CD120" s="52" t="s">
        <v>3120</v>
      </c>
      <c r="CE120" s="13" t="s">
        <v>0</v>
      </c>
      <c r="CF120" s="82" t="s">
        <v>12</v>
      </c>
      <c r="CG120" s="91" t="s">
        <v>3577</v>
      </c>
      <c r="CH120" s="91"/>
      <c r="CI120" s="87"/>
      <c r="CJ120" s="19" t="s">
        <v>3258</v>
      </c>
      <c r="CK120" s="13" t="s">
        <v>0</v>
      </c>
      <c r="CL120" s="82" t="s">
        <v>12</v>
      </c>
      <c r="CM120" s="91" t="s">
        <v>3577</v>
      </c>
      <c r="CN120" s="91"/>
      <c r="CO120" s="87"/>
      <c r="CP120" s="56" t="s">
        <v>3258</v>
      </c>
      <c r="CQ120" s="13" t="s">
        <v>0</v>
      </c>
      <c r="CR120" s="82" t="s">
        <v>12</v>
      </c>
      <c r="CS120" s="91" t="s">
        <v>3577</v>
      </c>
      <c r="CT120" s="91"/>
      <c r="CU120" s="105"/>
    </row>
    <row r="121" spans="1:99" ht="42" customHeight="1" thickBot="1" x14ac:dyDescent="0.4">
      <c r="A121" s="40" t="s">
        <v>211</v>
      </c>
      <c r="B121" s="40" t="s">
        <v>401</v>
      </c>
      <c r="C121" s="40" t="s">
        <v>517</v>
      </c>
      <c r="D121" s="135" t="s">
        <v>3794</v>
      </c>
      <c r="E121" s="323" t="s">
        <v>3869</v>
      </c>
      <c r="F121" s="324" t="s">
        <v>3392</v>
      </c>
      <c r="G121" s="324" t="s">
        <v>3870</v>
      </c>
      <c r="H121" s="142"/>
      <c r="I121" s="138"/>
      <c r="J121" s="136" t="s">
        <v>782</v>
      </c>
      <c r="K121" s="13" t="s">
        <v>15</v>
      </c>
      <c r="L121" s="82" t="s">
        <v>17</v>
      </c>
      <c r="M121" s="146" t="s">
        <v>3576</v>
      </c>
      <c r="N121" s="91"/>
      <c r="O121" s="87"/>
      <c r="P121" s="49" t="s">
        <v>980</v>
      </c>
      <c r="Q121" s="13" t="s">
        <v>15</v>
      </c>
      <c r="R121" s="82" t="s">
        <v>17</v>
      </c>
      <c r="S121" s="91" t="s">
        <v>3576</v>
      </c>
      <c r="T121" s="91"/>
      <c r="U121" s="87"/>
      <c r="V121" s="52" t="s">
        <v>1179</v>
      </c>
      <c r="W121" s="13" t="s">
        <v>15</v>
      </c>
      <c r="X121" s="82" t="s">
        <v>17</v>
      </c>
      <c r="Y121" s="91" t="s">
        <v>3576</v>
      </c>
      <c r="Z121" s="91"/>
      <c r="AA121" s="87"/>
      <c r="AB121" s="19" t="s">
        <v>1378</v>
      </c>
      <c r="AC121" s="13" t="s">
        <v>15</v>
      </c>
      <c r="AD121" s="82" t="s">
        <v>17</v>
      </c>
      <c r="AE121" s="91" t="s">
        <v>3576</v>
      </c>
      <c r="AF121" s="91"/>
      <c r="AG121" s="87"/>
      <c r="AH121" s="56" t="s">
        <v>1576</v>
      </c>
      <c r="AI121" s="13" t="s">
        <v>15</v>
      </c>
      <c r="AJ121" s="82" t="s">
        <v>17</v>
      </c>
      <c r="AK121" s="91" t="s">
        <v>3576</v>
      </c>
      <c r="AL121" s="91"/>
      <c r="AM121" s="105"/>
      <c r="AN121" s="23" t="s">
        <v>1775</v>
      </c>
      <c r="AO121" s="13" t="s">
        <v>0</v>
      </c>
      <c r="AP121" s="82" t="s">
        <v>12</v>
      </c>
      <c r="AQ121" s="91" t="s">
        <v>3577</v>
      </c>
      <c r="AR121" s="91"/>
      <c r="AS121" s="87"/>
      <c r="AT121" s="21" t="s">
        <v>1972</v>
      </c>
      <c r="AU121" s="13" t="s">
        <v>0</v>
      </c>
      <c r="AV121" s="82" t="s">
        <v>12</v>
      </c>
      <c r="AW121" s="91" t="s">
        <v>3577</v>
      </c>
      <c r="AX121" s="91"/>
      <c r="AY121" s="87"/>
      <c r="AZ121" s="22" t="s">
        <v>2168</v>
      </c>
      <c r="BA121" s="13" t="s">
        <v>0</v>
      </c>
      <c r="BB121" s="82" t="s">
        <v>12</v>
      </c>
      <c r="BC121" s="91" t="s">
        <v>3577</v>
      </c>
      <c r="BD121" s="91"/>
      <c r="BE121" s="87"/>
      <c r="BF121" s="24" t="s">
        <v>2359</v>
      </c>
      <c r="BG121" s="13" t="s">
        <v>0</v>
      </c>
      <c r="BH121" s="82" t="s">
        <v>12</v>
      </c>
      <c r="BI121" s="91" t="s">
        <v>3577</v>
      </c>
      <c r="BJ121" s="91"/>
      <c r="BK121" s="87"/>
      <c r="BL121" s="27" t="s">
        <v>2551</v>
      </c>
      <c r="BM121" s="13" t="s">
        <v>0</v>
      </c>
      <c r="BN121" s="82" t="s">
        <v>12</v>
      </c>
      <c r="BO121" s="91" t="s">
        <v>3577</v>
      </c>
      <c r="BP121" s="91"/>
      <c r="BQ121" s="105"/>
      <c r="BR121" s="72" t="s">
        <v>2749</v>
      </c>
      <c r="BS121" s="13" t="s">
        <v>15</v>
      </c>
      <c r="BT121" s="82" t="s">
        <v>20</v>
      </c>
      <c r="BU121" s="91" t="s">
        <v>3577</v>
      </c>
      <c r="BV121" s="91"/>
      <c r="BW121" s="87"/>
      <c r="BX121" s="49" t="s">
        <v>2749</v>
      </c>
      <c r="BY121" s="13" t="s">
        <v>15</v>
      </c>
      <c r="BZ121" s="82" t="s">
        <v>20</v>
      </c>
      <c r="CA121" s="91" t="s">
        <v>3577</v>
      </c>
      <c r="CB121" s="91"/>
      <c r="CC121" s="87"/>
      <c r="CD121" s="52" t="s">
        <v>3098</v>
      </c>
      <c r="CE121" s="13" t="s">
        <v>15</v>
      </c>
      <c r="CF121" s="82" t="s">
        <v>20</v>
      </c>
      <c r="CG121" s="91" t="s">
        <v>3577</v>
      </c>
      <c r="CH121" s="91"/>
      <c r="CI121" s="87"/>
      <c r="CJ121" s="19" t="s">
        <v>3243</v>
      </c>
      <c r="CK121" s="13" t="s">
        <v>0</v>
      </c>
      <c r="CL121" s="82" t="s">
        <v>12</v>
      </c>
      <c r="CM121" s="91" t="s">
        <v>3576</v>
      </c>
      <c r="CN121" s="91"/>
      <c r="CO121" s="87"/>
      <c r="CP121" s="56" t="s">
        <v>3356</v>
      </c>
      <c r="CQ121" s="13" t="s">
        <v>15</v>
      </c>
      <c r="CR121" s="82" t="s">
        <v>20</v>
      </c>
      <c r="CS121" s="91" t="s">
        <v>3577</v>
      </c>
      <c r="CT121" s="91"/>
      <c r="CU121" s="105"/>
    </row>
    <row r="122" spans="1:99" ht="42" customHeight="1" thickBot="1" x14ac:dyDescent="0.4">
      <c r="A122" s="40" t="s">
        <v>82</v>
      </c>
      <c r="B122" s="40" t="s">
        <v>243</v>
      </c>
      <c r="C122" s="40" t="s">
        <v>443</v>
      </c>
      <c r="D122" s="262" t="s">
        <v>3567</v>
      </c>
      <c r="E122" s="314" t="s">
        <v>3855</v>
      </c>
      <c r="F122" s="315" t="s">
        <v>3390</v>
      </c>
      <c r="G122" s="315" t="s">
        <v>3862</v>
      </c>
      <c r="H122" s="142" t="s">
        <v>3595</v>
      </c>
      <c r="I122" s="138" t="s">
        <v>3565</v>
      </c>
      <c r="J122" s="136" t="s">
        <v>622</v>
      </c>
      <c r="K122" s="13" t="s">
        <v>15</v>
      </c>
      <c r="L122" s="82" t="s">
        <v>9</v>
      </c>
      <c r="M122" s="146" t="s">
        <v>3576</v>
      </c>
      <c r="N122" s="91"/>
      <c r="O122" s="87" t="s">
        <v>3559</v>
      </c>
      <c r="P122" s="49" t="s">
        <v>823</v>
      </c>
      <c r="Q122" s="13" t="s">
        <v>15</v>
      </c>
      <c r="R122" s="82" t="s">
        <v>9</v>
      </c>
      <c r="S122" s="91" t="s">
        <v>3576</v>
      </c>
      <c r="T122" s="91"/>
      <c r="U122" s="87" t="s">
        <v>3559</v>
      </c>
      <c r="V122" s="52" t="s">
        <v>1021</v>
      </c>
      <c r="W122" s="13" t="s">
        <v>15</v>
      </c>
      <c r="X122" s="82" t="s">
        <v>9</v>
      </c>
      <c r="Y122" s="91" t="s">
        <v>3576</v>
      </c>
      <c r="Z122" s="91"/>
      <c r="AA122" s="87" t="s">
        <v>3559</v>
      </c>
      <c r="AB122" s="19" t="s">
        <v>1221</v>
      </c>
      <c r="AC122" s="13" t="s">
        <v>15</v>
      </c>
      <c r="AD122" s="82" t="s">
        <v>9</v>
      </c>
      <c r="AE122" s="91" t="s">
        <v>3576</v>
      </c>
      <c r="AF122" s="91"/>
      <c r="AG122" s="87" t="s">
        <v>3559</v>
      </c>
      <c r="AH122" s="56" t="s">
        <v>1420</v>
      </c>
      <c r="AI122" s="13" t="s">
        <v>15</v>
      </c>
      <c r="AJ122" s="82" t="s">
        <v>9</v>
      </c>
      <c r="AK122" s="91" t="s">
        <v>3576</v>
      </c>
      <c r="AL122" s="91"/>
      <c r="AM122" s="105" t="s">
        <v>3559</v>
      </c>
      <c r="AN122" s="297" t="s">
        <v>1618</v>
      </c>
      <c r="AO122" s="298" t="s">
        <v>0</v>
      </c>
      <c r="AP122" s="299" t="s">
        <v>12</v>
      </c>
      <c r="AQ122" s="300" t="s">
        <v>3576</v>
      </c>
      <c r="AR122" s="91"/>
      <c r="AS122" s="87" t="s">
        <v>3566</v>
      </c>
      <c r="AT122" s="21" t="s">
        <v>1817</v>
      </c>
      <c r="AU122" s="13" t="s">
        <v>15</v>
      </c>
      <c r="AV122" s="82" t="s">
        <v>19</v>
      </c>
      <c r="AW122" s="91" t="s">
        <v>3577</v>
      </c>
      <c r="AX122" s="91"/>
      <c r="AY122" s="87" t="s">
        <v>3555</v>
      </c>
      <c r="AZ122" s="22" t="s">
        <v>2014</v>
      </c>
      <c r="BA122" s="13" t="s">
        <v>0</v>
      </c>
      <c r="BB122" s="82" t="s">
        <v>12</v>
      </c>
      <c r="BC122" s="91" t="s">
        <v>3577</v>
      </c>
      <c r="BD122" s="91"/>
      <c r="BE122" s="87" t="s">
        <v>3566</v>
      </c>
      <c r="BF122" s="24" t="s">
        <v>2210</v>
      </c>
      <c r="BG122" s="13" t="s">
        <v>15</v>
      </c>
      <c r="BH122" s="82" t="s">
        <v>19</v>
      </c>
      <c r="BI122" s="91" t="s">
        <v>3577</v>
      </c>
      <c r="BJ122" s="91"/>
      <c r="BK122" s="87" t="s">
        <v>3555</v>
      </c>
      <c r="BL122" s="27" t="s">
        <v>2398</v>
      </c>
      <c r="BM122" s="13" t="s">
        <v>0</v>
      </c>
      <c r="BN122" s="82" t="s">
        <v>12</v>
      </c>
      <c r="BO122" s="91" t="s">
        <v>3577</v>
      </c>
      <c r="BP122" s="91"/>
      <c r="BQ122" s="105" t="s">
        <v>3566</v>
      </c>
      <c r="BR122" s="72" t="s">
        <v>2596</v>
      </c>
      <c r="BS122" s="13" t="s">
        <v>15</v>
      </c>
      <c r="BT122" s="82" t="s">
        <v>9</v>
      </c>
      <c r="BU122" s="91" t="s">
        <v>3576</v>
      </c>
      <c r="BV122" s="91"/>
      <c r="BW122" s="87" t="s">
        <v>3562</v>
      </c>
      <c r="BX122" s="49" t="s">
        <v>2788</v>
      </c>
      <c r="BY122" s="13" t="s">
        <v>15</v>
      </c>
      <c r="BZ122" s="82" t="s">
        <v>9</v>
      </c>
      <c r="CA122" s="91" t="s">
        <v>3576</v>
      </c>
      <c r="CB122" s="91"/>
      <c r="CC122" s="264" t="s">
        <v>3559</v>
      </c>
      <c r="CD122" s="52" t="s">
        <v>2962</v>
      </c>
      <c r="CE122" s="13" t="s">
        <v>15</v>
      </c>
      <c r="CF122" s="82" t="s">
        <v>9</v>
      </c>
      <c r="CG122" s="91" t="s">
        <v>3576</v>
      </c>
      <c r="CH122" s="91"/>
      <c r="CI122" s="87" t="s">
        <v>3559</v>
      </c>
      <c r="CJ122" s="19" t="s">
        <v>2596</v>
      </c>
      <c r="CK122" s="13" t="s">
        <v>15</v>
      </c>
      <c r="CL122" s="82" t="s">
        <v>9</v>
      </c>
      <c r="CM122" s="91" t="s">
        <v>3576</v>
      </c>
      <c r="CN122" s="91"/>
      <c r="CO122" s="87" t="s">
        <v>3559</v>
      </c>
      <c r="CP122" s="56" t="s">
        <v>3274</v>
      </c>
      <c r="CQ122" s="13" t="s">
        <v>15</v>
      </c>
      <c r="CR122" s="82" t="s">
        <v>9</v>
      </c>
      <c r="CS122" s="91" t="s">
        <v>3576</v>
      </c>
      <c r="CT122" s="91"/>
      <c r="CU122" s="105" t="s">
        <v>3559</v>
      </c>
    </row>
    <row r="123" spans="1:99" ht="42" customHeight="1" thickBot="1" x14ac:dyDescent="0.4">
      <c r="A123" s="40" t="s">
        <v>85</v>
      </c>
      <c r="B123" s="40" t="s">
        <v>246</v>
      </c>
      <c r="C123" s="40" t="s">
        <v>446</v>
      </c>
      <c r="D123" s="135" t="s">
        <v>3394</v>
      </c>
      <c r="E123" s="323" t="s">
        <v>3869</v>
      </c>
      <c r="F123" s="324" t="s">
        <v>3392</v>
      </c>
      <c r="G123" s="324" t="s">
        <v>3870</v>
      </c>
      <c r="H123" s="142" t="s">
        <v>3598</v>
      </c>
      <c r="I123" s="138" t="s">
        <v>3568</v>
      </c>
      <c r="J123" s="136" t="s">
        <v>625</v>
      </c>
      <c r="K123" s="13" t="s">
        <v>15</v>
      </c>
      <c r="L123" s="82" t="s">
        <v>20</v>
      </c>
      <c r="M123" s="146" t="s">
        <v>3577</v>
      </c>
      <c r="N123" s="91"/>
      <c r="O123" s="87"/>
      <c r="P123" s="49" t="s">
        <v>826</v>
      </c>
      <c r="Q123" s="13" t="s">
        <v>15</v>
      </c>
      <c r="R123" s="82" t="s">
        <v>20</v>
      </c>
      <c r="S123" s="91" t="s">
        <v>3577</v>
      </c>
      <c r="T123" s="91"/>
      <c r="U123" s="87"/>
      <c r="V123" s="52" t="s">
        <v>1024</v>
      </c>
      <c r="W123" s="13" t="s">
        <v>15</v>
      </c>
      <c r="X123" s="82" t="s">
        <v>20</v>
      </c>
      <c r="Y123" s="91" t="s">
        <v>3577</v>
      </c>
      <c r="Z123" s="91"/>
      <c r="AA123" s="87"/>
      <c r="AB123" s="19" t="s">
        <v>1224</v>
      </c>
      <c r="AC123" s="13" t="s">
        <v>15</v>
      </c>
      <c r="AD123" s="82" t="s">
        <v>4</v>
      </c>
      <c r="AE123" s="91" t="s">
        <v>3577</v>
      </c>
      <c r="AF123" s="91"/>
      <c r="AG123" s="87"/>
      <c r="AH123" s="56" t="s">
        <v>1423</v>
      </c>
      <c r="AI123" s="13" t="s">
        <v>15</v>
      </c>
      <c r="AJ123" s="82" t="s">
        <v>20</v>
      </c>
      <c r="AK123" s="91" t="s">
        <v>3577</v>
      </c>
      <c r="AL123" s="91"/>
      <c r="AM123" s="105"/>
      <c r="AN123" s="23" t="s">
        <v>1621</v>
      </c>
      <c r="AO123" s="13" t="s">
        <v>15</v>
      </c>
      <c r="AP123" s="82" t="s">
        <v>4</v>
      </c>
      <c r="AQ123" s="91" t="s">
        <v>3577</v>
      </c>
      <c r="AR123" s="91"/>
      <c r="AS123" s="87"/>
      <c r="AT123" s="21" t="s">
        <v>1820</v>
      </c>
      <c r="AU123" s="13" t="s">
        <v>0</v>
      </c>
      <c r="AV123" s="82" t="s">
        <v>7</v>
      </c>
      <c r="AW123" s="91" t="s">
        <v>3577</v>
      </c>
      <c r="AX123" s="91"/>
      <c r="AY123" s="351" t="s">
        <v>3707</v>
      </c>
      <c r="AZ123" s="22" t="s">
        <v>2017</v>
      </c>
      <c r="BA123" s="13" t="s">
        <v>0</v>
      </c>
      <c r="BB123" s="82" t="s">
        <v>12</v>
      </c>
      <c r="BC123" s="91" t="s">
        <v>3577</v>
      </c>
      <c r="BD123" s="91"/>
      <c r="BE123" s="87"/>
      <c r="BF123" s="24" t="s">
        <v>2213</v>
      </c>
      <c r="BG123" s="13" t="s">
        <v>15</v>
      </c>
      <c r="BH123" s="82" t="s">
        <v>20</v>
      </c>
      <c r="BI123" s="91" t="s">
        <v>3577</v>
      </c>
      <c r="BJ123" s="91"/>
      <c r="BK123" s="351" t="s">
        <v>3708</v>
      </c>
      <c r="BL123" s="27" t="s">
        <v>2401</v>
      </c>
      <c r="BM123" s="13" t="s">
        <v>15</v>
      </c>
      <c r="BN123" s="82" t="s">
        <v>20</v>
      </c>
      <c r="BO123" s="91" t="s">
        <v>3577</v>
      </c>
      <c r="BP123" s="91"/>
      <c r="BQ123" s="353" t="s">
        <v>3709</v>
      </c>
      <c r="BR123" s="72" t="s">
        <v>2791</v>
      </c>
      <c r="BS123" s="13" t="s">
        <v>6</v>
      </c>
      <c r="BT123" s="82" t="s">
        <v>8</v>
      </c>
      <c r="BU123" s="91" t="s">
        <v>3576</v>
      </c>
      <c r="BV123" s="91"/>
      <c r="BW123" s="351" t="s">
        <v>3710</v>
      </c>
      <c r="BX123" s="49" t="s">
        <v>2791</v>
      </c>
      <c r="BY123" s="13" t="s">
        <v>6</v>
      </c>
      <c r="BZ123" s="82" t="s">
        <v>8</v>
      </c>
      <c r="CA123" s="91" t="s">
        <v>3576</v>
      </c>
      <c r="CB123" s="91"/>
      <c r="CC123" s="264"/>
      <c r="CD123" s="52" t="s">
        <v>2965</v>
      </c>
      <c r="CE123" s="13" t="s">
        <v>0</v>
      </c>
      <c r="CF123" s="82" t="s">
        <v>12</v>
      </c>
      <c r="CG123" s="91" t="s">
        <v>3577</v>
      </c>
      <c r="CH123" s="91"/>
      <c r="CI123" s="87"/>
      <c r="CJ123" s="19" t="s">
        <v>3136</v>
      </c>
      <c r="CK123" s="13" t="s">
        <v>15</v>
      </c>
      <c r="CL123" s="82" t="s">
        <v>4</v>
      </c>
      <c r="CM123" s="91" t="s">
        <v>3577</v>
      </c>
      <c r="CN123" s="91"/>
      <c r="CO123" s="349" t="s">
        <v>3711</v>
      </c>
      <c r="CP123" s="56" t="s">
        <v>3275</v>
      </c>
      <c r="CQ123" s="13" t="s">
        <v>15</v>
      </c>
      <c r="CR123" s="82" t="s">
        <v>20</v>
      </c>
      <c r="CS123" s="91" t="s">
        <v>3577</v>
      </c>
      <c r="CT123" s="91"/>
      <c r="CU123" s="354" t="s">
        <v>3712</v>
      </c>
    </row>
    <row r="124" spans="1:99" ht="42" customHeight="1" thickBot="1" x14ac:dyDescent="0.4">
      <c r="A124" s="40" t="s">
        <v>105</v>
      </c>
      <c r="B124" s="40" t="s">
        <v>267</v>
      </c>
      <c r="C124" s="40" t="s">
        <v>466</v>
      </c>
      <c r="D124" s="135" t="s">
        <v>3414</v>
      </c>
      <c r="E124" s="314" t="s">
        <v>3855</v>
      </c>
      <c r="F124" s="315" t="s">
        <v>3371</v>
      </c>
      <c r="G124" s="315" t="s">
        <v>3859</v>
      </c>
      <c r="H124" s="142" t="s">
        <v>3624</v>
      </c>
      <c r="I124" s="138" t="s">
        <v>3559</v>
      </c>
      <c r="J124" s="136" t="s">
        <v>646</v>
      </c>
      <c r="K124" s="13" t="s">
        <v>11</v>
      </c>
      <c r="L124" s="82"/>
      <c r="M124" s="146" t="s">
        <v>3576</v>
      </c>
      <c r="N124" s="91"/>
      <c r="O124" s="87"/>
      <c r="P124" s="49" t="s">
        <v>847</v>
      </c>
      <c r="Q124" s="13" t="s">
        <v>11</v>
      </c>
      <c r="R124" s="82"/>
      <c r="S124" s="91" t="s">
        <v>3576</v>
      </c>
      <c r="T124" s="91"/>
      <c r="U124" s="87"/>
      <c r="V124" s="52" t="s">
        <v>1045</v>
      </c>
      <c r="W124" s="13" t="s">
        <v>11</v>
      </c>
      <c r="X124" s="82"/>
      <c r="Y124" s="91" t="s">
        <v>3576</v>
      </c>
      <c r="Z124" s="91"/>
      <c r="AA124" s="87"/>
      <c r="AB124" s="19" t="s">
        <v>1245</v>
      </c>
      <c r="AC124" s="13" t="s">
        <v>11</v>
      </c>
      <c r="AD124" s="82"/>
      <c r="AE124" s="91" t="s">
        <v>3576</v>
      </c>
      <c r="AF124" s="91"/>
      <c r="AG124" s="87"/>
      <c r="AH124" s="56" t="s">
        <v>1444</v>
      </c>
      <c r="AI124" s="13" t="s">
        <v>11</v>
      </c>
      <c r="AJ124" s="82"/>
      <c r="AK124" s="91" t="s">
        <v>3576</v>
      </c>
      <c r="AL124" s="91"/>
      <c r="AM124" s="105"/>
      <c r="AN124" s="23" t="s">
        <v>1641</v>
      </c>
      <c r="AO124" s="13" t="s">
        <v>11</v>
      </c>
      <c r="AP124" s="82"/>
      <c r="AQ124" s="91" t="s">
        <v>3576</v>
      </c>
      <c r="AR124" s="91"/>
      <c r="AS124" s="87"/>
      <c r="AT124" s="21" t="s">
        <v>1840</v>
      </c>
      <c r="AU124" s="13" t="s">
        <v>0</v>
      </c>
      <c r="AV124" s="82" t="s">
        <v>12</v>
      </c>
      <c r="AW124" s="91" t="s">
        <v>3576</v>
      </c>
      <c r="AX124" s="91"/>
      <c r="AY124" s="87"/>
      <c r="AZ124" s="22" t="s">
        <v>2037</v>
      </c>
      <c r="BA124" s="13" t="s">
        <v>11</v>
      </c>
      <c r="BB124" s="82"/>
      <c r="BC124" s="91" t="s">
        <v>3576</v>
      </c>
      <c r="BD124" s="91"/>
      <c r="BE124" s="87"/>
      <c r="BF124" s="24" t="s">
        <v>2234</v>
      </c>
      <c r="BG124" s="13" t="s">
        <v>11</v>
      </c>
      <c r="BH124" s="82"/>
      <c r="BI124" s="91" t="s">
        <v>3576</v>
      </c>
      <c r="BJ124" s="91"/>
      <c r="BK124" s="87"/>
      <c r="BL124" s="27" t="s">
        <v>2421</v>
      </c>
      <c r="BM124" s="13" t="s">
        <v>11</v>
      </c>
      <c r="BN124" s="82"/>
      <c r="BO124" s="91" t="s">
        <v>3576</v>
      </c>
      <c r="BP124" s="91"/>
      <c r="BQ124" s="105"/>
      <c r="BR124" s="72" t="s">
        <v>2617</v>
      </c>
      <c r="BS124" s="13" t="s">
        <v>0</v>
      </c>
      <c r="BT124" s="82" t="s">
        <v>12</v>
      </c>
      <c r="BU124" s="91" t="s">
        <v>3576</v>
      </c>
      <c r="BV124" s="91"/>
      <c r="BW124" s="87"/>
      <c r="BX124" s="49" t="s">
        <v>2810</v>
      </c>
      <c r="BY124" s="13" t="s">
        <v>0</v>
      </c>
      <c r="BZ124" s="82" t="s">
        <v>12</v>
      </c>
      <c r="CA124" s="91" t="s">
        <v>3576</v>
      </c>
      <c r="CB124" s="91"/>
      <c r="CC124" s="264"/>
      <c r="CD124" s="52" t="s">
        <v>2984</v>
      </c>
      <c r="CE124" s="13" t="s">
        <v>0</v>
      </c>
      <c r="CF124" s="82" t="s">
        <v>12</v>
      </c>
      <c r="CG124" s="91" t="s">
        <v>3576</v>
      </c>
      <c r="CH124" s="91"/>
      <c r="CI124" s="87"/>
      <c r="CJ124" s="19" t="s">
        <v>3151</v>
      </c>
      <c r="CK124" s="13" t="s">
        <v>0</v>
      </c>
      <c r="CL124" s="82" t="s">
        <v>12</v>
      </c>
      <c r="CM124" s="91" t="s">
        <v>3576</v>
      </c>
      <c r="CN124" s="91"/>
      <c r="CO124" s="87"/>
      <c r="CP124" s="56" t="s">
        <v>3288</v>
      </c>
      <c r="CQ124" s="13" t="s">
        <v>0</v>
      </c>
      <c r="CR124" s="82" t="s">
        <v>12</v>
      </c>
      <c r="CS124" s="91" t="s">
        <v>3576</v>
      </c>
      <c r="CT124" s="91"/>
      <c r="CU124" s="105"/>
    </row>
    <row r="125" spans="1:99" ht="42" customHeight="1" thickBot="1" x14ac:dyDescent="0.4">
      <c r="A125" s="40" t="s">
        <v>179</v>
      </c>
      <c r="B125" s="40" t="s">
        <v>358</v>
      </c>
      <c r="C125" s="40" t="s">
        <v>550</v>
      </c>
      <c r="D125" s="135" t="s">
        <v>3498</v>
      </c>
      <c r="E125" s="314" t="s">
        <v>3855</v>
      </c>
      <c r="F125" s="315" t="s">
        <v>3371</v>
      </c>
      <c r="G125" s="315" t="s">
        <v>3859</v>
      </c>
      <c r="H125" s="142" t="s">
        <v>3753</v>
      </c>
      <c r="I125" s="138" t="s">
        <v>3566</v>
      </c>
      <c r="J125" s="136" t="s">
        <v>739</v>
      </c>
      <c r="K125" s="13" t="s">
        <v>11</v>
      </c>
      <c r="L125" s="82"/>
      <c r="M125" s="146" t="s">
        <v>3577</v>
      </c>
      <c r="N125" s="91"/>
      <c r="O125" s="87"/>
      <c r="P125" s="49" t="s">
        <v>938</v>
      </c>
      <c r="Q125" s="13" t="s">
        <v>11</v>
      </c>
      <c r="R125" s="82"/>
      <c r="S125" s="91" t="s">
        <v>3576</v>
      </c>
      <c r="T125" s="91"/>
      <c r="U125" s="87"/>
      <c r="V125" s="52" t="s">
        <v>1136</v>
      </c>
      <c r="W125" s="13" t="s">
        <v>11</v>
      </c>
      <c r="X125" s="82"/>
      <c r="Y125" s="91" t="s">
        <v>3576</v>
      </c>
      <c r="Z125" s="91"/>
      <c r="AA125" s="87"/>
      <c r="AB125" s="19" t="s">
        <v>1335</v>
      </c>
      <c r="AC125" s="13" t="s">
        <v>15</v>
      </c>
      <c r="AD125" s="82" t="s">
        <v>9</v>
      </c>
      <c r="AE125" s="91" t="s">
        <v>3576</v>
      </c>
      <c r="AF125" s="91"/>
      <c r="AG125" s="87"/>
      <c r="AH125" s="56" t="s">
        <v>1533</v>
      </c>
      <c r="AI125" s="13" t="s">
        <v>15</v>
      </c>
      <c r="AJ125" s="82" t="s">
        <v>9</v>
      </c>
      <c r="AK125" s="91" t="s">
        <v>3576</v>
      </c>
      <c r="AL125" s="91"/>
      <c r="AM125" s="105"/>
      <c r="AN125" s="23" t="s">
        <v>1732</v>
      </c>
      <c r="AO125" s="13" t="s">
        <v>15</v>
      </c>
      <c r="AP125" s="82" t="s">
        <v>9</v>
      </c>
      <c r="AQ125" s="91" t="s">
        <v>3576</v>
      </c>
      <c r="AR125" s="91"/>
      <c r="AS125" s="87"/>
      <c r="AT125" s="21" t="s">
        <v>1930</v>
      </c>
      <c r="AU125" s="13" t="s">
        <v>15</v>
      </c>
      <c r="AV125" s="82" t="s">
        <v>9</v>
      </c>
      <c r="AW125" s="91" t="s">
        <v>3576</v>
      </c>
      <c r="AX125" s="91"/>
      <c r="AY125" s="87"/>
      <c r="AZ125" s="22" t="s">
        <v>2126</v>
      </c>
      <c r="BA125" s="13" t="s">
        <v>15</v>
      </c>
      <c r="BB125" s="82" t="s">
        <v>9</v>
      </c>
      <c r="BC125" s="91" t="s">
        <v>3576</v>
      </c>
      <c r="BD125" s="91"/>
      <c r="BE125" s="87"/>
      <c r="BF125" s="24" t="s">
        <v>2317</v>
      </c>
      <c r="BG125" s="13" t="s">
        <v>15</v>
      </c>
      <c r="BH125" s="82" t="s">
        <v>9</v>
      </c>
      <c r="BI125" s="91" t="s">
        <v>3576</v>
      </c>
      <c r="BJ125" s="91"/>
      <c r="BK125" s="87"/>
      <c r="BL125" s="27" t="s">
        <v>2508</v>
      </c>
      <c r="BM125" s="13" t="s">
        <v>15</v>
      </c>
      <c r="BN125" s="82" t="s">
        <v>9</v>
      </c>
      <c r="BO125" s="91" t="s">
        <v>3576</v>
      </c>
      <c r="BP125" s="91"/>
      <c r="BQ125" s="105"/>
      <c r="BR125" s="72" t="s">
        <v>2706</v>
      </c>
      <c r="BS125" s="13" t="s">
        <v>11</v>
      </c>
      <c r="BT125" s="82"/>
      <c r="BU125" s="91" t="s">
        <v>3576</v>
      </c>
      <c r="BV125" s="91"/>
      <c r="BW125" s="87"/>
      <c r="BX125" s="49" t="s">
        <v>2889</v>
      </c>
      <c r="BY125" s="13" t="s">
        <v>11</v>
      </c>
      <c r="BZ125" s="82"/>
      <c r="CA125" s="91" t="s">
        <v>3576</v>
      </c>
      <c r="CB125" s="91"/>
      <c r="CC125" s="87"/>
      <c r="CD125" s="52" t="s">
        <v>3062</v>
      </c>
      <c r="CE125" s="13" t="s">
        <v>11</v>
      </c>
      <c r="CF125" s="82"/>
      <c r="CG125" s="91" t="s">
        <v>3576</v>
      </c>
      <c r="CH125" s="91"/>
      <c r="CI125" s="87"/>
      <c r="CJ125" s="19" t="s">
        <v>3211</v>
      </c>
      <c r="CK125" s="13" t="s">
        <v>11</v>
      </c>
      <c r="CL125" s="82"/>
      <c r="CM125" s="91" t="s">
        <v>3576</v>
      </c>
      <c r="CN125" s="91"/>
      <c r="CO125" s="87"/>
      <c r="CP125" s="56" t="s">
        <v>3211</v>
      </c>
      <c r="CQ125" s="13" t="s">
        <v>11</v>
      </c>
      <c r="CR125" s="82"/>
      <c r="CS125" s="91" t="s">
        <v>3576</v>
      </c>
      <c r="CT125" s="91"/>
      <c r="CU125" s="105"/>
    </row>
    <row r="126" spans="1:99" ht="42" customHeight="1" thickBot="1" x14ac:dyDescent="0.4">
      <c r="A126" s="40" t="s">
        <v>101</v>
      </c>
      <c r="B126" s="40" t="s">
        <v>263</v>
      </c>
      <c r="C126" s="40" t="s">
        <v>462</v>
      </c>
      <c r="D126" s="135" t="s">
        <v>3410</v>
      </c>
      <c r="E126" s="314" t="s">
        <v>3855</v>
      </c>
      <c r="F126" s="315" t="s">
        <v>3376</v>
      </c>
      <c r="G126" s="315" t="s">
        <v>3856</v>
      </c>
      <c r="H126" s="142" t="s">
        <v>3619</v>
      </c>
      <c r="I126" s="138" t="s">
        <v>3559</v>
      </c>
      <c r="J126" s="136" t="s">
        <v>642</v>
      </c>
      <c r="K126" s="13" t="s">
        <v>6</v>
      </c>
      <c r="L126" s="82" t="s">
        <v>8</v>
      </c>
      <c r="M126" s="146" t="s">
        <v>3576</v>
      </c>
      <c r="N126" s="91"/>
      <c r="O126" s="87"/>
      <c r="P126" s="49" t="s">
        <v>843</v>
      </c>
      <c r="Q126" s="13" t="s">
        <v>6</v>
      </c>
      <c r="R126" s="82" t="s">
        <v>8</v>
      </c>
      <c r="S126" s="91" t="s">
        <v>3576</v>
      </c>
      <c r="T126" s="91"/>
      <c r="U126" s="87"/>
      <c r="V126" s="52" t="s">
        <v>1041</v>
      </c>
      <c r="W126" s="13" t="s">
        <v>6</v>
      </c>
      <c r="X126" s="82" t="s">
        <v>8</v>
      </c>
      <c r="Y126" s="91" t="s">
        <v>3576</v>
      </c>
      <c r="Z126" s="91"/>
      <c r="AA126" s="87"/>
      <c r="AB126" s="19" t="s">
        <v>1241</v>
      </c>
      <c r="AC126" s="13" t="s">
        <v>6</v>
      </c>
      <c r="AD126" s="82" t="s">
        <v>8</v>
      </c>
      <c r="AE126" s="91" t="s">
        <v>3576</v>
      </c>
      <c r="AF126" s="91"/>
      <c r="AG126" s="87"/>
      <c r="AH126" s="56" t="s">
        <v>1440</v>
      </c>
      <c r="AI126" s="13" t="s">
        <v>6</v>
      </c>
      <c r="AJ126" s="82" t="s">
        <v>8</v>
      </c>
      <c r="AK126" s="91" t="s">
        <v>3576</v>
      </c>
      <c r="AL126" s="91"/>
      <c r="AM126" s="105"/>
      <c r="AN126" s="23" t="s">
        <v>1637</v>
      </c>
      <c r="AO126" s="13" t="s">
        <v>11</v>
      </c>
      <c r="AP126" s="82"/>
      <c r="AQ126" s="91" t="s">
        <v>3576</v>
      </c>
      <c r="AR126" s="91"/>
      <c r="AS126" s="87"/>
      <c r="AT126" s="21" t="s">
        <v>1836</v>
      </c>
      <c r="AU126" s="13" t="s">
        <v>15</v>
      </c>
      <c r="AV126" s="82" t="s">
        <v>4</v>
      </c>
      <c r="AW126" s="91" t="s">
        <v>3576</v>
      </c>
      <c r="AX126" s="91"/>
      <c r="AY126" s="87"/>
      <c r="AZ126" s="22" t="s">
        <v>2033</v>
      </c>
      <c r="BA126" s="13" t="s">
        <v>15</v>
      </c>
      <c r="BB126" s="82" t="s">
        <v>4</v>
      </c>
      <c r="BC126" s="91" t="s">
        <v>3576</v>
      </c>
      <c r="BD126" s="91"/>
      <c r="BE126" s="87"/>
      <c r="BF126" s="24" t="s">
        <v>2230</v>
      </c>
      <c r="BG126" s="13" t="s">
        <v>11</v>
      </c>
      <c r="BH126" s="82"/>
      <c r="BI126" s="91" t="s">
        <v>3576</v>
      </c>
      <c r="BJ126" s="91"/>
      <c r="BK126" s="87"/>
      <c r="BL126" s="27" t="s">
        <v>2418</v>
      </c>
      <c r="BM126" s="13" t="s">
        <v>15</v>
      </c>
      <c r="BN126" s="82" t="s">
        <v>4</v>
      </c>
      <c r="BO126" s="91" t="s">
        <v>3576</v>
      </c>
      <c r="BP126" s="91"/>
      <c r="BQ126" s="105"/>
      <c r="BR126" s="72" t="s">
        <v>2614</v>
      </c>
      <c r="BS126" s="13" t="s">
        <v>0</v>
      </c>
      <c r="BT126" s="82" t="s">
        <v>12</v>
      </c>
      <c r="BU126" s="91" t="s">
        <v>3577</v>
      </c>
      <c r="BV126" s="91"/>
      <c r="BW126" s="87"/>
      <c r="BX126" s="49" t="s">
        <v>2806</v>
      </c>
      <c r="BY126" s="13" t="s">
        <v>0</v>
      </c>
      <c r="BZ126" s="82" t="s">
        <v>12</v>
      </c>
      <c r="CA126" s="91" t="s">
        <v>3577</v>
      </c>
      <c r="CB126" s="91"/>
      <c r="CC126" s="264"/>
      <c r="CD126" s="52" t="s">
        <v>2981</v>
      </c>
      <c r="CE126" s="13" t="s">
        <v>0</v>
      </c>
      <c r="CF126" s="82" t="s">
        <v>12</v>
      </c>
      <c r="CG126" s="91" t="s">
        <v>3577</v>
      </c>
      <c r="CH126" s="91"/>
      <c r="CI126" s="87"/>
      <c r="CJ126" s="19" t="s">
        <v>2614</v>
      </c>
      <c r="CK126" s="13" t="s">
        <v>0</v>
      </c>
      <c r="CL126" s="82" t="s">
        <v>12</v>
      </c>
      <c r="CM126" s="91" t="s">
        <v>3577</v>
      </c>
      <c r="CN126" s="91"/>
      <c r="CO126" s="87"/>
      <c r="CP126" s="56" t="s">
        <v>2614</v>
      </c>
      <c r="CQ126" s="13" t="s">
        <v>0</v>
      </c>
      <c r="CR126" s="82" t="s">
        <v>12</v>
      </c>
      <c r="CS126" s="91" t="s">
        <v>3577</v>
      </c>
      <c r="CT126" s="91"/>
      <c r="CU126" s="105"/>
    </row>
    <row r="127" spans="1:99" ht="42" customHeight="1" thickBot="1" x14ac:dyDescent="0.4">
      <c r="A127" s="40" t="s">
        <v>164</v>
      </c>
      <c r="B127" s="40" t="s">
        <v>340</v>
      </c>
      <c r="C127" s="40" t="s">
        <v>537</v>
      </c>
      <c r="D127" s="135" t="s">
        <v>3483</v>
      </c>
      <c r="E127" s="314" t="s">
        <v>3855</v>
      </c>
      <c r="F127" s="315" t="s">
        <v>3445</v>
      </c>
      <c r="G127" s="315" t="s">
        <v>3860</v>
      </c>
      <c r="H127" s="142" t="s">
        <v>3734</v>
      </c>
      <c r="I127" s="138" t="s">
        <v>3559</v>
      </c>
      <c r="J127" s="136" t="s">
        <v>721</v>
      </c>
      <c r="K127" s="13" t="s">
        <v>0</v>
      </c>
      <c r="L127" s="82" t="s">
        <v>12</v>
      </c>
      <c r="M127" s="146" t="s">
        <v>3576</v>
      </c>
      <c r="N127" s="91"/>
      <c r="O127" s="87" t="s">
        <v>3839</v>
      </c>
      <c r="P127" s="49" t="s">
        <v>920</v>
      </c>
      <c r="Q127" s="13" t="s">
        <v>0</v>
      </c>
      <c r="R127" s="82" t="s">
        <v>12</v>
      </c>
      <c r="S127" s="91" t="s">
        <v>3576</v>
      </c>
      <c r="T127" s="91"/>
      <c r="U127" s="87"/>
      <c r="V127" s="52" t="s">
        <v>1119</v>
      </c>
      <c r="W127" s="13" t="s">
        <v>0</v>
      </c>
      <c r="X127" s="82" t="s">
        <v>12</v>
      </c>
      <c r="Y127" s="91" t="s">
        <v>3576</v>
      </c>
      <c r="Z127" s="91"/>
      <c r="AA127" s="87"/>
      <c r="AB127" s="19" t="s">
        <v>1318</v>
      </c>
      <c r="AC127" s="13" t="s">
        <v>0</v>
      </c>
      <c r="AD127" s="82" t="s">
        <v>12</v>
      </c>
      <c r="AE127" s="91" t="s">
        <v>3576</v>
      </c>
      <c r="AF127" s="91"/>
      <c r="AG127" s="87"/>
      <c r="AH127" s="56" t="s">
        <v>1515</v>
      </c>
      <c r="AI127" s="13" t="s">
        <v>0</v>
      </c>
      <c r="AJ127" s="82" t="s">
        <v>12</v>
      </c>
      <c r="AK127" s="91" t="s">
        <v>3576</v>
      </c>
      <c r="AL127" s="91"/>
      <c r="AM127" s="105"/>
      <c r="AN127" s="23" t="s">
        <v>1714</v>
      </c>
      <c r="AO127" s="13" t="s">
        <v>0</v>
      </c>
      <c r="AP127" s="82" t="s">
        <v>12</v>
      </c>
      <c r="AQ127" s="91" t="s">
        <v>3576</v>
      </c>
      <c r="AR127" s="91"/>
      <c r="AS127" s="87"/>
      <c r="AT127" s="21" t="s">
        <v>1913</v>
      </c>
      <c r="AU127" s="13" t="s">
        <v>0</v>
      </c>
      <c r="AV127" s="82" t="s">
        <v>12</v>
      </c>
      <c r="AW127" s="91" t="s">
        <v>3576</v>
      </c>
      <c r="AX127" s="91"/>
      <c r="AY127" s="87"/>
      <c r="AZ127" s="22" t="s">
        <v>2108</v>
      </c>
      <c r="BA127" s="13" t="s">
        <v>0</v>
      </c>
      <c r="BB127" s="82" t="s">
        <v>12</v>
      </c>
      <c r="BC127" s="91" t="s">
        <v>3576</v>
      </c>
      <c r="BD127" s="91"/>
      <c r="BE127" s="87"/>
      <c r="BF127" s="24" t="s">
        <v>2300</v>
      </c>
      <c r="BG127" s="13" t="s">
        <v>0</v>
      </c>
      <c r="BH127" s="82" t="s">
        <v>12</v>
      </c>
      <c r="BI127" s="91" t="s">
        <v>3576</v>
      </c>
      <c r="BJ127" s="91"/>
      <c r="BK127" s="87"/>
      <c r="BL127" s="27" t="s">
        <v>2490</v>
      </c>
      <c r="BM127" s="13" t="s">
        <v>0</v>
      </c>
      <c r="BN127" s="82" t="s">
        <v>12</v>
      </c>
      <c r="BO127" s="91" t="s">
        <v>3576</v>
      </c>
      <c r="BP127" s="91"/>
      <c r="BQ127" s="105"/>
      <c r="BR127" s="72" t="s">
        <v>2688</v>
      </c>
      <c r="BS127" s="13" t="s">
        <v>0</v>
      </c>
      <c r="BT127" s="82" t="s">
        <v>12</v>
      </c>
      <c r="BU127" s="91" t="s">
        <v>3576</v>
      </c>
      <c r="BV127" s="91"/>
      <c r="BW127" s="87"/>
      <c r="BX127" s="49" t="s">
        <v>2875</v>
      </c>
      <c r="BY127" s="13" t="s">
        <v>0</v>
      </c>
      <c r="BZ127" s="82" t="s">
        <v>12</v>
      </c>
      <c r="CA127" s="91" t="s">
        <v>3576</v>
      </c>
      <c r="CB127" s="91"/>
      <c r="CC127" s="87"/>
      <c r="CD127" s="52" t="s">
        <v>2875</v>
      </c>
      <c r="CE127" s="13" t="s">
        <v>0</v>
      </c>
      <c r="CF127" s="82" t="s">
        <v>12</v>
      </c>
      <c r="CG127" s="91" t="s">
        <v>3576</v>
      </c>
      <c r="CH127" s="91"/>
      <c r="CI127" s="87"/>
      <c r="CJ127" s="19" t="s">
        <v>3198</v>
      </c>
      <c r="CK127" s="13" t="s">
        <v>0</v>
      </c>
      <c r="CL127" s="82" t="s">
        <v>12</v>
      </c>
      <c r="CM127" s="91" t="s">
        <v>3576</v>
      </c>
      <c r="CN127" s="91"/>
      <c r="CO127" s="87"/>
      <c r="CP127" s="56" t="s">
        <v>3325</v>
      </c>
      <c r="CQ127" s="13" t="s">
        <v>0</v>
      </c>
      <c r="CR127" s="82" t="s">
        <v>12</v>
      </c>
      <c r="CS127" s="91" t="s">
        <v>3576</v>
      </c>
      <c r="CT127" s="91"/>
      <c r="CU127" s="105"/>
    </row>
    <row r="128" spans="1:99" ht="42" customHeight="1" thickBot="1" x14ac:dyDescent="0.4">
      <c r="A128" s="40" t="s">
        <v>104</v>
      </c>
      <c r="B128" s="40" t="s">
        <v>266</v>
      </c>
      <c r="C128" s="40" t="s">
        <v>465</v>
      </c>
      <c r="D128" s="135" t="s">
        <v>3413</v>
      </c>
      <c r="E128" s="314" t="s">
        <v>3855</v>
      </c>
      <c r="F128" s="315" t="s">
        <v>3371</v>
      </c>
      <c r="G128" s="315" t="s">
        <v>3859</v>
      </c>
      <c r="H128" s="142" t="s">
        <v>3622</v>
      </c>
      <c r="I128" s="138" t="s">
        <v>3559</v>
      </c>
      <c r="J128" s="136" t="s">
        <v>645</v>
      </c>
      <c r="K128" s="13" t="s">
        <v>15</v>
      </c>
      <c r="L128" s="82" t="s">
        <v>9</v>
      </c>
      <c r="M128" s="146" t="s">
        <v>3577</v>
      </c>
      <c r="N128" s="91"/>
      <c r="O128" s="87"/>
      <c r="P128" s="49" t="s">
        <v>846</v>
      </c>
      <c r="Q128" s="13" t="s">
        <v>15</v>
      </c>
      <c r="R128" s="82" t="s">
        <v>9</v>
      </c>
      <c r="S128" s="91" t="s">
        <v>3577</v>
      </c>
      <c r="T128" s="91"/>
      <c r="U128" s="87"/>
      <c r="V128" s="52" t="s">
        <v>1044</v>
      </c>
      <c r="W128" s="13" t="s">
        <v>15</v>
      </c>
      <c r="X128" s="82" t="s">
        <v>9</v>
      </c>
      <c r="Y128" s="91" t="s">
        <v>3577</v>
      </c>
      <c r="Z128" s="91"/>
      <c r="AA128" s="87"/>
      <c r="AB128" s="19" t="s">
        <v>1244</v>
      </c>
      <c r="AC128" s="13" t="s">
        <v>15</v>
      </c>
      <c r="AD128" s="82" t="s">
        <v>9</v>
      </c>
      <c r="AE128" s="91" t="s">
        <v>3577</v>
      </c>
      <c r="AF128" s="91"/>
      <c r="AG128" s="87"/>
      <c r="AH128" s="56" t="s">
        <v>1443</v>
      </c>
      <c r="AI128" s="13" t="s">
        <v>15</v>
      </c>
      <c r="AJ128" s="82" t="s">
        <v>9</v>
      </c>
      <c r="AK128" s="91" t="s">
        <v>3577</v>
      </c>
      <c r="AL128" s="91"/>
      <c r="AM128" s="105"/>
      <c r="AN128" s="23" t="s">
        <v>1640</v>
      </c>
      <c r="AO128" s="13" t="s">
        <v>15</v>
      </c>
      <c r="AP128" s="82" t="s">
        <v>9</v>
      </c>
      <c r="AQ128" s="91" t="s">
        <v>3577</v>
      </c>
      <c r="AR128" s="91"/>
      <c r="AS128" s="87"/>
      <c r="AT128" s="21" t="s">
        <v>1839</v>
      </c>
      <c r="AU128" s="13" t="s">
        <v>15</v>
      </c>
      <c r="AV128" s="82" t="s">
        <v>9</v>
      </c>
      <c r="AW128" s="91" t="s">
        <v>3577</v>
      </c>
      <c r="AX128" s="91"/>
      <c r="AY128" s="87"/>
      <c r="AZ128" s="22" t="s">
        <v>2036</v>
      </c>
      <c r="BA128" s="13" t="s">
        <v>15</v>
      </c>
      <c r="BB128" s="82" t="s">
        <v>9</v>
      </c>
      <c r="BC128" s="91" t="s">
        <v>3577</v>
      </c>
      <c r="BD128" s="91"/>
      <c r="BE128" s="87"/>
      <c r="BF128" s="24" t="s">
        <v>2233</v>
      </c>
      <c r="BG128" s="13" t="s">
        <v>15</v>
      </c>
      <c r="BH128" s="82" t="s">
        <v>9</v>
      </c>
      <c r="BI128" s="91" t="s">
        <v>3577</v>
      </c>
      <c r="BJ128" s="91"/>
      <c r="BK128" s="87"/>
      <c r="BL128" s="27" t="s">
        <v>2420</v>
      </c>
      <c r="BM128" s="13" t="s">
        <v>15</v>
      </c>
      <c r="BN128" s="82" t="s">
        <v>9</v>
      </c>
      <c r="BO128" s="91" t="s">
        <v>3577</v>
      </c>
      <c r="BP128" s="91"/>
      <c r="BQ128" s="105"/>
      <c r="BR128" s="72" t="s">
        <v>2616</v>
      </c>
      <c r="BS128" s="13" t="s">
        <v>15</v>
      </c>
      <c r="BT128" s="82" t="s">
        <v>9</v>
      </c>
      <c r="BU128" s="91" t="s">
        <v>3577</v>
      </c>
      <c r="BV128" s="91"/>
      <c r="BW128" s="87"/>
      <c r="BX128" s="49" t="s">
        <v>2809</v>
      </c>
      <c r="BY128" s="13" t="s">
        <v>15</v>
      </c>
      <c r="BZ128" s="82" t="s">
        <v>9</v>
      </c>
      <c r="CA128" s="91" t="s">
        <v>3577</v>
      </c>
      <c r="CB128" s="91"/>
      <c r="CC128" s="264"/>
      <c r="CD128" s="52" t="s">
        <v>2809</v>
      </c>
      <c r="CE128" s="13" t="s">
        <v>15</v>
      </c>
      <c r="CF128" s="82" t="s">
        <v>9</v>
      </c>
      <c r="CG128" s="91" t="s">
        <v>3577</v>
      </c>
      <c r="CH128" s="91"/>
      <c r="CI128" s="87"/>
      <c r="CJ128" s="19" t="s">
        <v>2616</v>
      </c>
      <c r="CK128" s="13" t="s">
        <v>15</v>
      </c>
      <c r="CL128" s="82" t="s">
        <v>9</v>
      </c>
      <c r="CM128" s="91" t="s">
        <v>3577</v>
      </c>
      <c r="CN128" s="91"/>
      <c r="CO128" s="87"/>
      <c r="CP128" s="56" t="s">
        <v>3623</v>
      </c>
      <c r="CQ128" s="13" t="s">
        <v>15</v>
      </c>
      <c r="CR128" s="82" t="s">
        <v>9</v>
      </c>
      <c r="CS128" s="91" t="s">
        <v>3577</v>
      </c>
      <c r="CT128" s="91"/>
      <c r="CU128" s="105"/>
    </row>
    <row r="129" spans="1:99" ht="42" customHeight="1" thickBot="1" x14ac:dyDescent="0.4">
      <c r="A129" s="40" t="s">
        <v>128</v>
      </c>
      <c r="B129" s="40" t="s">
        <v>291</v>
      </c>
      <c r="C129" s="40" t="s">
        <v>492</v>
      </c>
      <c r="D129" s="135" t="s">
        <v>3436</v>
      </c>
      <c r="E129" s="314" t="s">
        <v>3855</v>
      </c>
      <c r="F129" s="315" t="s">
        <v>3387</v>
      </c>
      <c r="G129" s="315" t="s">
        <v>3861</v>
      </c>
      <c r="H129" s="142" t="s">
        <v>3659</v>
      </c>
      <c r="I129" s="138" t="s">
        <v>3566</v>
      </c>
      <c r="J129" s="136" t="s">
        <v>672</v>
      </c>
      <c r="K129" s="13" t="s">
        <v>15</v>
      </c>
      <c r="L129" s="82" t="s">
        <v>9</v>
      </c>
      <c r="M129" s="146" t="s">
        <v>3576</v>
      </c>
      <c r="N129" s="91"/>
      <c r="O129" s="87"/>
      <c r="P129" s="49" t="s">
        <v>871</v>
      </c>
      <c r="Q129" s="13" t="s">
        <v>15</v>
      </c>
      <c r="R129" s="82" t="s">
        <v>9</v>
      </c>
      <c r="S129" s="91" t="s">
        <v>3576</v>
      </c>
      <c r="T129" s="91"/>
      <c r="U129" s="87"/>
      <c r="V129" s="52" t="s">
        <v>1070</v>
      </c>
      <c r="W129" s="13" t="s">
        <v>15</v>
      </c>
      <c r="X129" s="82" t="s">
        <v>9</v>
      </c>
      <c r="Y129" s="91" t="s">
        <v>3576</v>
      </c>
      <c r="Z129" s="91"/>
      <c r="AA129" s="87"/>
      <c r="AB129" s="19" t="s">
        <v>1271</v>
      </c>
      <c r="AC129" s="13" t="s">
        <v>15</v>
      </c>
      <c r="AD129" s="82" t="s">
        <v>9</v>
      </c>
      <c r="AE129" s="91" t="s">
        <v>3576</v>
      </c>
      <c r="AF129" s="91"/>
      <c r="AG129" s="87"/>
      <c r="AH129" s="56" t="s">
        <v>1467</v>
      </c>
      <c r="AI129" s="13" t="s">
        <v>15</v>
      </c>
      <c r="AJ129" s="82" t="s">
        <v>9</v>
      </c>
      <c r="AK129" s="91" t="s">
        <v>3576</v>
      </c>
      <c r="AL129" s="91"/>
      <c r="AM129" s="105"/>
      <c r="AN129" s="23" t="s">
        <v>1667</v>
      </c>
      <c r="AO129" s="13" t="s">
        <v>15</v>
      </c>
      <c r="AP129" s="82" t="s">
        <v>9</v>
      </c>
      <c r="AQ129" s="91" t="s">
        <v>3576</v>
      </c>
      <c r="AR129" s="91"/>
      <c r="AS129" s="87"/>
      <c r="AT129" s="21" t="s">
        <v>1864</v>
      </c>
      <c r="AU129" s="13" t="s">
        <v>15</v>
      </c>
      <c r="AV129" s="82" t="s">
        <v>9</v>
      </c>
      <c r="AW129" s="91" t="s">
        <v>3576</v>
      </c>
      <c r="AX129" s="91"/>
      <c r="AY129" s="87"/>
      <c r="AZ129" s="22" t="s">
        <v>2061</v>
      </c>
      <c r="BA129" s="13" t="s">
        <v>15</v>
      </c>
      <c r="BB129" s="82" t="s">
        <v>9</v>
      </c>
      <c r="BC129" s="91" t="s">
        <v>3576</v>
      </c>
      <c r="BD129" s="91"/>
      <c r="BE129" s="87"/>
      <c r="BF129" s="24" t="s">
        <v>2256</v>
      </c>
      <c r="BG129" s="13" t="s">
        <v>15</v>
      </c>
      <c r="BH129" s="82" t="s">
        <v>9</v>
      </c>
      <c r="BI129" s="91" t="s">
        <v>3576</v>
      </c>
      <c r="BJ129" s="91"/>
      <c r="BK129" s="87"/>
      <c r="BL129" s="27" t="s">
        <v>2443</v>
      </c>
      <c r="BM129" s="13" t="s">
        <v>15</v>
      </c>
      <c r="BN129" s="82" t="s">
        <v>9</v>
      </c>
      <c r="BO129" s="91" t="s">
        <v>3576</v>
      </c>
      <c r="BP129" s="91"/>
      <c r="BQ129" s="105"/>
      <c r="BR129" s="72" t="s">
        <v>2641</v>
      </c>
      <c r="BS129" s="13" t="s">
        <v>15</v>
      </c>
      <c r="BT129" s="82" t="s">
        <v>9</v>
      </c>
      <c r="BU129" s="91" t="s">
        <v>3576</v>
      </c>
      <c r="BV129" s="91"/>
      <c r="BW129" s="87"/>
      <c r="BX129" s="49" t="s">
        <v>2833</v>
      </c>
      <c r="BY129" s="13" t="s">
        <v>15</v>
      </c>
      <c r="BZ129" s="82" t="s">
        <v>9</v>
      </c>
      <c r="CA129" s="91" t="s">
        <v>3576</v>
      </c>
      <c r="CB129" s="91"/>
      <c r="CC129" s="264"/>
      <c r="CD129" s="52" t="s">
        <v>3007</v>
      </c>
      <c r="CE129" s="13" t="s">
        <v>0</v>
      </c>
      <c r="CF129" s="82" t="s">
        <v>12</v>
      </c>
      <c r="CG129" s="91" t="s">
        <v>3576</v>
      </c>
      <c r="CH129" s="91"/>
      <c r="CI129" s="87"/>
      <c r="CJ129" s="19" t="s">
        <v>3168</v>
      </c>
      <c r="CK129" s="13" t="s">
        <v>15</v>
      </c>
      <c r="CL129" s="82" t="s">
        <v>9</v>
      </c>
      <c r="CM129" s="91" t="s">
        <v>3576</v>
      </c>
      <c r="CN129" s="91"/>
      <c r="CO129" s="87"/>
      <c r="CP129" s="56" t="s">
        <v>3297</v>
      </c>
      <c r="CQ129" s="13" t="s">
        <v>15</v>
      </c>
      <c r="CR129" s="82" t="s">
        <v>9</v>
      </c>
      <c r="CS129" s="91" t="s">
        <v>3576</v>
      </c>
      <c r="CT129" s="91"/>
      <c r="CU129" s="105"/>
    </row>
    <row r="130" spans="1:99" ht="42" customHeight="1" thickBot="1" x14ac:dyDescent="0.4">
      <c r="A130" s="40" t="s">
        <v>216</v>
      </c>
      <c r="B130" s="40" t="s">
        <v>408</v>
      </c>
      <c r="C130" s="40" t="s">
        <v>590</v>
      </c>
      <c r="D130" s="135" t="s">
        <v>3535</v>
      </c>
      <c r="E130" s="323" t="s">
        <v>3869</v>
      </c>
      <c r="F130" s="324" t="s">
        <v>3372</v>
      </c>
      <c r="G130" s="324" t="s">
        <v>3871</v>
      </c>
      <c r="H130" s="142" t="s">
        <v>3802</v>
      </c>
      <c r="I130" s="138" t="s">
        <v>3559</v>
      </c>
      <c r="J130" s="136" t="s">
        <v>789</v>
      </c>
      <c r="K130" s="13" t="s">
        <v>15</v>
      </c>
      <c r="L130" s="82" t="s">
        <v>20</v>
      </c>
      <c r="M130" s="146" t="s">
        <v>3576</v>
      </c>
      <c r="N130" s="91"/>
      <c r="O130" s="87"/>
      <c r="P130" s="49" t="s">
        <v>987</v>
      </c>
      <c r="Q130" s="13" t="s">
        <v>15</v>
      </c>
      <c r="R130" s="82" t="s">
        <v>20</v>
      </c>
      <c r="S130" s="91" t="s">
        <v>3576</v>
      </c>
      <c r="T130" s="91"/>
      <c r="U130" s="87"/>
      <c r="V130" s="52" t="s">
        <v>1186</v>
      </c>
      <c r="W130" s="13" t="s">
        <v>15</v>
      </c>
      <c r="X130" s="82" t="s">
        <v>20</v>
      </c>
      <c r="Y130" s="91" t="s">
        <v>3576</v>
      </c>
      <c r="Z130" s="91"/>
      <c r="AA130" s="87"/>
      <c r="AB130" s="19" t="s">
        <v>1385</v>
      </c>
      <c r="AC130" s="13" t="s">
        <v>15</v>
      </c>
      <c r="AD130" s="82" t="s">
        <v>20</v>
      </c>
      <c r="AE130" s="91" t="s">
        <v>3576</v>
      </c>
      <c r="AF130" s="91"/>
      <c r="AG130" s="87"/>
      <c r="AH130" s="56" t="s">
        <v>1583</v>
      </c>
      <c r="AI130" s="13" t="s">
        <v>15</v>
      </c>
      <c r="AJ130" s="82" t="s">
        <v>20</v>
      </c>
      <c r="AK130" s="91" t="s">
        <v>3576</v>
      </c>
      <c r="AL130" s="91"/>
      <c r="AM130" s="105"/>
      <c r="AN130" s="23" t="s">
        <v>1782</v>
      </c>
      <c r="AO130" s="13" t="s">
        <v>15</v>
      </c>
      <c r="AP130" s="82" t="s">
        <v>19</v>
      </c>
      <c r="AQ130" s="91" t="s">
        <v>3577</v>
      </c>
      <c r="AR130" s="91"/>
      <c r="AS130" s="87"/>
      <c r="AT130" s="21" t="s">
        <v>1979</v>
      </c>
      <c r="AU130" s="13" t="s">
        <v>15</v>
      </c>
      <c r="AV130" s="82" t="s">
        <v>19</v>
      </c>
      <c r="AW130" s="91" t="s">
        <v>3577</v>
      </c>
      <c r="AX130" s="91"/>
      <c r="AY130" s="87"/>
      <c r="AZ130" s="22" t="s">
        <v>2175</v>
      </c>
      <c r="BA130" s="13" t="s">
        <v>15</v>
      </c>
      <c r="BB130" s="82" t="s">
        <v>19</v>
      </c>
      <c r="BC130" s="91" t="s">
        <v>3577</v>
      </c>
      <c r="BD130" s="91"/>
      <c r="BE130" s="87"/>
      <c r="BF130" s="24" t="s">
        <v>2366</v>
      </c>
      <c r="BG130" s="13" t="s">
        <v>15</v>
      </c>
      <c r="BH130" s="82" t="s">
        <v>19</v>
      </c>
      <c r="BI130" s="91" t="s">
        <v>3577</v>
      </c>
      <c r="BJ130" s="91"/>
      <c r="BK130" s="87"/>
      <c r="BL130" s="27" t="s">
        <v>2558</v>
      </c>
      <c r="BM130" s="13" t="s">
        <v>15</v>
      </c>
      <c r="BN130" s="82" t="s">
        <v>19</v>
      </c>
      <c r="BO130" s="91" t="s">
        <v>3577</v>
      </c>
      <c r="BP130" s="91"/>
      <c r="BQ130" s="105"/>
      <c r="BR130" s="72" t="s">
        <v>2756</v>
      </c>
      <c r="BS130" s="13" t="s">
        <v>15</v>
      </c>
      <c r="BT130" s="82" t="s">
        <v>19</v>
      </c>
      <c r="BU130" s="91" t="s">
        <v>3577</v>
      </c>
      <c r="BV130" s="91"/>
      <c r="BW130" s="87"/>
      <c r="BX130" s="49" t="s">
        <v>2930</v>
      </c>
      <c r="BY130" s="13" t="s">
        <v>15</v>
      </c>
      <c r="BZ130" s="82" t="s">
        <v>19</v>
      </c>
      <c r="CA130" s="91" t="s">
        <v>3577</v>
      </c>
      <c r="CB130" s="91"/>
      <c r="CC130" s="87"/>
      <c r="CD130" s="52" t="s">
        <v>3105</v>
      </c>
      <c r="CE130" s="13" t="s">
        <v>15</v>
      </c>
      <c r="CF130" s="82" t="s">
        <v>19</v>
      </c>
      <c r="CG130" s="91" t="s">
        <v>3577</v>
      </c>
      <c r="CH130" s="91"/>
      <c r="CI130" s="87"/>
      <c r="CJ130" s="19" t="s">
        <v>3247</v>
      </c>
      <c r="CK130" s="13" t="s">
        <v>15</v>
      </c>
      <c r="CL130" s="82" t="s">
        <v>19</v>
      </c>
      <c r="CM130" s="91" t="s">
        <v>3577</v>
      </c>
      <c r="CN130" s="91"/>
      <c r="CO130" s="87"/>
      <c r="CP130" s="56" t="s">
        <v>3247</v>
      </c>
      <c r="CQ130" s="13" t="s">
        <v>15</v>
      </c>
      <c r="CR130" s="82" t="s">
        <v>19</v>
      </c>
      <c r="CS130" s="91" t="s">
        <v>3577</v>
      </c>
      <c r="CT130" s="91"/>
      <c r="CU130" s="105"/>
    </row>
    <row r="131" spans="1:99" ht="42" customHeight="1" thickBot="1" x14ac:dyDescent="0.4">
      <c r="A131" s="40" t="s">
        <v>224</v>
      </c>
      <c r="B131" s="40" t="s">
        <v>421</v>
      </c>
      <c r="C131" s="40" t="s">
        <v>602</v>
      </c>
      <c r="D131" s="135" t="s">
        <v>3547</v>
      </c>
      <c r="E131" s="314" t="s">
        <v>3855</v>
      </c>
      <c r="F131" s="315" t="s">
        <v>3371</v>
      </c>
      <c r="G131" s="315" t="s">
        <v>3859</v>
      </c>
      <c r="H131" s="175" t="s">
        <v>3819</v>
      </c>
      <c r="I131" s="175"/>
      <c r="J131" s="136" t="s">
        <v>802</v>
      </c>
      <c r="K131" s="13" t="s">
        <v>15</v>
      </c>
      <c r="L131" s="82" t="s">
        <v>9</v>
      </c>
      <c r="M131" s="146" t="s">
        <v>3576</v>
      </c>
      <c r="N131" s="91"/>
      <c r="O131" s="87"/>
      <c r="P131" s="49" t="s">
        <v>999</v>
      </c>
      <c r="Q131" s="13" t="s">
        <v>15</v>
      </c>
      <c r="R131" s="82" t="s">
        <v>9</v>
      </c>
      <c r="S131" s="91" t="s">
        <v>3576</v>
      </c>
      <c r="T131" s="91"/>
      <c r="U131" s="87"/>
      <c r="V131" s="52" t="s">
        <v>1199</v>
      </c>
      <c r="W131" s="13" t="s">
        <v>15</v>
      </c>
      <c r="X131" s="82" t="s">
        <v>9</v>
      </c>
      <c r="Y131" s="91" t="s">
        <v>3576</v>
      </c>
      <c r="Z131" s="91"/>
      <c r="AA131" s="87"/>
      <c r="AB131" s="19" t="s">
        <v>1398</v>
      </c>
      <c r="AC131" s="13" t="s">
        <v>15</v>
      </c>
      <c r="AD131" s="82" t="s">
        <v>9</v>
      </c>
      <c r="AE131" s="91" t="s">
        <v>3576</v>
      </c>
      <c r="AF131" s="91"/>
      <c r="AG131" s="87"/>
      <c r="AH131" s="56" t="s">
        <v>1596</v>
      </c>
      <c r="AI131" s="13" t="s">
        <v>15</v>
      </c>
      <c r="AJ131" s="82" t="s">
        <v>9</v>
      </c>
      <c r="AK131" s="91" t="s">
        <v>3576</v>
      </c>
      <c r="AL131" s="91"/>
      <c r="AM131" s="105"/>
      <c r="AN131" s="23" t="s">
        <v>1795</v>
      </c>
      <c r="AO131" s="13" t="s">
        <v>11</v>
      </c>
      <c r="AP131" s="82"/>
      <c r="AQ131" s="91" t="s">
        <v>3576</v>
      </c>
      <c r="AR131" s="91"/>
      <c r="AS131" s="87"/>
      <c r="AT131" s="21" t="s">
        <v>1992</v>
      </c>
      <c r="AU131" s="13" t="s">
        <v>11</v>
      </c>
      <c r="AV131" s="82"/>
      <c r="AW131" s="91" t="s">
        <v>3576</v>
      </c>
      <c r="AX131" s="91"/>
      <c r="AY131" s="87" t="s">
        <v>3820</v>
      </c>
      <c r="AZ131" s="22" t="s">
        <v>2188</v>
      </c>
      <c r="BA131" s="13" t="s">
        <v>11</v>
      </c>
      <c r="BB131" s="82"/>
      <c r="BC131" s="91" t="s">
        <v>3576</v>
      </c>
      <c r="BD131" s="91"/>
      <c r="BE131" s="87"/>
      <c r="BF131" s="24" t="s">
        <v>2377</v>
      </c>
      <c r="BG131" s="13" t="s">
        <v>15</v>
      </c>
      <c r="BH131" s="82" t="s">
        <v>9</v>
      </c>
      <c r="BI131" s="91" t="s">
        <v>3576</v>
      </c>
      <c r="BJ131" s="91"/>
      <c r="BK131" s="87"/>
      <c r="BL131" s="27" t="s">
        <v>2570</v>
      </c>
      <c r="BM131" s="13" t="s">
        <v>11</v>
      </c>
      <c r="BN131" s="82"/>
      <c r="BO131" s="91" t="s">
        <v>3576</v>
      </c>
      <c r="BP131" s="91"/>
      <c r="BQ131" s="105"/>
      <c r="BR131" s="72" t="s">
        <v>2769</v>
      </c>
      <c r="BS131" s="13" t="s">
        <v>0</v>
      </c>
      <c r="BT131" s="82" t="s">
        <v>12</v>
      </c>
      <c r="BU131" s="91" t="s">
        <v>3576</v>
      </c>
      <c r="BV131" s="91"/>
      <c r="BW131" s="87"/>
      <c r="BX131" s="49" t="s">
        <v>2942</v>
      </c>
      <c r="BY131" s="13" t="s">
        <v>15</v>
      </c>
      <c r="BZ131" s="82" t="s">
        <v>9</v>
      </c>
      <c r="CA131" s="91" t="s">
        <v>3576</v>
      </c>
      <c r="CB131" s="91"/>
      <c r="CC131" s="87"/>
      <c r="CD131" s="52" t="s">
        <v>3118</v>
      </c>
      <c r="CE131" s="13" t="s">
        <v>15</v>
      </c>
      <c r="CF131" s="82" t="s">
        <v>9</v>
      </c>
      <c r="CG131" s="91" t="s">
        <v>3576</v>
      </c>
      <c r="CH131" s="91"/>
      <c r="CI131" s="87"/>
      <c r="CJ131" s="19" t="s">
        <v>3256</v>
      </c>
      <c r="CK131" s="13" t="s">
        <v>0</v>
      </c>
      <c r="CL131" s="82" t="s">
        <v>12</v>
      </c>
      <c r="CM131" s="91" t="s">
        <v>3576</v>
      </c>
      <c r="CN131" s="91"/>
      <c r="CO131" s="87"/>
      <c r="CP131" s="56" t="s">
        <v>3366</v>
      </c>
      <c r="CQ131" s="13" t="s">
        <v>0</v>
      </c>
      <c r="CR131" s="82" t="s">
        <v>12</v>
      </c>
      <c r="CS131" s="91" t="s">
        <v>3576</v>
      </c>
      <c r="CT131" s="91"/>
      <c r="CU131" s="105"/>
    </row>
    <row r="132" spans="1:99" ht="42" customHeight="1" thickBot="1" x14ac:dyDescent="0.4">
      <c r="A132" s="40" t="s">
        <v>173</v>
      </c>
      <c r="B132" s="40" t="s">
        <v>349</v>
      </c>
      <c r="C132" s="40" t="s">
        <v>542</v>
      </c>
      <c r="D132" s="135" t="s">
        <v>3489</v>
      </c>
      <c r="E132" s="314" t="s">
        <v>3855</v>
      </c>
      <c r="F132" s="315" t="s">
        <v>3390</v>
      </c>
      <c r="G132" s="315" t="s">
        <v>3862</v>
      </c>
      <c r="H132" s="142" t="s">
        <v>3745</v>
      </c>
      <c r="I132" s="138" t="s">
        <v>3559</v>
      </c>
      <c r="J132" s="136" t="s">
        <v>730</v>
      </c>
      <c r="K132" s="13" t="s">
        <v>11</v>
      </c>
      <c r="L132" s="82"/>
      <c r="M132" s="146" t="s">
        <v>3576</v>
      </c>
      <c r="N132" s="91"/>
      <c r="O132" s="87"/>
      <c r="P132" s="49" t="s">
        <v>929</v>
      </c>
      <c r="Q132" s="13" t="s">
        <v>11</v>
      </c>
      <c r="R132" s="82"/>
      <c r="S132" s="91" t="s">
        <v>3576</v>
      </c>
      <c r="T132" s="91"/>
      <c r="U132" s="87"/>
      <c r="V132" s="52" t="s">
        <v>1127</v>
      </c>
      <c r="W132" s="13" t="s">
        <v>11</v>
      </c>
      <c r="X132" s="82"/>
      <c r="Y132" s="91" t="s">
        <v>3576</v>
      </c>
      <c r="Z132" s="91"/>
      <c r="AA132" s="87"/>
      <c r="AB132" s="19" t="s">
        <v>1326</v>
      </c>
      <c r="AC132" s="13" t="s">
        <v>11</v>
      </c>
      <c r="AD132" s="82"/>
      <c r="AE132" s="91" t="s">
        <v>3576</v>
      </c>
      <c r="AF132" s="91"/>
      <c r="AG132" s="87"/>
      <c r="AH132" s="56" t="s">
        <v>1524</v>
      </c>
      <c r="AI132" s="13" t="s">
        <v>11</v>
      </c>
      <c r="AJ132" s="82"/>
      <c r="AK132" s="91" t="s">
        <v>3576</v>
      </c>
      <c r="AL132" s="91"/>
      <c r="AM132" s="105"/>
      <c r="AN132" s="23" t="s">
        <v>1723</v>
      </c>
      <c r="AO132" s="13" t="s">
        <v>11</v>
      </c>
      <c r="AP132" s="82"/>
      <c r="AQ132" s="91" t="s">
        <v>3576</v>
      </c>
      <c r="AR132" s="91"/>
      <c r="AS132" s="87"/>
      <c r="AT132" s="21" t="s">
        <v>1922</v>
      </c>
      <c r="AU132" s="13" t="s">
        <v>11</v>
      </c>
      <c r="AV132" s="82"/>
      <c r="AW132" s="91" t="s">
        <v>3576</v>
      </c>
      <c r="AX132" s="91"/>
      <c r="AY132" s="87"/>
      <c r="AZ132" s="22" t="s">
        <v>2117</v>
      </c>
      <c r="BA132" s="13" t="s">
        <v>11</v>
      </c>
      <c r="BB132" s="82"/>
      <c r="BC132" s="91" t="s">
        <v>3576</v>
      </c>
      <c r="BD132" s="91"/>
      <c r="BE132" s="87"/>
      <c r="BF132" s="24" t="s">
        <v>2309</v>
      </c>
      <c r="BG132" s="13" t="s">
        <v>11</v>
      </c>
      <c r="BH132" s="82"/>
      <c r="BI132" s="91" t="s">
        <v>3576</v>
      </c>
      <c r="BJ132" s="91"/>
      <c r="BK132" s="87"/>
      <c r="BL132" s="27" t="s">
        <v>2499</v>
      </c>
      <c r="BM132" s="13" t="s">
        <v>11</v>
      </c>
      <c r="BN132" s="82"/>
      <c r="BO132" s="91" t="s">
        <v>3576</v>
      </c>
      <c r="BP132" s="91"/>
      <c r="BQ132" s="105"/>
      <c r="BR132" s="72" t="s">
        <v>2697</v>
      </c>
      <c r="BS132" s="13" t="s">
        <v>11</v>
      </c>
      <c r="BT132" s="82"/>
      <c r="BU132" s="91" t="s">
        <v>3576</v>
      </c>
      <c r="BV132" s="91"/>
      <c r="BW132" s="87"/>
      <c r="BX132" s="49" t="s">
        <v>2881</v>
      </c>
      <c r="BY132" s="13" t="s">
        <v>15</v>
      </c>
      <c r="BZ132" s="82" t="s">
        <v>20</v>
      </c>
      <c r="CA132" s="91" t="s">
        <v>3577</v>
      </c>
      <c r="CB132" s="91"/>
      <c r="CC132" s="87"/>
      <c r="CD132" s="52" t="s">
        <v>3054</v>
      </c>
      <c r="CE132" s="13" t="s">
        <v>11</v>
      </c>
      <c r="CF132" s="82"/>
      <c r="CG132" s="91" t="s">
        <v>3576</v>
      </c>
      <c r="CH132" s="91"/>
      <c r="CI132" s="87"/>
      <c r="CJ132" s="19" t="s">
        <v>3203</v>
      </c>
      <c r="CK132" s="13" t="s">
        <v>11</v>
      </c>
      <c r="CL132" s="82"/>
      <c r="CM132" s="91" t="s">
        <v>3576</v>
      </c>
      <c r="CN132" s="91"/>
      <c r="CO132" s="87"/>
      <c r="CP132" s="56" t="s">
        <v>3203</v>
      </c>
      <c r="CQ132" s="13" t="s">
        <v>11</v>
      </c>
      <c r="CR132" s="82"/>
      <c r="CS132" s="91" t="s">
        <v>3576</v>
      </c>
      <c r="CT132" s="91"/>
      <c r="CU132" s="105"/>
    </row>
    <row r="133" spans="1:99" ht="42" customHeight="1" thickBot="1" x14ac:dyDescent="0.4">
      <c r="A133" s="40" t="s">
        <v>197</v>
      </c>
      <c r="B133" s="40" t="s">
        <v>383</v>
      </c>
      <c r="C133" s="40" t="s">
        <v>571</v>
      </c>
      <c r="D133" s="135" t="s">
        <v>3779</v>
      </c>
      <c r="E133" s="314" t="s">
        <v>3855</v>
      </c>
      <c r="F133" s="315" t="s">
        <v>3371</v>
      </c>
      <c r="G133" s="315" t="s">
        <v>3859</v>
      </c>
      <c r="H133" s="142" t="s">
        <v>3780</v>
      </c>
      <c r="I133" s="138" t="s">
        <v>3559</v>
      </c>
      <c r="J133" s="136" t="s">
        <v>764</v>
      </c>
      <c r="K133" s="13" t="s">
        <v>15</v>
      </c>
      <c r="L133" s="82" t="s">
        <v>9</v>
      </c>
      <c r="M133" s="146" t="s">
        <v>3576</v>
      </c>
      <c r="N133" s="91"/>
      <c r="O133" s="87"/>
      <c r="P133" s="49" t="s">
        <v>963</v>
      </c>
      <c r="Q133" s="13" t="s">
        <v>15</v>
      </c>
      <c r="R133" s="82" t="s">
        <v>9</v>
      </c>
      <c r="S133" s="91" t="s">
        <v>3576</v>
      </c>
      <c r="T133" s="91"/>
      <c r="U133" s="87"/>
      <c r="V133" s="52" t="s">
        <v>1161</v>
      </c>
      <c r="W133" s="13" t="s">
        <v>15</v>
      </c>
      <c r="X133" s="82" t="s">
        <v>9</v>
      </c>
      <c r="Y133" s="91" t="s">
        <v>3576</v>
      </c>
      <c r="Z133" s="91"/>
      <c r="AA133" s="87"/>
      <c r="AB133" s="19" t="s">
        <v>1360</v>
      </c>
      <c r="AC133" s="13" t="s">
        <v>15</v>
      </c>
      <c r="AD133" s="82" t="s">
        <v>9</v>
      </c>
      <c r="AE133" s="91" t="s">
        <v>3576</v>
      </c>
      <c r="AF133" s="91"/>
      <c r="AG133" s="87"/>
      <c r="AH133" s="56" t="s">
        <v>1558</v>
      </c>
      <c r="AI133" s="13" t="s">
        <v>15</v>
      </c>
      <c r="AJ133" s="82" t="s">
        <v>9</v>
      </c>
      <c r="AK133" s="91" t="s">
        <v>3576</v>
      </c>
      <c r="AL133" s="91"/>
      <c r="AM133" s="105"/>
      <c r="AN133" s="23" t="s">
        <v>1757</v>
      </c>
      <c r="AO133" s="13" t="s">
        <v>11</v>
      </c>
      <c r="AP133" s="82"/>
      <c r="AQ133" s="91" t="s">
        <v>3576</v>
      </c>
      <c r="AR133" s="91"/>
      <c r="AS133" s="87"/>
      <c r="AT133" s="21" t="s">
        <v>1954</v>
      </c>
      <c r="AU133" s="13" t="s">
        <v>11</v>
      </c>
      <c r="AV133" s="82"/>
      <c r="AW133" s="91" t="s">
        <v>3576</v>
      </c>
      <c r="AX133" s="91"/>
      <c r="AY133" s="87"/>
      <c r="AZ133" s="22" t="s">
        <v>2150</v>
      </c>
      <c r="BA133" s="13" t="s">
        <v>11</v>
      </c>
      <c r="BB133" s="82"/>
      <c r="BC133" s="91" t="s">
        <v>3576</v>
      </c>
      <c r="BD133" s="91"/>
      <c r="BE133" s="87"/>
      <c r="BF133" s="24" t="s">
        <v>2341</v>
      </c>
      <c r="BG133" s="13" t="s">
        <v>11</v>
      </c>
      <c r="BH133" s="82"/>
      <c r="BI133" s="91" t="s">
        <v>3576</v>
      </c>
      <c r="BJ133" s="91"/>
      <c r="BK133" s="87"/>
      <c r="BL133" s="27" t="s">
        <v>2533</v>
      </c>
      <c r="BM133" s="13" t="s">
        <v>11</v>
      </c>
      <c r="BN133" s="82"/>
      <c r="BO133" s="91" t="s">
        <v>3576</v>
      </c>
      <c r="BP133" s="91"/>
      <c r="BQ133" s="105"/>
      <c r="BR133" s="72" t="s">
        <v>2731</v>
      </c>
      <c r="BS133" s="13" t="s">
        <v>15</v>
      </c>
      <c r="BT133" s="82" t="s">
        <v>20</v>
      </c>
      <c r="BU133" s="91" t="s">
        <v>3576</v>
      </c>
      <c r="BV133" s="91"/>
      <c r="BW133" s="87"/>
      <c r="BX133" s="49" t="s">
        <v>2731</v>
      </c>
      <c r="BY133" s="13" t="s">
        <v>15</v>
      </c>
      <c r="BZ133" s="82" t="s">
        <v>20</v>
      </c>
      <c r="CA133" s="91" t="s">
        <v>3576</v>
      </c>
      <c r="CB133" s="91"/>
      <c r="CC133" s="87"/>
      <c r="CD133" s="52" t="s">
        <v>3083</v>
      </c>
      <c r="CE133" s="13" t="s">
        <v>0</v>
      </c>
      <c r="CF133" s="82" t="s">
        <v>12</v>
      </c>
      <c r="CG133" s="91" t="s">
        <v>3576</v>
      </c>
      <c r="CH133" s="91"/>
      <c r="CI133" s="87"/>
      <c r="CJ133" s="19" t="s">
        <v>3231</v>
      </c>
      <c r="CK133" s="13" t="s">
        <v>0</v>
      </c>
      <c r="CL133" s="82" t="s">
        <v>12</v>
      </c>
      <c r="CM133" s="91" t="s">
        <v>3576</v>
      </c>
      <c r="CN133" s="91"/>
      <c r="CO133" s="87"/>
      <c r="CP133" s="56" t="s">
        <v>3231</v>
      </c>
      <c r="CQ133" s="13" t="s">
        <v>0</v>
      </c>
      <c r="CR133" s="82" t="s">
        <v>12</v>
      </c>
      <c r="CS133" s="91" t="s">
        <v>3576</v>
      </c>
      <c r="CT133" s="91"/>
      <c r="CU133" s="105"/>
    </row>
    <row r="134" spans="1:99" ht="42" customHeight="1" thickBot="1" x14ac:dyDescent="0.4">
      <c r="A134" s="40" t="s">
        <v>73</v>
      </c>
      <c r="B134" s="40" t="s">
        <v>234</v>
      </c>
      <c r="C134" s="40" t="s">
        <v>433</v>
      </c>
      <c r="D134" s="135" t="s">
        <v>3379</v>
      </c>
      <c r="E134" s="325" t="s">
        <v>3873</v>
      </c>
      <c r="F134" s="326" t="s">
        <v>3378</v>
      </c>
      <c r="G134" s="326" t="s">
        <v>3874</v>
      </c>
      <c r="H134" s="142" t="s">
        <v>3586</v>
      </c>
      <c r="I134" s="138" t="s">
        <v>3559</v>
      </c>
      <c r="J134" s="136" t="s">
        <v>613</v>
      </c>
      <c r="K134" s="13" t="s">
        <v>15</v>
      </c>
      <c r="L134" s="82" t="s">
        <v>9</v>
      </c>
      <c r="M134" s="146" t="s">
        <v>3576</v>
      </c>
      <c r="N134" s="91"/>
      <c r="O134" s="87"/>
      <c r="P134" s="49" t="s">
        <v>814</v>
      </c>
      <c r="Q134" s="13" t="s">
        <v>15</v>
      </c>
      <c r="R134" s="82" t="s">
        <v>9</v>
      </c>
      <c r="S134" s="91" t="s">
        <v>3576</v>
      </c>
      <c r="T134" s="91"/>
      <c r="U134" s="87"/>
      <c r="V134" s="52" t="s">
        <v>1011</v>
      </c>
      <c r="W134" s="13" t="s">
        <v>15</v>
      </c>
      <c r="X134" s="82" t="s">
        <v>9</v>
      </c>
      <c r="Y134" s="91" t="s">
        <v>3576</v>
      </c>
      <c r="Z134" s="91"/>
      <c r="AA134" s="87"/>
      <c r="AB134" s="19" t="s">
        <v>1211</v>
      </c>
      <c r="AC134" s="13" t="s">
        <v>15</v>
      </c>
      <c r="AD134" s="82" t="s">
        <v>9</v>
      </c>
      <c r="AE134" s="91" t="s">
        <v>3576</v>
      </c>
      <c r="AF134" s="91"/>
      <c r="AG134" s="87"/>
      <c r="AH134" s="56" t="s">
        <v>1410</v>
      </c>
      <c r="AI134" s="13" t="s">
        <v>15</v>
      </c>
      <c r="AJ134" s="82" t="s">
        <v>9</v>
      </c>
      <c r="AK134" s="91" t="s">
        <v>3576</v>
      </c>
      <c r="AL134" s="91"/>
      <c r="AM134" s="105"/>
      <c r="AN134" s="23" t="s">
        <v>1608</v>
      </c>
      <c r="AO134" s="13" t="s">
        <v>11</v>
      </c>
      <c r="AP134" s="82"/>
      <c r="AQ134" s="91" t="s">
        <v>3576</v>
      </c>
      <c r="AR134" s="91"/>
      <c r="AS134" s="87" t="s">
        <v>3682</v>
      </c>
      <c r="AT134" s="21" t="s">
        <v>1807</v>
      </c>
      <c r="AU134" s="13" t="s">
        <v>11</v>
      </c>
      <c r="AV134" s="82"/>
      <c r="AW134" s="91" t="s">
        <v>3576</v>
      </c>
      <c r="AX134" s="91"/>
      <c r="AY134" s="87" t="s">
        <v>3682</v>
      </c>
      <c r="AZ134" s="22" t="s">
        <v>2004</v>
      </c>
      <c r="BA134" s="13" t="s">
        <v>11</v>
      </c>
      <c r="BB134" s="82"/>
      <c r="BC134" s="91" t="s">
        <v>3576</v>
      </c>
      <c r="BD134" s="91"/>
      <c r="BE134" s="87" t="s">
        <v>3682</v>
      </c>
      <c r="BF134" s="24" t="s">
        <v>2200</v>
      </c>
      <c r="BG134" s="13" t="s">
        <v>15</v>
      </c>
      <c r="BH134" s="82"/>
      <c r="BI134" s="91" t="s">
        <v>3576</v>
      </c>
      <c r="BJ134" s="91"/>
      <c r="BK134" s="351"/>
      <c r="BL134" s="27" t="s">
        <v>2388</v>
      </c>
      <c r="BM134" s="13" t="s">
        <v>11</v>
      </c>
      <c r="BN134" s="82"/>
      <c r="BO134" s="91" t="s">
        <v>3576</v>
      </c>
      <c r="BP134" s="91"/>
      <c r="BQ134" s="353" t="s">
        <v>3683</v>
      </c>
      <c r="BR134" s="72" t="s">
        <v>2587</v>
      </c>
      <c r="BS134" s="13" t="s">
        <v>11</v>
      </c>
      <c r="BT134" s="82"/>
      <c r="BU134" s="91" t="s">
        <v>3576</v>
      </c>
      <c r="BV134" s="91"/>
      <c r="BW134" s="87" t="s">
        <v>3683</v>
      </c>
      <c r="BX134" s="49" t="s">
        <v>3557</v>
      </c>
      <c r="BY134" s="13" t="s">
        <v>11</v>
      </c>
      <c r="BZ134" s="82"/>
      <c r="CA134" s="91" t="s">
        <v>3576</v>
      </c>
      <c r="CB134" s="91"/>
      <c r="CC134" s="355" t="s">
        <v>3683</v>
      </c>
      <c r="CD134" s="52" t="s">
        <v>2953</v>
      </c>
      <c r="CE134" s="13" t="s">
        <v>0</v>
      </c>
      <c r="CF134" s="82" t="s">
        <v>12</v>
      </c>
      <c r="CG134" s="91" t="s">
        <v>3577</v>
      </c>
      <c r="CH134" s="91"/>
      <c r="CI134" s="87"/>
      <c r="CJ134" s="19" t="s">
        <v>3128</v>
      </c>
      <c r="CK134" s="13" t="s">
        <v>15</v>
      </c>
      <c r="CL134" s="82" t="s">
        <v>20</v>
      </c>
      <c r="CM134" s="91" t="s">
        <v>3577</v>
      </c>
      <c r="CN134" s="91"/>
      <c r="CO134" s="87" t="s">
        <v>3556</v>
      </c>
      <c r="CP134" s="56" t="s">
        <v>3266</v>
      </c>
      <c r="CQ134" s="13" t="s">
        <v>15</v>
      </c>
      <c r="CR134" s="82" t="s">
        <v>4</v>
      </c>
      <c r="CS134" s="91" t="s">
        <v>3577</v>
      </c>
      <c r="CT134" s="91"/>
      <c r="CU134" s="105" t="s">
        <v>3556</v>
      </c>
    </row>
    <row r="135" spans="1:99" ht="42" customHeight="1" thickBot="1" x14ac:dyDescent="0.4">
      <c r="A135" s="40" t="s">
        <v>147</v>
      </c>
      <c r="B135" s="40" t="s">
        <v>317</v>
      </c>
      <c r="C135" s="40" t="s">
        <v>516</v>
      </c>
      <c r="D135" s="135" t="s">
        <v>3461</v>
      </c>
      <c r="E135" s="314" t="s">
        <v>3855</v>
      </c>
      <c r="F135" s="315" t="s">
        <v>3371</v>
      </c>
      <c r="G135" s="315" t="s">
        <v>3859</v>
      </c>
      <c r="H135" s="256" t="s">
        <v>3679</v>
      </c>
      <c r="I135" s="139" t="s">
        <v>3559</v>
      </c>
      <c r="J135" s="136" t="s">
        <v>698</v>
      </c>
      <c r="K135" s="13" t="s">
        <v>0</v>
      </c>
      <c r="L135" s="82" t="s">
        <v>12</v>
      </c>
      <c r="M135" s="146" t="s">
        <v>3576</v>
      </c>
      <c r="N135" s="91"/>
      <c r="O135" s="87"/>
      <c r="P135" s="49" t="s">
        <v>897</v>
      </c>
      <c r="Q135" s="13" t="s">
        <v>0</v>
      </c>
      <c r="R135" s="82" t="s">
        <v>12</v>
      </c>
      <c r="S135" s="91" t="s">
        <v>3576</v>
      </c>
      <c r="T135" s="91"/>
      <c r="U135" s="87"/>
      <c r="V135" s="52" t="s">
        <v>1096</v>
      </c>
      <c r="W135" s="13" t="s">
        <v>0</v>
      </c>
      <c r="X135" s="82" t="s">
        <v>12</v>
      </c>
      <c r="Y135" s="91" t="s">
        <v>3576</v>
      </c>
      <c r="Z135" s="91"/>
      <c r="AA135" s="87"/>
      <c r="AB135" s="19" t="s">
        <v>1296</v>
      </c>
      <c r="AC135" s="13" t="s">
        <v>0</v>
      </c>
      <c r="AD135" s="82" t="s">
        <v>12</v>
      </c>
      <c r="AE135" s="91" t="s">
        <v>3576</v>
      </c>
      <c r="AF135" s="91"/>
      <c r="AG135" s="87"/>
      <c r="AH135" s="56" t="s">
        <v>1493</v>
      </c>
      <c r="AI135" s="13" t="s">
        <v>0</v>
      </c>
      <c r="AJ135" s="82" t="s">
        <v>12</v>
      </c>
      <c r="AK135" s="91" t="s">
        <v>3576</v>
      </c>
      <c r="AL135" s="91"/>
      <c r="AM135" s="105"/>
      <c r="AN135" s="23" t="s">
        <v>1692</v>
      </c>
      <c r="AO135" s="13" t="s">
        <v>0</v>
      </c>
      <c r="AP135" s="82" t="s">
        <v>12</v>
      </c>
      <c r="AQ135" s="91" t="s">
        <v>3576</v>
      </c>
      <c r="AR135" s="91"/>
      <c r="AS135" s="87"/>
      <c r="AT135" s="21" t="s">
        <v>1890</v>
      </c>
      <c r="AU135" s="13" t="s">
        <v>0</v>
      </c>
      <c r="AV135" s="82" t="s">
        <v>12</v>
      </c>
      <c r="AW135" s="91" t="s">
        <v>3576</v>
      </c>
      <c r="AX135" s="91"/>
      <c r="AY135" s="87"/>
      <c r="AZ135" s="22" t="s">
        <v>2086</v>
      </c>
      <c r="BA135" s="13" t="s">
        <v>0</v>
      </c>
      <c r="BB135" s="82" t="s">
        <v>12</v>
      </c>
      <c r="BC135" s="91" t="s">
        <v>3576</v>
      </c>
      <c r="BD135" s="91"/>
      <c r="BE135" s="87"/>
      <c r="BF135" s="24" t="s">
        <v>2280</v>
      </c>
      <c r="BG135" s="13" t="s">
        <v>0</v>
      </c>
      <c r="BH135" s="82" t="s">
        <v>12</v>
      </c>
      <c r="BI135" s="91" t="s">
        <v>3576</v>
      </c>
      <c r="BJ135" s="91"/>
      <c r="BK135" s="87"/>
      <c r="BL135" s="27" t="s">
        <v>2469</v>
      </c>
      <c r="BM135" s="13" t="s">
        <v>0</v>
      </c>
      <c r="BN135" s="82" t="s">
        <v>12</v>
      </c>
      <c r="BO135" s="91" t="s">
        <v>3576</v>
      </c>
      <c r="BP135" s="91"/>
      <c r="BQ135" s="105"/>
      <c r="BR135" s="72" t="s">
        <v>2666</v>
      </c>
      <c r="BS135" s="13" t="s">
        <v>15</v>
      </c>
      <c r="BT135" s="82" t="s">
        <v>20</v>
      </c>
      <c r="BU135" s="91" t="s">
        <v>3577</v>
      </c>
      <c r="BV135" s="91"/>
      <c r="BW135" s="87"/>
      <c r="BX135" s="49" t="s">
        <v>2666</v>
      </c>
      <c r="BY135" s="13" t="s">
        <v>15</v>
      </c>
      <c r="BZ135" s="82" t="s">
        <v>20</v>
      </c>
      <c r="CA135" s="91" t="s">
        <v>3577</v>
      </c>
      <c r="CB135" s="91"/>
      <c r="CC135" s="87"/>
      <c r="CD135" s="52" t="s">
        <v>3029</v>
      </c>
      <c r="CE135" s="13" t="s">
        <v>15</v>
      </c>
      <c r="CF135" s="82" t="s">
        <v>20</v>
      </c>
      <c r="CG135" s="91" t="s">
        <v>3577</v>
      </c>
      <c r="CH135" s="91"/>
      <c r="CI135" s="87"/>
      <c r="CJ135" s="19" t="s">
        <v>3186</v>
      </c>
      <c r="CK135" s="13" t="s">
        <v>15</v>
      </c>
      <c r="CL135" s="82" t="s">
        <v>20</v>
      </c>
      <c r="CM135" s="91" t="s">
        <v>3577</v>
      </c>
      <c r="CN135" s="91"/>
      <c r="CO135" s="87"/>
      <c r="CP135" s="56" t="s">
        <v>3312</v>
      </c>
      <c r="CQ135" s="13" t="s">
        <v>0</v>
      </c>
      <c r="CR135" s="82" t="s">
        <v>12</v>
      </c>
      <c r="CS135" s="91" t="s">
        <v>3576</v>
      </c>
      <c r="CT135" s="91"/>
      <c r="CU135" s="105"/>
    </row>
    <row r="136" spans="1:99" ht="42" customHeight="1" thickBot="1" x14ac:dyDescent="0.4">
      <c r="A136" s="40" t="s">
        <v>182</v>
      </c>
      <c r="B136" s="40" t="s">
        <v>363</v>
      </c>
      <c r="C136" s="40" t="s">
        <v>554</v>
      </c>
      <c r="D136" s="135" t="s">
        <v>3501</v>
      </c>
      <c r="E136" s="314" t="s">
        <v>3855</v>
      </c>
      <c r="F136" s="315" t="s">
        <v>3445</v>
      </c>
      <c r="G136" s="315" t="s">
        <v>3860</v>
      </c>
      <c r="H136" s="142" t="s">
        <v>3759</v>
      </c>
      <c r="I136" s="138" t="s">
        <v>3559</v>
      </c>
      <c r="J136" s="136" t="s">
        <v>744</v>
      </c>
      <c r="K136" s="13" t="s">
        <v>0</v>
      </c>
      <c r="L136" s="82" t="s">
        <v>7</v>
      </c>
      <c r="M136" s="146" t="s">
        <v>3576</v>
      </c>
      <c r="N136" s="91"/>
      <c r="O136" s="87" t="s">
        <v>3841</v>
      </c>
      <c r="P136" s="49" t="s">
        <v>943</v>
      </c>
      <c r="Q136" s="13" t="s">
        <v>0</v>
      </c>
      <c r="R136" s="82" t="s">
        <v>7</v>
      </c>
      <c r="S136" s="91" t="s">
        <v>3576</v>
      </c>
      <c r="T136" s="91"/>
      <c r="U136" s="87"/>
      <c r="V136" s="52" t="s">
        <v>1141</v>
      </c>
      <c r="W136" s="13" t="s">
        <v>0</v>
      </c>
      <c r="X136" s="82" t="s">
        <v>7</v>
      </c>
      <c r="Y136" s="91" t="s">
        <v>3576</v>
      </c>
      <c r="Z136" s="91"/>
      <c r="AA136" s="87"/>
      <c r="AB136" s="19" t="s">
        <v>1340</v>
      </c>
      <c r="AC136" s="13" t="s">
        <v>0</v>
      </c>
      <c r="AD136" s="82" t="s">
        <v>7</v>
      </c>
      <c r="AE136" s="91" t="s">
        <v>3576</v>
      </c>
      <c r="AF136" s="91"/>
      <c r="AG136" s="87"/>
      <c r="AH136" s="56" t="s">
        <v>1538</v>
      </c>
      <c r="AI136" s="13" t="s">
        <v>0</v>
      </c>
      <c r="AJ136" s="82" t="s">
        <v>7</v>
      </c>
      <c r="AK136" s="91" t="s">
        <v>3576</v>
      </c>
      <c r="AL136" s="91"/>
      <c r="AM136" s="105"/>
      <c r="AN136" s="23" t="s">
        <v>1737</v>
      </c>
      <c r="AO136" s="13" t="s">
        <v>11</v>
      </c>
      <c r="AP136" s="82"/>
      <c r="AQ136" s="91" t="s">
        <v>3576</v>
      </c>
      <c r="AR136" s="91"/>
      <c r="AS136" s="87"/>
      <c r="AT136" s="21" t="s">
        <v>1934</v>
      </c>
      <c r="AU136" s="13" t="s">
        <v>11</v>
      </c>
      <c r="AV136" s="82"/>
      <c r="AW136" s="91" t="s">
        <v>3576</v>
      </c>
      <c r="AX136" s="91"/>
      <c r="AY136" s="87"/>
      <c r="AZ136" s="22" t="s">
        <v>2130</v>
      </c>
      <c r="BA136" s="13" t="s">
        <v>11</v>
      </c>
      <c r="BB136" s="82"/>
      <c r="BC136" s="91" t="s">
        <v>3576</v>
      </c>
      <c r="BD136" s="91"/>
      <c r="BE136" s="87"/>
      <c r="BF136" s="24" t="s">
        <v>2322</v>
      </c>
      <c r="BG136" s="13" t="s">
        <v>11</v>
      </c>
      <c r="BH136" s="82"/>
      <c r="BI136" s="91" t="s">
        <v>3576</v>
      </c>
      <c r="BJ136" s="91"/>
      <c r="BK136" s="87"/>
      <c r="BL136" s="27" t="s">
        <v>2513</v>
      </c>
      <c r="BM136" s="13" t="s">
        <v>11</v>
      </c>
      <c r="BN136" s="82"/>
      <c r="BO136" s="91" t="s">
        <v>3576</v>
      </c>
      <c r="BP136" s="91"/>
      <c r="BQ136" s="105"/>
      <c r="BR136" s="72" t="s">
        <v>2711</v>
      </c>
      <c r="BS136" s="13" t="s">
        <v>0</v>
      </c>
      <c r="BT136" s="82" t="s">
        <v>7</v>
      </c>
      <c r="BU136" s="91" t="s">
        <v>3576</v>
      </c>
      <c r="BV136" s="91"/>
      <c r="BW136" s="87"/>
      <c r="BX136" s="49" t="s">
        <v>2894</v>
      </c>
      <c r="BY136" s="13" t="s">
        <v>11</v>
      </c>
      <c r="BZ136" s="82"/>
      <c r="CA136" s="91" t="s">
        <v>3576</v>
      </c>
      <c r="CB136" s="91"/>
      <c r="CC136" s="87"/>
      <c r="CD136" s="52" t="s">
        <v>3065</v>
      </c>
      <c r="CE136" s="13" t="s">
        <v>0</v>
      </c>
      <c r="CF136" s="82" t="s">
        <v>7</v>
      </c>
      <c r="CG136" s="91" t="s">
        <v>3576</v>
      </c>
      <c r="CH136" s="91"/>
      <c r="CI136" s="87"/>
      <c r="CJ136" s="19" t="s">
        <v>2711</v>
      </c>
      <c r="CK136" s="13" t="s">
        <v>0</v>
      </c>
      <c r="CL136" s="82" t="s">
        <v>7</v>
      </c>
      <c r="CM136" s="91" t="s">
        <v>3576</v>
      </c>
      <c r="CN136" s="91"/>
      <c r="CO136" s="87"/>
      <c r="CP136" s="56" t="s">
        <v>3338</v>
      </c>
      <c r="CQ136" s="13" t="s">
        <v>0</v>
      </c>
      <c r="CR136" s="82" t="s">
        <v>7</v>
      </c>
      <c r="CS136" s="91" t="s">
        <v>3576</v>
      </c>
      <c r="CT136" s="91"/>
      <c r="CU136" s="105"/>
    </row>
    <row r="137" spans="1:99" ht="99" customHeight="1" thickBot="1" x14ac:dyDescent="0.4">
      <c r="A137" s="40" t="s">
        <v>133</v>
      </c>
      <c r="B137" s="40" t="s">
        <v>296</v>
      </c>
      <c r="C137" s="40" t="s">
        <v>459</v>
      </c>
      <c r="D137" s="135" t="s">
        <v>3443</v>
      </c>
      <c r="E137" s="314" t="s">
        <v>3855</v>
      </c>
      <c r="F137" s="315" t="s">
        <v>3437</v>
      </c>
      <c r="G137" s="315" t="s">
        <v>3864</v>
      </c>
      <c r="H137" s="142" t="s">
        <v>3660</v>
      </c>
      <c r="I137" s="138" t="s">
        <v>3568</v>
      </c>
      <c r="J137" s="136" t="s">
        <v>677</v>
      </c>
      <c r="K137" s="13" t="s">
        <v>15</v>
      </c>
      <c r="L137" s="82" t="s">
        <v>19</v>
      </c>
      <c r="M137" s="146" t="s">
        <v>3577</v>
      </c>
      <c r="N137" s="91"/>
      <c r="O137" s="87"/>
      <c r="P137" s="49" t="s">
        <v>876</v>
      </c>
      <c r="Q137" s="13" t="s">
        <v>15</v>
      </c>
      <c r="R137" s="82" t="s">
        <v>19</v>
      </c>
      <c r="S137" s="91" t="s">
        <v>3577</v>
      </c>
      <c r="T137" s="91"/>
      <c r="U137" s="87"/>
      <c r="V137" s="52" t="s">
        <v>1075</v>
      </c>
      <c r="W137" s="13" t="s">
        <v>15</v>
      </c>
      <c r="X137" s="82" t="s">
        <v>19</v>
      </c>
      <c r="Y137" s="91" t="s">
        <v>3577</v>
      </c>
      <c r="Z137" s="91"/>
      <c r="AA137" s="87"/>
      <c r="AB137" s="19" t="s">
        <v>1276</v>
      </c>
      <c r="AC137" s="13" t="s">
        <v>15</v>
      </c>
      <c r="AD137" s="82" t="s">
        <v>19</v>
      </c>
      <c r="AE137" s="91" t="s">
        <v>3577</v>
      </c>
      <c r="AF137" s="91"/>
      <c r="AG137" s="87"/>
      <c r="AH137" s="56" t="s">
        <v>1472</v>
      </c>
      <c r="AI137" s="13" t="s">
        <v>15</v>
      </c>
      <c r="AJ137" s="82" t="s">
        <v>19</v>
      </c>
      <c r="AK137" s="91" t="s">
        <v>3577</v>
      </c>
      <c r="AL137" s="91"/>
      <c r="AM137" s="105"/>
      <c r="AN137" s="23" t="s">
        <v>1672</v>
      </c>
      <c r="AO137" s="13" t="s">
        <v>15</v>
      </c>
      <c r="AP137" s="82" t="s">
        <v>20</v>
      </c>
      <c r="AQ137" s="91" t="s">
        <v>3577</v>
      </c>
      <c r="AR137" s="91"/>
      <c r="AS137" s="87"/>
      <c r="AT137" s="21" t="s">
        <v>1869</v>
      </c>
      <c r="AU137" s="13" t="s">
        <v>15</v>
      </c>
      <c r="AV137" s="82" t="s">
        <v>20</v>
      </c>
      <c r="AW137" s="91" t="s">
        <v>3577</v>
      </c>
      <c r="AX137" s="91"/>
      <c r="AY137" s="87"/>
      <c r="AZ137" s="22" t="s">
        <v>2066</v>
      </c>
      <c r="BA137" s="13" t="s">
        <v>0</v>
      </c>
      <c r="BB137" s="82" t="s">
        <v>1</v>
      </c>
      <c r="BC137" s="91" t="s">
        <v>3577</v>
      </c>
      <c r="BD137" s="91"/>
      <c r="BE137" s="87"/>
      <c r="BF137" s="24" t="s">
        <v>2261</v>
      </c>
      <c r="BG137" s="13" t="s">
        <v>0</v>
      </c>
      <c r="BH137" s="82" t="s">
        <v>12</v>
      </c>
      <c r="BI137" s="91" t="s">
        <v>3577</v>
      </c>
      <c r="BJ137" s="91"/>
      <c r="BK137" s="87"/>
      <c r="BL137" s="27" t="s">
        <v>2448</v>
      </c>
      <c r="BM137" s="13" t="s">
        <v>0</v>
      </c>
      <c r="BN137" s="82" t="s">
        <v>1</v>
      </c>
      <c r="BO137" s="91" t="s">
        <v>3577</v>
      </c>
      <c r="BP137" s="91"/>
      <c r="BQ137" s="105"/>
      <c r="BR137" s="72" t="s">
        <v>2646</v>
      </c>
      <c r="BS137" s="13" t="s">
        <v>0</v>
      </c>
      <c r="BT137" s="82" t="s">
        <v>12</v>
      </c>
      <c r="BU137" s="91" t="s">
        <v>3577</v>
      </c>
      <c r="BV137" s="91"/>
      <c r="BW137" s="87"/>
      <c r="BX137" s="49" t="s">
        <v>2837</v>
      </c>
      <c r="BY137" s="13" t="s">
        <v>0</v>
      </c>
      <c r="BZ137" s="82" t="s">
        <v>12</v>
      </c>
      <c r="CA137" s="91" t="s">
        <v>3577</v>
      </c>
      <c r="CB137" s="91"/>
      <c r="CC137" s="264"/>
      <c r="CD137" s="52" t="s">
        <v>3011</v>
      </c>
      <c r="CE137" s="13" t="s">
        <v>0</v>
      </c>
      <c r="CF137" s="82" t="s">
        <v>12</v>
      </c>
      <c r="CG137" s="91" t="s">
        <v>3577</v>
      </c>
      <c r="CH137" s="91"/>
      <c r="CI137" s="87"/>
      <c r="CJ137" s="19" t="s">
        <v>2646</v>
      </c>
      <c r="CK137" s="13" t="s">
        <v>0</v>
      </c>
      <c r="CL137" s="82" t="s">
        <v>12</v>
      </c>
      <c r="CM137" s="91" t="s">
        <v>3577</v>
      </c>
      <c r="CN137" s="91"/>
      <c r="CO137" s="87"/>
      <c r="CP137" s="56" t="s">
        <v>2646</v>
      </c>
      <c r="CQ137" s="13" t="s">
        <v>0</v>
      </c>
      <c r="CR137" s="82" t="s">
        <v>12</v>
      </c>
      <c r="CS137" s="91" t="s">
        <v>3577</v>
      </c>
      <c r="CT137" s="91"/>
      <c r="CU137" s="105"/>
    </row>
    <row r="138" spans="1:99" ht="42" customHeight="1" thickBot="1" x14ac:dyDescent="0.4">
      <c r="A138" s="40" t="s">
        <v>171</v>
      </c>
      <c r="B138" s="40" t="s">
        <v>347</v>
      </c>
      <c r="C138" s="40" t="s">
        <v>540</v>
      </c>
      <c r="D138" s="135" t="s">
        <v>3743</v>
      </c>
      <c r="E138" s="314" t="s">
        <v>3855</v>
      </c>
      <c r="F138" s="315" t="s">
        <v>3423</v>
      </c>
      <c r="G138" s="315" t="s">
        <v>3865</v>
      </c>
      <c r="H138" s="142" t="s">
        <v>3742</v>
      </c>
      <c r="I138" s="138"/>
      <c r="J138" s="136" t="s">
        <v>728</v>
      </c>
      <c r="K138" s="13" t="s">
        <v>15</v>
      </c>
      <c r="L138" s="82" t="s">
        <v>9</v>
      </c>
      <c r="M138" s="146" t="s">
        <v>3576</v>
      </c>
      <c r="N138" s="91"/>
      <c r="O138" s="87"/>
      <c r="P138" s="49" t="s">
        <v>927</v>
      </c>
      <c r="Q138" s="13" t="s">
        <v>15</v>
      </c>
      <c r="R138" s="82" t="s">
        <v>9</v>
      </c>
      <c r="S138" s="91" t="s">
        <v>3576</v>
      </c>
      <c r="T138" s="91"/>
      <c r="U138" s="87"/>
      <c r="V138" s="52" t="s">
        <v>1125</v>
      </c>
      <c r="W138" s="13" t="s">
        <v>15</v>
      </c>
      <c r="X138" s="82" t="s">
        <v>9</v>
      </c>
      <c r="Y138" s="91" t="s">
        <v>3576</v>
      </c>
      <c r="Z138" s="91"/>
      <c r="AA138" s="87"/>
      <c r="AB138" s="19" t="s">
        <v>1324</v>
      </c>
      <c r="AC138" s="13" t="s">
        <v>15</v>
      </c>
      <c r="AD138" s="82" t="s">
        <v>9</v>
      </c>
      <c r="AE138" s="91" t="s">
        <v>3576</v>
      </c>
      <c r="AF138" s="91"/>
      <c r="AG138" s="87"/>
      <c r="AH138" s="56" t="s">
        <v>1522</v>
      </c>
      <c r="AI138" s="13" t="s">
        <v>15</v>
      </c>
      <c r="AJ138" s="82" t="s">
        <v>9</v>
      </c>
      <c r="AK138" s="91" t="s">
        <v>3576</v>
      </c>
      <c r="AL138" s="91"/>
      <c r="AM138" s="105"/>
      <c r="AN138" s="23" t="s">
        <v>1721</v>
      </c>
      <c r="AO138" s="13" t="s">
        <v>0</v>
      </c>
      <c r="AP138" s="82" t="s">
        <v>1</v>
      </c>
      <c r="AQ138" s="91" t="s">
        <v>3576</v>
      </c>
      <c r="AR138" s="91"/>
      <c r="AS138" s="87"/>
      <c r="AT138" s="21" t="s">
        <v>1920</v>
      </c>
      <c r="AU138" s="13" t="s">
        <v>0</v>
      </c>
      <c r="AV138" s="82" t="s">
        <v>1</v>
      </c>
      <c r="AW138" s="91" t="s">
        <v>3576</v>
      </c>
      <c r="AX138" s="91"/>
      <c r="AY138" s="87"/>
      <c r="AZ138" s="22" t="s">
        <v>2115</v>
      </c>
      <c r="BA138" s="13" t="s">
        <v>15</v>
      </c>
      <c r="BB138" s="82" t="s">
        <v>4</v>
      </c>
      <c r="BC138" s="91" t="s">
        <v>3576</v>
      </c>
      <c r="BD138" s="91"/>
      <c r="BE138" s="87"/>
      <c r="BF138" s="24" t="s">
        <v>2307</v>
      </c>
      <c r="BG138" s="13" t="s">
        <v>0</v>
      </c>
      <c r="BH138" s="82" t="s">
        <v>1</v>
      </c>
      <c r="BI138" s="91" t="s">
        <v>3576</v>
      </c>
      <c r="BJ138" s="91"/>
      <c r="BK138" s="87"/>
      <c r="BL138" s="27" t="s">
        <v>2497</v>
      </c>
      <c r="BM138" s="13" t="s">
        <v>0</v>
      </c>
      <c r="BN138" s="82" t="s">
        <v>1</v>
      </c>
      <c r="BO138" s="91" t="s">
        <v>3576</v>
      </c>
      <c r="BP138" s="91"/>
      <c r="BQ138" s="105"/>
      <c r="BR138" s="72" t="s">
        <v>2695</v>
      </c>
      <c r="BS138" s="13" t="s">
        <v>0</v>
      </c>
      <c r="BT138" s="82" t="s">
        <v>1</v>
      </c>
      <c r="BU138" s="91" t="s">
        <v>3576</v>
      </c>
      <c r="BV138" s="91"/>
      <c r="BW138" s="87"/>
      <c r="BX138" s="49" t="s">
        <v>2880</v>
      </c>
      <c r="BY138" s="13" t="s">
        <v>0</v>
      </c>
      <c r="BZ138" s="82" t="s">
        <v>1</v>
      </c>
      <c r="CA138" s="91" t="s">
        <v>3576</v>
      </c>
      <c r="CB138" s="91"/>
      <c r="CC138" s="87"/>
      <c r="CD138" s="52" t="s">
        <v>3052</v>
      </c>
      <c r="CE138" s="13" t="s">
        <v>0</v>
      </c>
      <c r="CF138" s="82" t="s">
        <v>1</v>
      </c>
      <c r="CG138" s="91" t="s">
        <v>3576</v>
      </c>
      <c r="CH138" s="91"/>
      <c r="CI138" s="87"/>
      <c r="CJ138" s="19" t="s">
        <v>2695</v>
      </c>
      <c r="CK138" s="13" t="s">
        <v>0</v>
      </c>
      <c r="CL138" s="82" t="s">
        <v>1</v>
      </c>
      <c r="CM138" s="91" t="s">
        <v>3576</v>
      </c>
      <c r="CN138" s="91"/>
      <c r="CO138" s="87"/>
      <c r="CP138" s="56" t="s">
        <v>2695</v>
      </c>
      <c r="CQ138" s="13" t="s">
        <v>0</v>
      </c>
      <c r="CR138" s="82" t="s">
        <v>1</v>
      </c>
      <c r="CS138" s="91" t="s">
        <v>3576</v>
      </c>
      <c r="CT138" s="91"/>
      <c r="CU138" s="105"/>
    </row>
    <row r="139" spans="1:99" ht="42" customHeight="1" thickBot="1" x14ac:dyDescent="0.4">
      <c r="A139" s="40" t="s">
        <v>91</v>
      </c>
      <c r="B139" s="40" t="s">
        <v>252</v>
      </c>
      <c r="C139" s="40" t="s">
        <v>452</v>
      </c>
      <c r="D139" s="135" t="s">
        <v>3400</v>
      </c>
      <c r="E139" s="314" t="s">
        <v>3855</v>
      </c>
      <c r="F139" s="315" t="s">
        <v>3371</v>
      </c>
      <c r="G139" s="315" t="s">
        <v>3859</v>
      </c>
      <c r="H139" s="142" t="s">
        <v>3606</v>
      </c>
      <c r="I139" s="138" t="s">
        <v>3607</v>
      </c>
      <c r="J139" s="136" t="s">
        <v>631</v>
      </c>
      <c r="K139" s="13" t="s">
        <v>15</v>
      </c>
      <c r="L139" s="82" t="s">
        <v>9</v>
      </c>
      <c r="M139" s="146" t="s">
        <v>3576</v>
      </c>
      <c r="N139" s="91"/>
      <c r="O139" s="349" t="s">
        <v>3836</v>
      </c>
      <c r="P139" s="49" t="s">
        <v>832</v>
      </c>
      <c r="Q139" s="13" t="s">
        <v>15</v>
      </c>
      <c r="R139" s="82" t="s">
        <v>9</v>
      </c>
      <c r="S139" s="91" t="s">
        <v>3576</v>
      </c>
      <c r="T139" s="91"/>
      <c r="U139" s="87" t="s">
        <v>3559</v>
      </c>
      <c r="V139" s="52" t="s">
        <v>1030</v>
      </c>
      <c r="W139" s="13" t="s">
        <v>15</v>
      </c>
      <c r="X139" s="82" t="s">
        <v>9</v>
      </c>
      <c r="Y139" s="91" t="s">
        <v>3576</v>
      </c>
      <c r="Z139" s="91"/>
      <c r="AA139" s="87" t="s">
        <v>3559</v>
      </c>
      <c r="AB139" s="19" t="s">
        <v>1230</v>
      </c>
      <c r="AC139" s="13" t="s">
        <v>15</v>
      </c>
      <c r="AD139" s="82" t="s">
        <v>9</v>
      </c>
      <c r="AE139" s="91" t="s">
        <v>3576</v>
      </c>
      <c r="AF139" s="91"/>
      <c r="AG139" s="87" t="s">
        <v>3559</v>
      </c>
      <c r="AH139" s="56" t="s">
        <v>1429</v>
      </c>
      <c r="AI139" s="13" t="s">
        <v>11</v>
      </c>
      <c r="AJ139" s="82"/>
      <c r="AK139" s="91" t="s">
        <v>3576</v>
      </c>
      <c r="AL139" s="91"/>
      <c r="AM139" s="105"/>
      <c r="AN139" s="23" t="s">
        <v>1627</v>
      </c>
      <c r="AO139" s="13" t="s">
        <v>11</v>
      </c>
      <c r="AP139" s="82"/>
      <c r="AQ139" s="91" t="s">
        <v>3576</v>
      </c>
      <c r="AR139" s="91"/>
      <c r="AS139" s="87"/>
      <c r="AT139" s="21" t="s">
        <v>1825</v>
      </c>
      <c r="AU139" s="13" t="s">
        <v>15</v>
      </c>
      <c r="AV139" s="82" t="s">
        <v>9</v>
      </c>
      <c r="AW139" s="91" t="s">
        <v>3576</v>
      </c>
      <c r="AX139" s="91"/>
      <c r="AY139" s="87"/>
      <c r="AZ139" s="22" t="s">
        <v>2022</v>
      </c>
      <c r="BA139" s="13" t="s">
        <v>15</v>
      </c>
      <c r="BB139" s="82" t="s">
        <v>9</v>
      </c>
      <c r="BC139" s="91" t="s">
        <v>3576</v>
      </c>
      <c r="BD139" s="91"/>
      <c r="BE139" s="87"/>
      <c r="BF139" s="24" t="s">
        <v>2219</v>
      </c>
      <c r="BG139" s="13" t="s">
        <v>15</v>
      </c>
      <c r="BH139" s="82" t="s">
        <v>9</v>
      </c>
      <c r="BI139" s="91" t="s">
        <v>3576</v>
      </c>
      <c r="BJ139" s="91"/>
      <c r="BK139" s="87"/>
      <c r="BL139" s="27" t="s">
        <v>2407</v>
      </c>
      <c r="BM139" s="13" t="s">
        <v>15</v>
      </c>
      <c r="BN139" s="82" t="s">
        <v>9</v>
      </c>
      <c r="BO139" s="91" t="s">
        <v>3576</v>
      </c>
      <c r="BP139" s="91"/>
      <c r="BQ139" s="105"/>
      <c r="BR139" s="72" t="s">
        <v>2604</v>
      </c>
      <c r="BS139" s="13" t="s">
        <v>15</v>
      </c>
      <c r="BT139" s="82" t="s">
        <v>9</v>
      </c>
      <c r="BU139" s="91" t="s">
        <v>3576</v>
      </c>
      <c r="BV139" s="91"/>
      <c r="BW139" s="87"/>
      <c r="BX139" s="49" t="s">
        <v>2796</v>
      </c>
      <c r="BY139" s="13" t="s">
        <v>15</v>
      </c>
      <c r="BZ139" s="82" t="s">
        <v>9</v>
      </c>
      <c r="CA139" s="91" t="s">
        <v>3576</v>
      </c>
      <c r="CB139" s="91"/>
      <c r="CC139" s="264"/>
      <c r="CD139" s="52" t="s">
        <v>2971</v>
      </c>
      <c r="CE139" s="13" t="s">
        <v>15</v>
      </c>
      <c r="CF139" s="82" t="s">
        <v>9</v>
      </c>
      <c r="CG139" s="91" t="s">
        <v>3576</v>
      </c>
      <c r="CH139" s="91"/>
      <c r="CI139" s="87"/>
      <c r="CJ139" s="19" t="s">
        <v>3141</v>
      </c>
      <c r="CK139" s="13" t="s">
        <v>15</v>
      </c>
      <c r="CL139" s="82" t="s">
        <v>9</v>
      </c>
      <c r="CM139" s="91" t="s">
        <v>3576</v>
      </c>
      <c r="CN139" s="91"/>
      <c r="CO139" s="87"/>
      <c r="CP139" s="56" t="s">
        <v>3278</v>
      </c>
      <c r="CQ139" s="13" t="s">
        <v>15</v>
      </c>
      <c r="CR139" s="82" t="s">
        <v>9</v>
      </c>
      <c r="CS139" s="91" t="s">
        <v>3576</v>
      </c>
      <c r="CT139" s="91"/>
      <c r="CU139" s="105"/>
    </row>
    <row r="140" spans="1:99" ht="42" customHeight="1" thickBot="1" x14ac:dyDescent="0.4">
      <c r="A140" s="40" t="s">
        <v>108</v>
      </c>
      <c r="B140" s="40" t="s">
        <v>269</v>
      </c>
      <c r="C140" s="40" t="s">
        <v>469</v>
      </c>
      <c r="D140" s="135" t="s">
        <v>3416</v>
      </c>
      <c r="E140" s="314" t="s">
        <v>3855</v>
      </c>
      <c r="F140" s="315" t="s">
        <v>3383</v>
      </c>
      <c r="G140" s="315" t="s">
        <v>3863</v>
      </c>
      <c r="H140" s="142"/>
      <c r="I140" s="138"/>
      <c r="J140" s="136" t="s">
        <v>649</v>
      </c>
      <c r="K140" s="13" t="s">
        <v>15</v>
      </c>
      <c r="L140" s="82" t="s">
        <v>9</v>
      </c>
      <c r="M140" s="146" t="s">
        <v>3576</v>
      </c>
      <c r="N140" s="91"/>
      <c r="O140" s="87"/>
      <c r="P140" s="49" t="s">
        <v>850</v>
      </c>
      <c r="Q140" s="13" t="s">
        <v>11</v>
      </c>
      <c r="R140" s="82"/>
      <c r="S140" s="91" t="s">
        <v>3576</v>
      </c>
      <c r="T140" s="91"/>
      <c r="U140" s="87"/>
      <c r="V140" s="52" t="s">
        <v>1048</v>
      </c>
      <c r="W140" s="13" t="s">
        <v>15</v>
      </c>
      <c r="X140" s="82" t="s">
        <v>20</v>
      </c>
      <c r="Y140" s="91" t="s">
        <v>3576</v>
      </c>
      <c r="Z140" s="91"/>
      <c r="AA140" s="87"/>
      <c r="AB140" s="19" t="s">
        <v>1248</v>
      </c>
      <c r="AC140" s="13" t="s">
        <v>15</v>
      </c>
      <c r="AD140" s="82" t="s">
        <v>9</v>
      </c>
      <c r="AE140" s="91" t="s">
        <v>3576</v>
      </c>
      <c r="AF140" s="91"/>
      <c r="AG140" s="87"/>
      <c r="AH140" s="56" t="s">
        <v>1447</v>
      </c>
      <c r="AI140" s="13" t="s">
        <v>15</v>
      </c>
      <c r="AJ140" s="82" t="s">
        <v>9</v>
      </c>
      <c r="AK140" s="91" t="s">
        <v>3576</v>
      </c>
      <c r="AL140" s="91"/>
      <c r="AM140" s="105"/>
      <c r="AN140" s="23" t="s">
        <v>1644</v>
      </c>
      <c r="AO140" s="13" t="s">
        <v>15</v>
      </c>
      <c r="AP140" s="82" t="s">
        <v>20</v>
      </c>
      <c r="AQ140" s="91" t="s">
        <v>3576</v>
      </c>
      <c r="AR140" s="91"/>
      <c r="AS140" s="87"/>
      <c r="AT140" s="21" t="s">
        <v>3674</v>
      </c>
      <c r="AU140" s="13" t="s">
        <v>15</v>
      </c>
      <c r="AV140" s="82" t="s">
        <v>20</v>
      </c>
      <c r="AW140" s="91" t="s">
        <v>3576</v>
      </c>
      <c r="AX140" s="91"/>
      <c r="AY140" s="87"/>
      <c r="AZ140" s="22" t="s">
        <v>2040</v>
      </c>
      <c r="BA140" s="13" t="s">
        <v>15</v>
      </c>
      <c r="BB140" s="82" t="s">
        <v>20</v>
      </c>
      <c r="BC140" s="91" t="s">
        <v>3576</v>
      </c>
      <c r="BD140" s="91"/>
      <c r="BE140" s="87"/>
      <c r="BF140" s="24" t="s">
        <v>1644</v>
      </c>
      <c r="BG140" s="13" t="s">
        <v>15</v>
      </c>
      <c r="BH140" s="82" t="s">
        <v>20</v>
      </c>
      <c r="BI140" s="91" t="s">
        <v>3576</v>
      </c>
      <c r="BJ140" s="91"/>
      <c r="BK140" s="87"/>
      <c r="BL140" s="27" t="s">
        <v>2423</v>
      </c>
      <c r="BM140" s="13" t="s">
        <v>15</v>
      </c>
      <c r="BN140" s="82" t="s">
        <v>20</v>
      </c>
      <c r="BO140" s="91" t="s">
        <v>3576</v>
      </c>
      <c r="BP140" s="91"/>
      <c r="BQ140" s="105"/>
      <c r="BR140" s="72" t="s">
        <v>3675</v>
      </c>
      <c r="BS140" s="13" t="s">
        <v>0</v>
      </c>
      <c r="BT140" s="82" t="s">
        <v>12</v>
      </c>
      <c r="BU140" s="91" t="s">
        <v>3576</v>
      </c>
      <c r="BV140" s="91"/>
      <c r="BW140" s="87"/>
      <c r="BX140" s="49" t="s">
        <v>2813</v>
      </c>
      <c r="BY140" s="13" t="s">
        <v>15</v>
      </c>
      <c r="BZ140" s="82" t="s">
        <v>20</v>
      </c>
      <c r="CA140" s="91" t="s">
        <v>3576</v>
      </c>
      <c r="CB140" s="91"/>
      <c r="CC140" s="264"/>
      <c r="CD140" s="52" t="s">
        <v>2987</v>
      </c>
      <c r="CE140" s="13" t="s">
        <v>0</v>
      </c>
      <c r="CF140" s="82" t="s">
        <v>12</v>
      </c>
      <c r="CG140" s="91" t="s">
        <v>3576</v>
      </c>
      <c r="CH140" s="91"/>
      <c r="CI140" s="87"/>
      <c r="CJ140" s="19" t="s">
        <v>2987</v>
      </c>
      <c r="CK140" s="13" t="s">
        <v>0</v>
      </c>
      <c r="CL140" s="82" t="s">
        <v>12</v>
      </c>
      <c r="CM140" s="91" t="s">
        <v>3576</v>
      </c>
      <c r="CN140" s="91"/>
      <c r="CO140" s="87"/>
      <c r="CP140" s="56" t="s">
        <v>2987</v>
      </c>
      <c r="CQ140" s="13" t="s">
        <v>0</v>
      </c>
      <c r="CR140" s="82" t="s">
        <v>12</v>
      </c>
      <c r="CS140" s="91" t="s">
        <v>3576</v>
      </c>
      <c r="CT140" s="91"/>
      <c r="CU140" s="105"/>
    </row>
    <row r="141" spans="1:99" ht="42" customHeight="1" thickBot="1" x14ac:dyDescent="0.4">
      <c r="A141" s="40" t="s">
        <v>191</v>
      </c>
      <c r="B141" s="40" t="s">
        <v>376</v>
      </c>
      <c r="C141" s="40" t="s">
        <v>566</v>
      </c>
      <c r="D141" s="135" t="s">
        <v>3512</v>
      </c>
      <c r="E141" s="314" t="s">
        <v>3855</v>
      </c>
      <c r="F141" s="315" t="s">
        <v>3437</v>
      </c>
      <c r="G141" s="315" t="s">
        <v>3864</v>
      </c>
      <c r="H141" s="142" t="s">
        <v>3771</v>
      </c>
      <c r="I141" s="138" t="s">
        <v>3559</v>
      </c>
      <c r="J141" s="136" t="s">
        <v>757</v>
      </c>
      <c r="K141" s="13" t="s">
        <v>15</v>
      </c>
      <c r="L141" s="82" t="s">
        <v>9</v>
      </c>
      <c r="M141" s="146" t="s">
        <v>3576</v>
      </c>
      <c r="N141" s="91"/>
      <c r="O141" s="87"/>
      <c r="P141" s="49" t="s">
        <v>956</v>
      </c>
      <c r="Q141" s="13" t="s">
        <v>15</v>
      </c>
      <c r="R141" s="82" t="s">
        <v>9</v>
      </c>
      <c r="S141" s="91" t="s">
        <v>3576</v>
      </c>
      <c r="T141" s="91"/>
      <c r="U141" s="87"/>
      <c r="V141" s="52" t="s">
        <v>1154</v>
      </c>
      <c r="W141" s="13" t="s">
        <v>15</v>
      </c>
      <c r="X141" s="82" t="s">
        <v>9</v>
      </c>
      <c r="Y141" s="91" t="s">
        <v>3576</v>
      </c>
      <c r="Z141" s="91"/>
      <c r="AA141" s="87"/>
      <c r="AB141" s="19" t="s">
        <v>1353</v>
      </c>
      <c r="AC141" s="13" t="s">
        <v>15</v>
      </c>
      <c r="AD141" s="82" t="s">
        <v>9</v>
      </c>
      <c r="AE141" s="91" t="s">
        <v>3576</v>
      </c>
      <c r="AF141" s="91"/>
      <c r="AG141" s="87"/>
      <c r="AH141" s="56" t="s">
        <v>1551</v>
      </c>
      <c r="AI141" s="13" t="s">
        <v>15</v>
      </c>
      <c r="AJ141" s="82" t="s">
        <v>9</v>
      </c>
      <c r="AK141" s="91" t="s">
        <v>3576</v>
      </c>
      <c r="AL141" s="91"/>
      <c r="AM141" s="105"/>
      <c r="AN141" s="23" t="s">
        <v>1750</v>
      </c>
      <c r="AO141" s="13" t="s">
        <v>0</v>
      </c>
      <c r="AP141" s="82" t="s">
        <v>12</v>
      </c>
      <c r="AQ141" s="91" t="s">
        <v>3577</v>
      </c>
      <c r="AR141" s="91"/>
      <c r="AS141" s="87"/>
      <c r="AT141" s="21" t="s">
        <v>1947</v>
      </c>
      <c r="AU141" s="13" t="s">
        <v>0</v>
      </c>
      <c r="AV141" s="82" t="s">
        <v>12</v>
      </c>
      <c r="AW141" s="91" t="s">
        <v>3577</v>
      </c>
      <c r="AX141" s="91"/>
      <c r="AY141" s="87"/>
      <c r="AZ141" s="22" t="s">
        <v>2143</v>
      </c>
      <c r="BA141" s="13" t="s">
        <v>0</v>
      </c>
      <c r="BB141" s="82" t="s">
        <v>12</v>
      </c>
      <c r="BC141" s="91" t="s">
        <v>3577</v>
      </c>
      <c r="BD141" s="91"/>
      <c r="BE141" s="87"/>
      <c r="BF141" s="24" t="s">
        <v>2334</v>
      </c>
      <c r="BG141" s="13" t="s">
        <v>0</v>
      </c>
      <c r="BH141" s="82" t="s">
        <v>12</v>
      </c>
      <c r="BI141" s="91" t="s">
        <v>3577</v>
      </c>
      <c r="BJ141" s="91"/>
      <c r="BK141" s="87"/>
      <c r="BL141" s="27" t="s">
        <v>2526</v>
      </c>
      <c r="BM141" s="13" t="s">
        <v>0</v>
      </c>
      <c r="BN141" s="82" t="s">
        <v>12</v>
      </c>
      <c r="BO141" s="91" t="s">
        <v>3577</v>
      </c>
      <c r="BP141" s="91"/>
      <c r="BQ141" s="105"/>
      <c r="BR141" s="72" t="s">
        <v>2724</v>
      </c>
      <c r="BS141" s="13" t="s">
        <v>0</v>
      </c>
      <c r="BT141" s="82" t="s">
        <v>1</v>
      </c>
      <c r="BU141" s="91" t="s">
        <v>3577</v>
      </c>
      <c r="BV141" s="91"/>
      <c r="BW141" s="87"/>
      <c r="BX141" s="49" t="s">
        <v>2724</v>
      </c>
      <c r="BY141" s="13" t="s">
        <v>0</v>
      </c>
      <c r="BZ141" s="82" t="s">
        <v>1</v>
      </c>
      <c r="CA141" s="91" t="s">
        <v>3577</v>
      </c>
      <c r="CB141" s="91"/>
      <c r="CC141" s="87"/>
      <c r="CD141" s="52" t="s">
        <v>3076</v>
      </c>
      <c r="CE141" s="13" t="s">
        <v>0</v>
      </c>
      <c r="CF141" s="82" t="s">
        <v>1</v>
      </c>
      <c r="CG141" s="91" t="s">
        <v>3577</v>
      </c>
      <c r="CH141" s="91"/>
      <c r="CI141" s="87"/>
      <c r="CJ141" s="19" t="s">
        <v>3224</v>
      </c>
      <c r="CK141" s="13" t="s">
        <v>0</v>
      </c>
      <c r="CL141" s="82" t="s">
        <v>12</v>
      </c>
      <c r="CM141" s="91" t="s">
        <v>3577</v>
      </c>
      <c r="CN141" s="91"/>
      <c r="CO141" s="87"/>
      <c r="CP141" s="56" t="s">
        <v>3224</v>
      </c>
      <c r="CQ141" s="13" t="s">
        <v>0</v>
      </c>
      <c r="CR141" s="82" t="s">
        <v>12</v>
      </c>
      <c r="CS141" s="91" t="s">
        <v>3577</v>
      </c>
      <c r="CT141" s="91"/>
      <c r="CU141" s="105"/>
    </row>
    <row r="142" spans="1:99" ht="42" customHeight="1" thickBot="1" x14ac:dyDescent="0.4">
      <c r="A142" s="40" t="s">
        <v>157</v>
      </c>
      <c r="B142" s="40" t="s">
        <v>328</v>
      </c>
      <c r="C142" s="40" t="s">
        <v>526</v>
      </c>
      <c r="D142" s="135" t="s">
        <v>3472</v>
      </c>
      <c r="E142" s="314" t="s">
        <v>3855</v>
      </c>
      <c r="F142" s="315" t="s">
        <v>3376</v>
      </c>
      <c r="G142" s="315" t="s">
        <v>3856</v>
      </c>
      <c r="H142" s="266" t="s">
        <v>3726</v>
      </c>
      <c r="I142" s="265" t="s">
        <v>3591</v>
      </c>
      <c r="J142" s="136" t="s">
        <v>709</v>
      </c>
      <c r="K142" s="13" t="s">
        <v>15</v>
      </c>
      <c r="L142" s="82" t="s">
        <v>9</v>
      </c>
      <c r="M142" s="146" t="s">
        <v>3576</v>
      </c>
      <c r="N142" s="91"/>
      <c r="O142" s="87"/>
      <c r="P142" s="49" t="s">
        <v>908</v>
      </c>
      <c r="Q142" s="13" t="s">
        <v>15</v>
      </c>
      <c r="R142" s="82" t="s">
        <v>9</v>
      </c>
      <c r="S142" s="91" t="s">
        <v>3576</v>
      </c>
      <c r="T142" s="91"/>
      <c r="U142" s="87"/>
      <c r="V142" s="52" t="s">
        <v>1107</v>
      </c>
      <c r="W142" s="13" t="s">
        <v>15</v>
      </c>
      <c r="X142" s="82" t="s">
        <v>9</v>
      </c>
      <c r="Y142" s="91" t="s">
        <v>3576</v>
      </c>
      <c r="Z142" s="91"/>
      <c r="AA142" s="87"/>
      <c r="AB142" s="19" t="s">
        <v>1306</v>
      </c>
      <c r="AC142" s="13" t="s">
        <v>15</v>
      </c>
      <c r="AD142" s="82" t="s">
        <v>9</v>
      </c>
      <c r="AE142" s="91" t="s">
        <v>3576</v>
      </c>
      <c r="AF142" s="91"/>
      <c r="AG142" s="87"/>
      <c r="AH142" s="56" t="s">
        <v>1503</v>
      </c>
      <c r="AI142" s="13" t="s">
        <v>15</v>
      </c>
      <c r="AJ142" s="82" t="s">
        <v>9</v>
      </c>
      <c r="AK142" s="91" t="s">
        <v>3576</v>
      </c>
      <c r="AL142" s="91"/>
      <c r="AM142" s="105"/>
      <c r="AN142" s="23" t="s">
        <v>1702</v>
      </c>
      <c r="AO142" s="13" t="s">
        <v>15</v>
      </c>
      <c r="AP142" s="82" t="s">
        <v>20</v>
      </c>
      <c r="AQ142" s="91" t="s">
        <v>3577</v>
      </c>
      <c r="AR142" s="91"/>
      <c r="AS142" s="87"/>
      <c r="AT142" s="21" t="s">
        <v>1901</v>
      </c>
      <c r="AU142" s="13" t="s">
        <v>15</v>
      </c>
      <c r="AV142" s="82" t="s">
        <v>20</v>
      </c>
      <c r="AW142" s="91" t="s">
        <v>3577</v>
      </c>
      <c r="AX142" s="91"/>
      <c r="AY142" s="87"/>
      <c r="AZ142" s="22" t="s">
        <v>2097</v>
      </c>
      <c r="BA142" s="13" t="s">
        <v>15</v>
      </c>
      <c r="BB142" s="82" t="s">
        <v>20</v>
      </c>
      <c r="BC142" s="91" t="s">
        <v>3577</v>
      </c>
      <c r="BD142" s="91"/>
      <c r="BE142" s="87"/>
      <c r="BF142" s="24" t="s">
        <v>2288</v>
      </c>
      <c r="BG142" s="13" t="s">
        <v>15</v>
      </c>
      <c r="BH142" s="82" t="s">
        <v>20</v>
      </c>
      <c r="BI142" s="91" t="s">
        <v>3577</v>
      </c>
      <c r="BJ142" s="91"/>
      <c r="BK142" s="87"/>
      <c r="BL142" s="27" t="s">
        <v>2478</v>
      </c>
      <c r="BM142" s="13" t="s">
        <v>15</v>
      </c>
      <c r="BN142" s="82" t="s">
        <v>20</v>
      </c>
      <c r="BO142" s="91" t="s">
        <v>3577</v>
      </c>
      <c r="BP142" s="91"/>
      <c r="BQ142" s="105"/>
      <c r="BR142" s="72" t="s">
        <v>2676</v>
      </c>
      <c r="BS142" s="13" t="s">
        <v>15</v>
      </c>
      <c r="BT142" s="82" t="s">
        <v>9</v>
      </c>
      <c r="BU142" s="91" t="s">
        <v>3576</v>
      </c>
      <c r="BV142" s="91"/>
      <c r="BW142" s="87"/>
      <c r="BX142" s="49" t="s">
        <v>2864</v>
      </c>
      <c r="BY142" s="13" t="s">
        <v>15</v>
      </c>
      <c r="BZ142" s="82" t="s">
        <v>9</v>
      </c>
      <c r="CA142" s="91" t="s">
        <v>3576</v>
      </c>
      <c r="CB142" s="91"/>
      <c r="CC142" s="87"/>
      <c r="CD142" s="52" t="s">
        <v>3039</v>
      </c>
      <c r="CE142" s="13" t="s">
        <v>15</v>
      </c>
      <c r="CF142" s="82" t="s">
        <v>9</v>
      </c>
      <c r="CG142" s="91" t="s">
        <v>3576</v>
      </c>
      <c r="CH142" s="91"/>
      <c r="CI142" s="87"/>
      <c r="CJ142" s="19" t="s">
        <v>2676</v>
      </c>
      <c r="CK142" s="13" t="s">
        <v>15</v>
      </c>
      <c r="CL142" s="82" t="s">
        <v>9</v>
      </c>
      <c r="CM142" s="91" t="s">
        <v>3576</v>
      </c>
      <c r="CN142" s="91"/>
      <c r="CO142" s="87"/>
      <c r="CP142" s="56" t="s">
        <v>3320</v>
      </c>
      <c r="CQ142" s="13" t="s">
        <v>15</v>
      </c>
      <c r="CR142" s="82" t="s">
        <v>9</v>
      </c>
      <c r="CS142" s="91" t="s">
        <v>3576</v>
      </c>
      <c r="CT142" s="91"/>
      <c r="CU142" s="105"/>
    </row>
    <row r="143" spans="1:99" ht="59.5" customHeight="1" thickBot="1" x14ac:dyDescent="0.4">
      <c r="A143" s="40" t="s">
        <v>87</v>
      </c>
      <c r="B143" s="40" t="s">
        <v>248</v>
      </c>
      <c r="C143" s="40" t="s">
        <v>448</v>
      </c>
      <c r="D143" s="135" t="s">
        <v>3396</v>
      </c>
      <c r="E143" s="317" t="s">
        <v>3866</v>
      </c>
      <c r="F143" s="318" t="s">
        <v>3382</v>
      </c>
      <c r="G143" s="319" t="s">
        <v>3867</v>
      </c>
      <c r="H143" s="142" t="s">
        <v>3600</v>
      </c>
      <c r="I143" s="138" t="s">
        <v>3559</v>
      </c>
      <c r="J143" s="136" t="s">
        <v>627</v>
      </c>
      <c r="K143" s="13"/>
      <c r="L143" s="82"/>
      <c r="M143" s="146"/>
      <c r="N143" s="91"/>
      <c r="O143" s="351" t="s">
        <v>3713</v>
      </c>
      <c r="P143" s="49" t="s">
        <v>828</v>
      </c>
      <c r="Q143" s="13"/>
      <c r="R143" s="82"/>
      <c r="S143" s="91"/>
      <c r="T143" s="91"/>
      <c r="U143" s="87"/>
      <c r="V143" s="52" t="s">
        <v>1026</v>
      </c>
      <c r="W143" s="13"/>
      <c r="X143" s="82"/>
      <c r="Y143" s="91"/>
      <c r="Z143" s="91"/>
      <c r="AA143" s="87"/>
      <c r="AB143" s="19" t="s">
        <v>1226</v>
      </c>
      <c r="AC143" s="13"/>
      <c r="AD143" s="82"/>
      <c r="AE143" s="91"/>
      <c r="AF143" s="91"/>
      <c r="AG143" s="87"/>
      <c r="AH143" s="56" t="s">
        <v>1425</v>
      </c>
      <c r="AI143" s="13"/>
      <c r="AJ143" s="82"/>
      <c r="AK143" s="91"/>
      <c r="AL143" s="91"/>
      <c r="AM143" s="105"/>
      <c r="AN143" s="23" t="s">
        <v>1623</v>
      </c>
      <c r="AO143" s="13"/>
      <c r="AP143" s="82"/>
      <c r="AQ143" s="91"/>
      <c r="AR143" s="91"/>
      <c r="AS143" s="87"/>
      <c r="AT143" s="21" t="s">
        <v>1822</v>
      </c>
      <c r="AU143" s="13"/>
      <c r="AV143" s="82"/>
      <c r="AW143" s="91"/>
      <c r="AX143" s="91"/>
      <c r="AY143" s="87"/>
      <c r="AZ143" s="22" t="s">
        <v>2019</v>
      </c>
      <c r="BA143" s="13"/>
      <c r="BB143" s="82"/>
      <c r="BC143" s="91"/>
      <c r="BD143" s="91"/>
      <c r="BE143" s="87"/>
      <c r="BF143" s="24" t="s">
        <v>2215</v>
      </c>
      <c r="BG143" s="13"/>
      <c r="BH143" s="82"/>
      <c r="BI143" s="91"/>
      <c r="BJ143" s="91"/>
      <c r="BK143" s="87"/>
      <c r="BL143" s="27" t="s">
        <v>2403</v>
      </c>
      <c r="BM143" s="13"/>
      <c r="BN143" s="82"/>
      <c r="BO143" s="91"/>
      <c r="BP143" s="91"/>
      <c r="BQ143" s="105"/>
      <c r="BR143" s="72" t="s">
        <v>2600</v>
      </c>
      <c r="BS143" s="13"/>
      <c r="BT143" s="82"/>
      <c r="BU143" s="91"/>
      <c r="BV143" s="91"/>
      <c r="BW143" s="87"/>
      <c r="BX143" s="49" t="s">
        <v>2793</v>
      </c>
      <c r="BY143" s="13"/>
      <c r="BZ143" s="82"/>
      <c r="CA143" s="91"/>
      <c r="CB143" s="91"/>
      <c r="CC143" s="264"/>
      <c r="CD143" s="52" t="s">
        <v>2967</v>
      </c>
      <c r="CE143" s="13"/>
      <c r="CF143" s="82"/>
      <c r="CG143" s="91"/>
      <c r="CH143" s="91"/>
      <c r="CI143" s="87"/>
      <c r="CJ143" s="19" t="s">
        <v>2600</v>
      </c>
      <c r="CK143" s="13"/>
      <c r="CL143" s="82"/>
      <c r="CM143" s="91"/>
      <c r="CN143" s="91"/>
      <c r="CO143" s="87"/>
      <c r="CP143" s="56" t="s">
        <v>2600</v>
      </c>
      <c r="CQ143" s="13"/>
      <c r="CR143" s="82"/>
      <c r="CS143" s="91"/>
      <c r="CT143" s="91"/>
      <c r="CU143" s="105"/>
    </row>
    <row r="144" spans="1:99" ht="42" customHeight="1" thickBot="1" x14ac:dyDescent="0.4">
      <c r="A144" s="40" t="s">
        <v>155</v>
      </c>
      <c r="B144" s="40" t="s">
        <v>325</v>
      </c>
      <c r="C144" s="40" t="s">
        <v>523</v>
      </c>
      <c r="D144" s="135" t="s">
        <v>3701</v>
      </c>
      <c r="E144" s="314" t="s">
        <v>3855</v>
      </c>
      <c r="F144" s="315" t="s">
        <v>3387</v>
      </c>
      <c r="G144" s="315" t="s">
        <v>3861</v>
      </c>
      <c r="H144" s="142" t="s">
        <v>3724</v>
      </c>
      <c r="I144" s="138" t="s">
        <v>3568</v>
      </c>
      <c r="J144" s="136" t="s">
        <v>706</v>
      </c>
      <c r="K144" s="13" t="s">
        <v>15</v>
      </c>
      <c r="L144" s="82" t="s">
        <v>9</v>
      </c>
      <c r="M144" s="146" t="s">
        <v>3576</v>
      </c>
      <c r="N144" s="91"/>
      <c r="O144" s="87"/>
      <c r="P144" s="49" t="s">
        <v>905</v>
      </c>
      <c r="Q144" s="13" t="s">
        <v>15</v>
      </c>
      <c r="R144" s="82" t="s">
        <v>9</v>
      </c>
      <c r="S144" s="91" t="s">
        <v>3576</v>
      </c>
      <c r="T144" s="91"/>
      <c r="U144" s="351" t="s">
        <v>3702</v>
      </c>
      <c r="V144" s="52" t="s">
        <v>1104</v>
      </c>
      <c r="W144" s="13" t="s">
        <v>15</v>
      </c>
      <c r="X144" s="82" t="s">
        <v>9</v>
      </c>
      <c r="Y144" s="91" t="s">
        <v>3576</v>
      </c>
      <c r="Z144" s="91"/>
      <c r="AA144" s="87"/>
      <c r="AB144" s="19" t="s">
        <v>1304</v>
      </c>
      <c r="AC144" s="13" t="s">
        <v>15</v>
      </c>
      <c r="AD144" s="82" t="s">
        <v>9</v>
      </c>
      <c r="AE144" s="91" t="s">
        <v>3576</v>
      </c>
      <c r="AF144" s="91"/>
      <c r="AG144" s="87"/>
      <c r="AH144" s="56" t="s">
        <v>1501</v>
      </c>
      <c r="AI144" s="13" t="s">
        <v>15</v>
      </c>
      <c r="AJ144" s="82" t="s">
        <v>9</v>
      </c>
      <c r="AK144" s="91" t="s">
        <v>3576</v>
      </c>
      <c r="AL144" s="91"/>
      <c r="AM144" s="105"/>
      <c r="AN144" s="23" t="s">
        <v>1699</v>
      </c>
      <c r="AO144" s="13" t="s">
        <v>0</v>
      </c>
      <c r="AP144" s="82" t="s">
        <v>12</v>
      </c>
      <c r="AQ144" s="91" t="s">
        <v>3576</v>
      </c>
      <c r="AR144" s="91"/>
      <c r="AS144" s="87"/>
      <c r="AT144" s="21" t="s">
        <v>1898</v>
      </c>
      <c r="AU144" s="13" t="s">
        <v>15</v>
      </c>
      <c r="AV144" s="82" t="s">
        <v>20</v>
      </c>
      <c r="AW144" s="91" t="s">
        <v>3576</v>
      </c>
      <c r="AX144" s="91"/>
      <c r="AY144" s="87"/>
      <c r="AZ144" s="22" t="s">
        <v>2094</v>
      </c>
      <c r="BA144" s="13" t="s">
        <v>0</v>
      </c>
      <c r="BB144" s="82" t="s">
        <v>12</v>
      </c>
      <c r="BC144" s="91" t="s">
        <v>3576</v>
      </c>
      <c r="BD144" s="91"/>
      <c r="BE144" s="87"/>
      <c r="BF144" s="24" t="s">
        <v>2094</v>
      </c>
      <c r="BG144" s="13" t="s">
        <v>0</v>
      </c>
      <c r="BH144" s="82" t="s">
        <v>12</v>
      </c>
      <c r="BI144" s="91" t="s">
        <v>3576</v>
      </c>
      <c r="BJ144" s="91"/>
      <c r="BK144" s="87"/>
      <c r="BL144" s="27" t="s">
        <v>2476</v>
      </c>
      <c r="BM144" s="13" t="s">
        <v>15</v>
      </c>
      <c r="BN144" s="82" t="s">
        <v>20</v>
      </c>
      <c r="BO144" s="91" t="s">
        <v>3576</v>
      </c>
      <c r="BP144" s="91"/>
      <c r="BQ144" s="354" t="s">
        <v>3703</v>
      </c>
      <c r="BR144" s="72" t="s">
        <v>2673</v>
      </c>
      <c r="BS144" s="13" t="s">
        <v>11</v>
      </c>
      <c r="BT144" s="82"/>
      <c r="BU144" s="91" t="s">
        <v>3576</v>
      </c>
      <c r="BV144" s="91"/>
      <c r="BW144" s="87"/>
      <c r="BX144" s="49" t="s">
        <v>2861</v>
      </c>
      <c r="BY144" s="13" t="s">
        <v>15</v>
      </c>
      <c r="BZ144" s="82" t="s">
        <v>9</v>
      </c>
      <c r="CA144" s="91" t="s">
        <v>3577</v>
      </c>
      <c r="CB144" s="91"/>
      <c r="CC144" s="87" t="s">
        <v>3704</v>
      </c>
      <c r="CD144" s="52" t="s">
        <v>3037</v>
      </c>
      <c r="CE144" s="13" t="s">
        <v>15</v>
      </c>
      <c r="CF144" s="82" t="s">
        <v>9</v>
      </c>
      <c r="CG144" s="91" t="s">
        <v>3576</v>
      </c>
      <c r="CH144" s="91"/>
      <c r="CI144" s="87"/>
      <c r="CJ144" s="19" t="s">
        <v>3191</v>
      </c>
      <c r="CK144" s="13" t="s">
        <v>15</v>
      </c>
      <c r="CL144" s="82" t="s">
        <v>9</v>
      </c>
      <c r="CM144" s="91" t="s">
        <v>3576</v>
      </c>
      <c r="CN144" s="91"/>
      <c r="CO144" s="87"/>
      <c r="CP144" s="56" t="s">
        <v>3318</v>
      </c>
      <c r="CQ144" s="13" t="s">
        <v>15</v>
      </c>
      <c r="CR144" s="82" t="s">
        <v>19</v>
      </c>
      <c r="CS144" s="91" t="s">
        <v>3577</v>
      </c>
      <c r="CT144" s="91"/>
      <c r="CU144" s="105"/>
    </row>
    <row r="145" spans="1:99" ht="42" customHeight="1" thickBot="1" x14ac:dyDescent="0.4">
      <c r="A145" s="40" t="s">
        <v>126</v>
      </c>
      <c r="B145" s="40" t="s">
        <v>289</v>
      </c>
      <c r="C145" s="40" t="s">
        <v>490</v>
      </c>
      <c r="D145" s="135" t="s">
        <v>3434</v>
      </c>
      <c r="E145" s="314" t="s">
        <v>3855</v>
      </c>
      <c r="F145" s="315" t="s">
        <v>3387</v>
      </c>
      <c r="G145" s="315" t="s">
        <v>3861</v>
      </c>
      <c r="H145" s="142" t="s">
        <v>3655</v>
      </c>
      <c r="I145" s="138" t="s">
        <v>3566</v>
      </c>
      <c r="J145" s="136" t="s">
        <v>670</v>
      </c>
      <c r="K145" s="13" t="s">
        <v>15</v>
      </c>
      <c r="L145" s="82" t="s">
        <v>9</v>
      </c>
      <c r="M145" s="146" t="s">
        <v>3576</v>
      </c>
      <c r="N145" s="91"/>
      <c r="O145" s="87" t="s">
        <v>3656</v>
      </c>
      <c r="P145" s="49" t="s">
        <v>869</v>
      </c>
      <c r="Q145" s="13" t="s">
        <v>0</v>
      </c>
      <c r="R145" s="82" t="s">
        <v>12</v>
      </c>
      <c r="S145" s="91" t="s">
        <v>3576</v>
      </c>
      <c r="T145" s="91"/>
      <c r="U145" s="87"/>
      <c r="V145" s="52" t="s">
        <v>1068</v>
      </c>
      <c r="W145" s="13" t="s">
        <v>15</v>
      </c>
      <c r="X145" s="82" t="s">
        <v>19</v>
      </c>
      <c r="Y145" s="91" t="s">
        <v>3577</v>
      </c>
      <c r="Z145" s="91"/>
      <c r="AA145" s="87" t="s">
        <v>3657</v>
      </c>
      <c r="AB145" s="19" t="s">
        <v>1269</v>
      </c>
      <c r="AC145" s="13" t="s">
        <v>15</v>
      </c>
      <c r="AD145" s="82" t="s">
        <v>9</v>
      </c>
      <c r="AE145" s="91" t="s">
        <v>3576</v>
      </c>
      <c r="AF145" s="91"/>
      <c r="AG145" s="87"/>
      <c r="AH145" s="56" t="s">
        <v>1269</v>
      </c>
      <c r="AI145" s="13" t="s">
        <v>15</v>
      </c>
      <c r="AJ145" s="82" t="s">
        <v>9</v>
      </c>
      <c r="AK145" s="91" t="s">
        <v>3576</v>
      </c>
      <c r="AL145" s="91"/>
      <c r="AM145" s="105"/>
      <c r="AN145" s="23" t="s">
        <v>1665</v>
      </c>
      <c r="AO145" s="13" t="s">
        <v>0</v>
      </c>
      <c r="AP145" s="82" t="s">
        <v>12</v>
      </c>
      <c r="AQ145" s="91" t="s">
        <v>3576</v>
      </c>
      <c r="AR145" s="91"/>
      <c r="AS145" s="87"/>
      <c r="AT145" s="21" t="s">
        <v>1862</v>
      </c>
      <c r="AU145" s="13" t="s">
        <v>0</v>
      </c>
      <c r="AV145" s="82" t="s">
        <v>12</v>
      </c>
      <c r="AW145" s="91" t="s">
        <v>3576</v>
      </c>
      <c r="AX145" s="91"/>
      <c r="AY145" s="87"/>
      <c r="AZ145" s="22" t="s">
        <v>1862</v>
      </c>
      <c r="BA145" s="13" t="s">
        <v>0</v>
      </c>
      <c r="BB145" s="82" t="s">
        <v>12</v>
      </c>
      <c r="BC145" s="91" t="s">
        <v>3576</v>
      </c>
      <c r="BD145" s="91"/>
      <c r="BE145" s="87"/>
      <c r="BF145" s="24" t="s">
        <v>2254</v>
      </c>
      <c r="BG145" s="13" t="s">
        <v>0</v>
      </c>
      <c r="BH145" s="82" t="s">
        <v>12</v>
      </c>
      <c r="BI145" s="91" t="s">
        <v>3576</v>
      </c>
      <c r="BJ145" s="91"/>
      <c r="BK145" s="87"/>
      <c r="BL145" s="27" t="s">
        <v>2254</v>
      </c>
      <c r="BM145" s="13" t="s">
        <v>0</v>
      </c>
      <c r="BN145" s="82" t="s">
        <v>12</v>
      </c>
      <c r="BO145" s="91" t="s">
        <v>3576</v>
      </c>
      <c r="BP145" s="91"/>
      <c r="BQ145" s="105"/>
      <c r="BR145" s="72" t="s">
        <v>2639</v>
      </c>
      <c r="BS145" s="13" t="s">
        <v>0</v>
      </c>
      <c r="BT145" s="82" t="s">
        <v>12</v>
      </c>
      <c r="BU145" s="91" t="s">
        <v>3576</v>
      </c>
      <c r="BV145" s="91"/>
      <c r="BW145" s="87"/>
      <c r="BX145" s="49" t="s">
        <v>2831</v>
      </c>
      <c r="BY145" s="13" t="s">
        <v>0</v>
      </c>
      <c r="BZ145" s="82" t="s">
        <v>12</v>
      </c>
      <c r="CA145" s="91" t="s">
        <v>3576</v>
      </c>
      <c r="CB145" s="91"/>
      <c r="CC145" s="264"/>
      <c r="CD145" s="52" t="s">
        <v>2831</v>
      </c>
      <c r="CE145" s="13" t="s">
        <v>0</v>
      </c>
      <c r="CF145" s="82" t="s">
        <v>12</v>
      </c>
      <c r="CG145" s="91" t="s">
        <v>3576</v>
      </c>
      <c r="CH145" s="91"/>
      <c r="CI145" s="87"/>
      <c r="CJ145" s="19" t="s">
        <v>3166</v>
      </c>
      <c r="CK145" s="13" t="s">
        <v>0</v>
      </c>
      <c r="CL145" s="82" t="s">
        <v>12</v>
      </c>
      <c r="CM145" s="91" t="s">
        <v>3576</v>
      </c>
      <c r="CN145" s="91"/>
      <c r="CO145" s="87"/>
      <c r="CP145" s="56" t="s">
        <v>3296</v>
      </c>
      <c r="CQ145" s="13" t="s">
        <v>0</v>
      </c>
      <c r="CR145" s="82" t="s">
        <v>12</v>
      </c>
      <c r="CS145" s="91" t="s">
        <v>3576</v>
      </c>
      <c r="CT145" s="91"/>
      <c r="CU145" s="105"/>
    </row>
    <row r="146" spans="1:99" ht="42" customHeight="1" thickBot="1" x14ac:dyDescent="0.4">
      <c r="A146" s="40" t="s">
        <v>111</v>
      </c>
      <c r="B146" s="40" t="s">
        <v>275</v>
      </c>
      <c r="C146" s="40" t="s">
        <v>475</v>
      </c>
      <c r="D146" s="135" t="s">
        <v>3422</v>
      </c>
      <c r="E146" s="314" t="s">
        <v>3855</v>
      </c>
      <c r="F146" s="315" t="s">
        <v>3387</v>
      </c>
      <c r="G146" s="315" t="s">
        <v>3861</v>
      </c>
      <c r="H146" s="142" t="s">
        <v>3634</v>
      </c>
      <c r="I146" s="138" t="s">
        <v>3568</v>
      </c>
      <c r="J146" s="136" t="s">
        <v>655</v>
      </c>
      <c r="K146" s="13" t="s">
        <v>15</v>
      </c>
      <c r="L146" s="82" t="s">
        <v>9</v>
      </c>
      <c r="M146" s="146" t="s">
        <v>3576</v>
      </c>
      <c r="N146" s="91"/>
      <c r="O146" s="87"/>
      <c r="P146" s="49" t="s">
        <v>854</v>
      </c>
      <c r="Q146" s="13" t="s">
        <v>15</v>
      </c>
      <c r="R146" s="82" t="s">
        <v>9</v>
      </c>
      <c r="S146" s="91" t="s">
        <v>3576</v>
      </c>
      <c r="T146" s="91"/>
      <c r="U146" s="87"/>
      <c r="V146" s="52" t="s">
        <v>1053</v>
      </c>
      <c r="W146" s="13" t="s">
        <v>15</v>
      </c>
      <c r="X146" s="82" t="s">
        <v>9</v>
      </c>
      <c r="Y146" s="91" t="s">
        <v>3576</v>
      </c>
      <c r="Z146" s="91"/>
      <c r="AA146" s="87"/>
      <c r="AB146" s="19" t="s">
        <v>1254</v>
      </c>
      <c r="AC146" s="13" t="s">
        <v>15</v>
      </c>
      <c r="AD146" s="82" t="s">
        <v>9</v>
      </c>
      <c r="AE146" s="91" t="s">
        <v>3576</v>
      </c>
      <c r="AF146" s="91"/>
      <c r="AG146" s="87"/>
      <c r="AH146" s="56" t="s">
        <v>1451</v>
      </c>
      <c r="AI146" s="13" t="s">
        <v>15</v>
      </c>
      <c r="AJ146" s="82" t="s">
        <v>9</v>
      </c>
      <c r="AK146" s="91" t="s">
        <v>3576</v>
      </c>
      <c r="AL146" s="91"/>
      <c r="AM146" s="105"/>
      <c r="AN146" s="23" t="s">
        <v>1650</v>
      </c>
      <c r="AO146" s="13" t="s">
        <v>0</v>
      </c>
      <c r="AP146" s="82" t="s">
        <v>12</v>
      </c>
      <c r="AQ146" s="91" t="s">
        <v>3577</v>
      </c>
      <c r="AR146" s="91"/>
      <c r="AS146" s="87"/>
      <c r="AT146" s="21" t="s">
        <v>1847</v>
      </c>
      <c r="AU146" s="13" t="s">
        <v>15</v>
      </c>
      <c r="AV146" s="82" t="s">
        <v>19</v>
      </c>
      <c r="AW146" s="91" t="s">
        <v>3577</v>
      </c>
      <c r="AX146" s="91"/>
      <c r="AY146" s="87"/>
      <c r="AZ146" s="22" t="s">
        <v>2045</v>
      </c>
      <c r="BA146" s="13" t="s">
        <v>15</v>
      </c>
      <c r="BB146" s="82" t="s">
        <v>19</v>
      </c>
      <c r="BC146" s="91" t="s">
        <v>3577</v>
      </c>
      <c r="BD146" s="91"/>
      <c r="BE146" s="87"/>
      <c r="BF146" s="24" t="s">
        <v>2239</v>
      </c>
      <c r="BG146" s="13" t="s">
        <v>15</v>
      </c>
      <c r="BH146" s="82" t="s">
        <v>20</v>
      </c>
      <c r="BI146" s="91" t="s">
        <v>3576</v>
      </c>
      <c r="BJ146" s="91"/>
      <c r="BK146" s="87"/>
      <c r="BL146" s="27" t="s">
        <v>2428</v>
      </c>
      <c r="BM146" s="13" t="s">
        <v>15</v>
      </c>
      <c r="BN146" s="82" t="s">
        <v>19</v>
      </c>
      <c r="BO146" s="91" t="s">
        <v>3576</v>
      </c>
      <c r="BP146" s="91"/>
      <c r="BQ146" s="105"/>
      <c r="BR146" s="72" t="s">
        <v>2624</v>
      </c>
      <c r="BS146" s="13" t="s">
        <v>15</v>
      </c>
      <c r="BT146" s="82" t="s">
        <v>19</v>
      </c>
      <c r="BU146" s="91" t="s">
        <v>3577</v>
      </c>
      <c r="BV146" s="91"/>
      <c r="BW146" s="87"/>
      <c r="BX146" s="49" t="s">
        <v>2819</v>
      </c>
      <c r="BY146" s="13" t="s">
        <v>0</v>
      </c>
      <c r="BZ146" s="82" t="s">
        <v>12</v>
      </c>
      <c r="CA146" s="91" t="s">
        <v>3577</v>
      </c>
      <c r="CB146" s="91"/>
      <c r="CC146" s="264"/>
      <c r="CD146" s="52" t="s">
        <v>2990</v>
      </c>
      <c r="CE146" s="13" t="s">
        <v>15</v>
      </c>
      <c r="CF146" s="82" t="s">
        <v>19</v>
      </c>
      <c r="CG146" s="91" t="s">
        <v>3577</v>
      </c>
      <c r="CH146" s="91"/>
      <c r="CI146" s="87"/>
      <c r="CJ146" s="19" t="s">
        <v>3153</v>
      </c>
      <c r="CK146" s="13" t="s">
        <v>15</v>
      </c>
      <c r="CL146" s="82" t="s">
        <v>13</v>
      </c>
      <c r="CM146" s="91" t="s">
        <v>3577</v>
      </c>
      <c r="CN146" s="91"/>
      <c r="CO146" s="87"/>
      <c r="CP146" s="56" t="s">
        <v>3153</v>
      </c>
      <c r="CQ146" s="13" t="s">
        <v>15</v>
      </c>
      <c r="CR146" s="82" t="s">
        <v>19</v>
      </c>
      <c r="CS146" s="91" t="s">
        <v>3577</v>
      </c>
      <c r="CT146" s="91"/>
      <c r="CU146" s="105"/>
    </row>
    <row r="147" spans="1:99" ht="42" customHeight="1" thickBot="1" x14ac:dyDescent="0.4">
      <c r="A147" s="40" t="s">
        <v>143</v>
      </c>
      <c r="B147" s="40" t="s">
        <v>310</v>
      </c>
      <c r="C147" s="40" t="s">
        <v>510</v>
      </c>
      <c r="D147" s="135" t="s">
        <v>3456</v>
      </c>
      <c r="E147" s="314" t="s">
        <v>3855</v>
      </c>
      <c r="F147" s="315" t="s">
        <v>3371</v>
      </c>
      <c r="G147" s="315" t="s">
        <v>3859</v>
      </c>
      <c r="H147" s="142" t="s">
        <v>3671</v>
      </c>
      <c r="I147" s="138" t="s">
        <v>3672</v>
      </c>
      <c r="J147" s="136" t="s">
        <v>691</v>
      </c>
      <c r="K147" s="13" t="s">
        <v>6</v>
      </c>
      <c r="L147" s="82" t="s">
        <v>8</v>
      </c>
      <c r="M147" s="146" t="s">
        <v>3576</v>
      </c>
      <c r="N147" s="91"/>
      <c r="O147" s="87"/>
      <c r="P147" s="49" t="s">
        <v>890</v>
      </c>
      <c r="Q147" s="13" t="s">
        <v>15</v>
      </c>
      <c r="R147" s="82" t="s">
        <v>9</v>
      </c>
      <c r="S147" s="91" t="s">
        <v>3576</v>
      </c>
      <c r="T147" s="91"/>
      <c r="U147" s="87"/>
      <c r="V147" s="52" t="s">
        <v>1089</v>
      </c>
      <c r="W147" s="13" t="s">
        <v>6</v>
      </c>
      <c r="X147" s="82" t="s">
        <v>8</v>
      </c>
      <c r="Y147" s="91" t="s">
        <v>3576</v>
      </c>
      <c r="Z147" s="91"/>
      <c r="AA147" s="87"/>
      <c r="AB147" s="19" t="s">
        <v>1289</v>
      </c>
      <c r="AC147" s="13" t="s">
        <v>6</v>
      </c>
      <c r="AD147" s="82" t="s">
        <v>8</v>
      </c>
      <c r="AE147" s="91" t="s">
        <v>3576</v>
      </c>
      <c r="AF147" s="91"/>
      <c r="AG147" s="87"/>
      <c r="AH147" s="56" t="s">
        <v>1486</v>
      </c>
      <c r="AI147" s="13" t="s">
        <v>6</v>
      </c>
      <c r="AJ147" s="82" t="s">
        <v>8</v>
      </c>
      <c r="AK147" s="91" t="s">
        <v>3576</v>
      </c>
      <c r="AL147" s="91"/>
      <c r="AM147" s="105"/>
      <c r="AN147" s="23" t="s">
        <v>1685</v>
      </c>
      <c r="AO147" s="13" t="s">
        <v>15</v>
      </c>
      <c r="AP147" s="82" t="s">
        <v>4</v>
      </c>
      <c r="AQ147" s="91" t="s">
        <v>3576</v>
      </c>
      <c r="AR147" s="91"/>
      <c r="AS147" s="87"/>
      <c r="AT147" s="21" t="s">
        <v>1883</v>
      </c>
      <c r="AU147" s="13" t="s">
        <v>15</v>
      </c>
      <c r="AV147" s="82" t="s">
        <v>4</v>
      </c>
      <c r="AW147" s="91" t="s">
        <v>3576</v>
      </c>
      <c r="AX147" s="91"/>
      <c r="AY147" s="87"/>
      <c r="AZ147" s="22" t="s">
        <v>2079</v>
      </c>
      <c r="BA147" s="13" t="s">
        <v>15</v>
      </c>
      <c r="BB147" s="82" t="s">
        <v>4</v>
      </c>
      <c r="BC147" s="91" t="s">
        <v>3576</v>
      </c>
      <c r="BD147" s="91"/>
      <c r="BE147" s="87"/>
      <c r="BF147" s="26" t="s">
        <v>2275</v>
      </c>
      <c r="BG147" s="13" t="s">
        <v>15</v>
      </c>
      <c r="BH147" s="82" t="s">
        <v>4</v>
      </c>
      <c r="BI147" s="91" t="s">
        <v>3576</v>
      </c>
      <c r="BJ147" s="91"/>
      <c r="BK147" s="87"/>
      <c r="BL147" s="27" t="s">
        <v>2462</v>
      </c>
      <c r="BM147" s="13" t="s">
        <v>15</v>
      </c>
      <c r="BN147" s="82" t="s">
        <v>4</v>
      </c>
      <c r="BO147" s="91" t="s">
        <v>3576</v>
      </c>
      <c r="BP147" s="91"/>
      <c r="BQ147" s="105"/>
      <c r="BR147" s="72" t="s">
        <v>2659</v>
      </c>
      <c r="BS147" s="13" t="s">
        <v>15</v>
      </c>
      <c r="BT147" s="82" t="s">
        <v>4</v>
      </c>
      <c r="BU147" s="91" t="s">
        <v>3576</v>
      </c>
      <c r="BV147" s="91"/>
      <c r="BW147" s="87"/>
      <c r="BX147" s="49" t="s">
        <v>2659</v>
      </c>
      <c r="BY147" s="13" t="s">
        <v>15</v>
      </c>
      <c r="BZ147" s="82" t="s">
        <v>4</v>
      </c>
      <c r="CA147" s="91" t="s">
        <v>3576</v>
      </c>
      <c r="CB147" s="91"/>
      <c r="CC147" s="87"/>
      <c r="CD147" s="52" t="s">
        <v>3023</v>
      </c>
      <c r="CE147" s="13" t="s">
        <v>15</v>
      </c>
      <c r="CF147" s="82" t="s">
        <v>4</v>
      </c>
      <c r="CG147" s="91" t="s">
        <v>3576</v>
      </c>
      <c r="CH147" s="91"/>
      <c r="CI147" s="87"/>
      <c r="CJ147" s="19" t="s">
        <v>2659</v>
      </c>
      <c r="CK147" s="13" t="s">
        <v>15</v>
      </c>
      <c r="CL147" s="82" t="s">
        <v>4</v>
      </c>
      <c r="CM147" s="91" t="s">
        <v>3576</v>
      </c>
      <c r="CN147" s="91"/>
      <c r="CO147" s="87"/>
      <c r="CP147" s="56" t="s">
        <v>3309</v>
      </c>
      <c r="CQ147" s="13" t="s">
        <v>15</v>
      </c>
      <c r="CR147" s="82" t="s">
        <v>4</v>
      </c>
      <c r="CS147" s="91" t="s">
        <v>3576</v>
      </c>
      <c r="CT147" s="91"/>
      <c r="CU147" s="105"/>
    </row>
    <row r="148" spans="1:99" ht="42" customHeight="1" thickBot="1" x14ac:dyDescent="0.4">
      <c r="A148" s="40" t="s">
        <v>131</v>
      </c>
      <c r="B148" s="40" t="s">
        <v>294</v>
      </c>
      <c r="C148" s="40" t="s">
        <v>495</v>
      </c>
      <c r="D148" s="135" t="s">
        <v>3441</v>
      </c>
      <c r="E148" s="320" t="s">
        <v>3866</v>
      </c>
      <c r="F148" s="321" t="s">
        <v>3440</v>
      </c>
      <c r="G148" s="322" t="s">
        <v>3868</v>
      </c>
      <c r="H148" s="142"/>
      <c r="I148" s="138"/>
      <c r="J148" s="136" t="s">
        <v>675</v>
      </c>
      <c r="K148" s="13" t="s">
        <v>15</v>
      </c>
      <c r="L148" s="82" t="s">
        <v>4</v>
      </c>
      <c r="M148" s="146" t="s">
        <v>3576</v>
      </c>
      <c r="N148" s="91"/>
      <c r="O148" s="87"/>
      <c r="P148" s="49" t="s">
        <v>874</v>
      </c>
      <c r="Q148" s="13" t="s">
        <v>15</v>
      </c>
      <c r="R148" s="82" t="s">
        <v>4</v>
      </c>
      <c r="S148" s="91" t="s">
        <v>3576</v>
      </c>
      <c r="T148" s="91"/>
      <c r="U148" s="87"/>
      <c r="V148" s="52" t="s">
        <v>1073</v>
      </c>
      <c r="W148" s="13" t="s">
        <v>15</v>
      </c>
      <c r="X148" s="82" t="s">
        <v>4</v>
      </c>
      <c r="Y148" s="91" t="s">
        <v>3576</v>
      </c>
      <c r="Z148" s="91"/>
      <c r="AA148" s="87"/>
      <c r="AB148" s="19" t="s">
        <v>1274</v>
      </c>
      <c r="AC148" s="13" t="s">
        <v>15</v>
      </c>
      <c r="AD148" s="82" t="s">
        <v>4</v>
      </c>
      <c r="AE148" s="91" t="s">
        <v>3576</v>
      </c>
      <c r="AF148" s="91"/>
      <c r="AG148" s="87"/>
      <c r="AH148" s="56" t="s">
        <v>1470</v>
      </c>
      <c r="AI148" s="13" t="s">
        <v>15</v>
      </c>
      <c r="AJ148" s="82" t="s">
        <v>4</v>
      </c>
      <c r="AK148" s="91" t="s">
        <v>3576</v>
      </c>
      <c r="AL148" s="91"/>
      <c r="AM148" s="105"/>
      <c r="AN148" s="23" t="s">
        <v>1670</v>
      </c>
      <c r="AO148" s="13" t="s">
        <v>15</v>
      </c>
      <c r="AP148" s="82" t="s">
        <v>4</v>
      </c>
      <c r="AQ148" s="91" t="s">
        <v>3576</v>
      </c>
      <c r="AR148" s="91"/>
      <c r="AS148" s="87"/>
      <c r="AT148" s="21" t="s">
        <v>1867</v>
      </c>
      <c r="AU148" s="13" t="s">
        <v>15</v>
      </c>
      <c r="AV148" s="82" t="s">
        <v>4</v>
      </c>
      <c r="AW148" s="91" t="s">
        <v>3576</v>
      </c>
      <c r="AX148" s="91"/>
      <c r="AY148" s="87"/>
      <c r="AZ148" s="22" t="s">
        <v>2064</v>
      </c>
      <c r="BA148" s="13" t="s">
        <v>15</v>
      </c>
      <c r="BB148" s="82" t="s">
        <v>4</v>
      </c>
      <c r="BC148" s="91" t="s">
        <v>3576</v>
      </c>
      <c r="BD148" s="91"/>
      <c r="BE148" s="87"/>
      <c r="BF148" s="24" t="s">
        <v>2259</v>
      </c>
      <c r="BG148" s="13" t="s">
        <v>15</v>
      </c>
      <c r="BH148" s="82" t="s">
        <v>4</v>
      </c>
      <c r="BI148" s="91" t="s">
        <v>3576</v>
      </c>
      <c r="BJ148" s="91"/>
      <c r="BK148" s="87"/>
      <c r="BL148" s="27" t="s">
        <v>2446</v>
      </c>
      <c r="BM148" s="13" t="s">
        <v>15</v>
      </c>
      <c r="BN148" s="82" t="s">
        <v>4</v>
      </c>
      <c r="BO148" s="91" t="s">
        <v>3576</v>
      </c>
      <c r="BP148" s="91"/>
      <c r="BQ148" s="105"/>
      <c r="BR148" s="72" t="s">
        <v>2644</v>
      </c>
      <c r="BS148" s="13" t="s">
        <v>15</v>
      </c>
      <c r="BT148" s="82" t="s">
        <v>4</v>
      </c>
      <c r="BU148" s="91" t="s">
        <v>3576</v>
      </c>
      <c r="BV148" s="91"/>
      <c r="BW148" s="87"/>
      <c r="BX148" s="49" t="s">
        <v>2836</v>
      </c>
      <c r="BY148" s="13" t="s">
        <v>15</v>
      </c>
      <c r="BZ148" s="82" t="s">
        <v>4</v>
      </c>
      <c r="CA148" s="91" t="s">
        <v>3576</v>
      </c>
      <c r="CB148" s="91"/>
      <c r="CC148" s="264"/>
      <c r="CD148" s="52" t="s">
        <v>3009</v>
      </c>
      <c r="CE148" s="13" t="s">
        <v>15</v>
      </c>
      <c r="CF148" s="82" t="s">
        <v>4</v>
      </c>
      <c r="CG148" s="91" t="s">
        <v>3576</v>
      </c>
      <c r="CH148" s="91"/>
      <c r="CI148" s="87"/>
      <c r="CJ148" s="19" t="s">
        <v>3170</v>
      </c>
      <c r="CK148" s="13" t="s">
        <v>15</v>
      </c>
      <c r="CL148" s="82" t="s">
        <v>4</v>
      </c>
      <c r="CM148" s="91" t="s">
        <v>3576</v>
      </c>
      <c r="CN148" s="91"/>
      <c r="CO148" s="87"/>
      <c r="CP148" s="56" t="s">
        <v>3299</v>
      </c>
      <c r="CQ148" s="13" t="s">
        <v>15</v>
      </c>
      <c r="CR148" s="82" t="s">
        <v>4</v>
      </c>
      <c r="CS148" s="91" t="s">
        <v>3576</v>
      </c>
      <c r="CT148" s="91"/>
      <c r="CU148" s="105"/>
    </row>
    <row r="149" spans="1:99" ht="42" customHeight="1" thickBot="1" x14ac:dyDescent="0.4">
      <c r="A149" s="40" t="s">
        <v>142</v>
      </c>
      <c r="B149" s="40" t="s">
        <v>308</v>
      </c>
      <c r="C149" s="40" t="s">
        <v>508</v>
      </c>
      <c r="D149" s="135" t="s">
        <v>3454</v>
      </c>
      <c r="E149" s="314" t="s">
        <v>3855</v>
      </c>
      <c r="F149" s="315" t="s">
        <v>3390</v>
      </c>
      <c r="G149" s="315" t="s">
        <v>3862</v>
      </c>
      <c r="H149" s="142"/>
      <c r="I149" s="138"/>
      <c r="J149" s="136" t="s">
        <v>689</v>
      </c>
      <c r="K149" s="13" t="s">
        <v>15</v>
      </c>
      <c r="L149" s="82" t="s">
        <v>4</v>
      </c>
      <c r="M149" s="146" t="s">
        <v>3576</v>
      </c>
      <c r="N149" s="91"/>
      <c r="O149" s="87"/>
      <c r="P149" s="49" t="s">
        <v>888</v>
      </c>
      <c r="Q149" s="13" t="s">
        <v>15</v>
      </c>
      <c r="R149" s="82" t="s">
        <v>4</v>
      </c>
      <c r="S149" s="91" t="s">
        <v>3576</v>
      </c>
      <c r="T149" s="91"/>
      <c r="U149" s="87"/>
      <c r="V149" s="52" t="s">
        <v>1087</v>
      </c>
      <c r="W149" s="13" t="s">
        <v>15</v>
      </c>
      <c r="X149" s="82" t="s">
        <v>4</v>
      </c>
      <c r="Y149" s="91" t="s">
        <v>3576</v>
      </c>
      <c r="Z149" s="91"/>
      <c r="AA149" s="87"/>
      <c r="AB149" s="19" t="s">
        <v>1287</v>
      </c>
      <c r="AC149" s="13" t="s">
        <v>15</v>
      </c>
      <c r="AD149" s="82" t="s">
        <v>4</v>
      </c>
      <c r="AE149" s="91" t="s">
        <v>3576</v>
      </c>
      <c r="AF149" s="91"/>
      <c r="AG149" s="87"/>
      <c r="AH149" s="56" t="s">
        <v>1484</v>
      </c>
      <c r="AI149" s="13" t="s">
        <v>15</v>
      </c>
      <c r="AJ149" s="82" t="s">
        <v>4</v>
      </c>
      <c r="AK149" s="91" t="s">
        <v>3576</v>
      </c>
      <c r="AL149" s="91"/>
      <c r="AM149" s="105"/>
      <c r="AN149" s="23" t="s">
        <v>1683</v>
      </c>
      <c r="AO149" s="13" t="s">
        <v>15</v>
      </c>
      <c r="AP149" s="82" t="s">
        <v>4</v>
      </c>
      <c r="AQ149" s="91" t="s">
        <v>3576</v>
      </c>
      <c r="AR149" s="91"/>
      <c r="AS149" s="87"/>
      <c r="AT149" s="21" t="s">
        <v>1881</v>
      </c>
      <c r="AU149" s="13" t="s">
        <v>15</v>
      </c>
      <c r="AV149" s="82" t="s">
        <v>13</v>
      </c>
      <c r="AW149" s="91" t="s">
        <v>3576</v>
      </c>
      <c r="AX149" s="91"/>
      <c r="AY149" s="87"/>
      <c r="AZ149" s="22" t="s">
        <v>2077</v>
      </c>
      <c r="BA149" s="13" t="s">
        <v>0</v>
      </c>
      <c r="BB149" s="82" t="s">
        <v>12</v>
      </c>
      <c r="BC149" s="91" t="s">
        <v>3577</v>
      </c>
      <c r="BD149" s="91"/>
      <c r="BE149" s="87"/>
      <c r="BF149" s="24" t="s">
        <v>2273</v>
      </c>
      <c r="BG149" s="13" t="s">
        <v>15</v>
      </c>
      <c r="BH149" s="82" t="s">
        <v>13</v>
      </c>
      <c r="BI149" s="91" t="s">
        <v>3576</v>
      </c>
      <c r="BJ149" s="91"/>
      <c r="BK149" s="87"/>
      <c r="BL149" s="27" t="s">
        <v>2460</v>
      </c>
      <c r="BM149" s="13" t="s">
        <v>0</v>
      </c>
      <c r="BN149" s="82" t="s">
        <v>12</v>
      </c>
      <c r="BO149" s="91" t="s">
        <v>3577</v>
      </c>
      <c r="BP149" s="91"/>
      <c r="BQ149" s="105"/>
      <c r="BR149" s="72" t="s">
        <v>3721</v>
      </c>
      <c r="BS149" s="13" t="s">
        <v>15</v>
      </c>
      <c r="BT149" s="82" t="s">
        <v>9</v>
      </c>
      <c r="BU149" s="91" t="s">
        <v>3576</v>
      </c>
      <c r="BV149" s="91"/>
      <c r="BW149" s="87"/>
      <c r="BX149" s="49" t="s">
        <v>2847</v>
      </c>
      <c r="BY149" s="13" t="s">
        <v>15</v>
      </c>
      <c r="BZ149" s="82" t="s">
        <v>4</v>
      </c>
      <c r="CA149" s="91" t="s">
        <v>3576</v>
      </c>
      <c r="CB149" s="91"/>
      <c r="CC149" s="87"/>
      <c r="CD149" s="52" t="s">
        <v>2847</v>
      </c>
      <c r="CE149" s="13" t="s">
        <v>15</v>
      </c>
      <c r="CF149" s="82" t="s">
        <v>4</v>
      </c>
      <c r="CG149" s="91" t="s">
        <v>3576</v>
      </c>
      <c r="CH149" s="91"/>
      <c r="CI149" s="87"/>
      <c r="CJ149" s="19" t="s">
        <v>3181</v>
      </c>
      <c r="CK149" s="13" t="s">
        <v>15</v>
      </c>
      <c r="CL149" s="82" t="s">
        <v>4</v>
      </c>
      <c r="CM149" s="91" t="s">
        <v>3576</v>
      </c>
      <c r="CN149" s="91"/>
      <c r="CO149" s="87"/>
      <c r="CP149" s="56" t="s">
        <v>3307</v>
      </c>
      <c r="CQ149" s="13" t="s">
        <v>15</v>
      </c>
      <c r="CR149" s="82" t="s">
        <v>4</v>
      </c>
      <c r="CS149" s="91" t="s">
        <v>3576</v>
      </c>
      <c r="CT149" s="91"/>
      <c r="CU149" s="105"/>
    </row>
    <row r="150" spans="1:99" ht="42" customHeight="1" thickBot="1" x14ac:dyDescent="0.4">
      <c r="A150" s="40" t="s">
        <v>88</v>
      </c>
      <c r="B150" s="40" t="s">
        <v>249</v>
      </c>
      <c r="C150" s="40" t="s">
        <v>449</v>
      </c>
      <c r="D150" s="135" t="s">
        <v>3397</v>
      </c>
      <c r="E150" s="314" t="s">
        <v>3855</v>
      </c>
      <c r="F150" s="315" t="s">
        <v>3387</v>
      </c>
      <c r="G150" s="315" t="s">
        <v>3861</v>
      </c>
      <c r="H150" s="142" t="s">
        <v>3601</v>
      </c>
      <c r="I150" s="138" t="s">
        <v>3602</v>
      </c>
      <c r="J150" s="136" t="s">
        <v>628</v>
      </c>
      <c r="K150" s="13" t="s">
        <v>15</v>
      </c>
      <c r="L150" s="82" t="s">
        <v>9</v>
      </c>
      <c r="M150" s="146" t="s">
        <v>3576</v>
      </c>
      <c r="N150" s="91"/>
      <c r="O150" s="87"/>
      <c r="P150" s="49" t="s">
        <v>829</v>
      </c>
      <c r="Q150" s="13" t="s">
        <v>15</v>
      </c>
      <c r="R150" s="82" t="s">
        <v>9</v>
      </c>
      <c r="S150" s="91" t="s">
        <v>3576</v>
      </c>
      <c r="T150" s="91"/>
      <c r="U150" s="87"/>
      <c r="V150" s="52" t="s">
        <v>1027</v>
      </c>
      <c r="W150" s="13" t="s">
        <v>15</v>
      </c>
      <c r="X150" s="82" t="s">
        <v>19</v>
      </c>
      <c r="Y150" s="91" t="s">
        <v>3577</v>
      </c>
      <c r="Z150" s="91"/>
      <c r="AA150" s="87"/>
      <c r="AB150" s="19" t="s">
        <v>1227</v>
      </c>
      <c r="AC150" s="13" t="s">
        <v>15</v>
      </c>
      <c r="AD150" s="82" t="s">
        <v>19</v>
      </c>
      <c r="AE150" s="91" t="s">
        <v>3577</v>
      </c>
      <c r="AF150" s="91"/>
      <c r="AG150" s="87"/>
      <c r="AH150" s="56" t="s">
        <v>1426</v>
      </c>
      <c r="AI150" s="13" t="s">
        <v>15</v>
      </c>
      <c r="AJ150" s="82" t="s">
        <v>19</v>
      </c>
      <c r="AK150" s="91" t="s">
        <v>3577</v>
      </c>
      <c r="AL150" s="91"/>
      <c r="AM150" s="105"/>
      <c r="AN150" s="23" t="s">
        <v>1624</v>
      </c>
      <c r="AO150" s="13" t="s">
        <v>0</v>
      </c>
      <c r="AP150" s="82" t="s">
        <v>12</v>
      </c>
      <c r="AQ150" s="91" t="s">
        <v>3576</v>
      </c>
      <c r="AR150" s="91"/>
      <c r="AS150" s="87"/>
      <c r="AT150" s="21" t="s">
        <v>3569</v>
      </c>
      <c r="AU150" s="13" t="s">
        <v>15</v>
      </c>
      <c r="AV150" s="82" t="s">
        <v>9</v>
      </c>
      <c r="AW150" s="91" t="s">
        <v>3576</v>
      </c>
      <c r="AX150" s="91"/>
      <c r="AY150" s="87"/>
      <c r="AZ150" s="22" t="s">
        <v>2020</v>
      </c>
      <c r="BA150" s="13" t="s">
        <v>0</v>
      </c>
      <c r="BB150" s="82" t="s">
        <v>12</v>
      </c>
      <c r="BC150" s="91" t="s">
        <v>3576</v>
      </c>
      <c r="BD150" s="91"/>
      <c r="BE150" s="87"/>
      <c r="BF150" s="24" t="s">
        <v>2216</v>
      </c>
      <c r="BG150" s="13" t="s">
        <v>0</v>
      </c>
      <c r="BH150" s="82" t="s">
        <v>12</v>
      </c>
      <c r="BI150" s="91" t="s">
        <v>3576</v>
      </c>
      <c r="BJ150" s="91"/>
      <c r="BK150" s="87"/>
      <c r="BL150" s="27" t="s">
        <v>2404</v>
      </c>
      <c r="BM150" s="13" t="s">
        <v>0</v>
      </c>
      <c r="BN150" s="82" t="s">
        <v>12</v>
      </c>
      <c r="BO150" s="91" t="s">
        <v>3576</v>
      </c>
      <c r="BP150" s="91"/>
      <c r="BQ150" s="105"/>
      <c r="BR150" s="72" t="s">
        <v>2601</v>
      </c>
      <c r="BS150" s="13" t="s">
        <v>0</v>
      </c>
      <c r="BT150" s="82" t="s">
        <v>12</v>
      </c>
      <c r="BU150" s="91" t="s">
        <v>3576</v>
      </c>
      <c r="BV150" s="91"/>
      <c r="BW150" s="87"/>
      <c r="BX150" s="49" t="s">
        <v>2794</v>
      </c>
      <c r="BY150" s="13" t="s">
        <v>15</v>
      </c>
      <c r="BZ150" s="82" t="s">
        <v>9</v>
      </c>
      <c r="CA150" s="91" t="s">
        <v>3576</v>
      </c>
      <c r="CB150" s="91"/>
      <c r="CC150" s="264"/>
      <c r="CD150" s="52" t="s">
        <v>2968</v>
      </c>
      <c r="CE150" s="13" t="s">
        <v>15</v>
      </c>
      <c r="CF150" s="82" t="s">
        <v>9</v>
      </c>
      <c r="CG150" s="91" t="s">
        <v>3576</v>
      </c>
      <c r="CH150" s="91"/>
      <c r="CI150" s="87"/>
      <c r="CJ150" s="19" t="s">
        <v>3138</v>
      </c>
      <c r="CK150" s="13" t="s">
        <v>0</v>
      </c>
      <c r="CL150" s="82" t="s">
        <v>12</v>
      </c>
      <c r="CM150" s="91" t="s">
        <v>3576</v>
      </c>
      <c r="CN150" s="91"/>
      <c r="CO150" s="87"/>
      <c r="CP150" s="56" t="s">
        <v>3276</v>
      </c>
      <c r="CQ150" s="13" t="s">
        <v>0</v>
      </c>
      <c r="CR150" s="82" t="s">
        <v>12</v>
      </c>
      <c r="CS150" s="91" t="s">
        <v>3576</v>
      </c>
      <c r="CT150" s="91"/>
      <c r="CU150" s="105"/>
    </row>
    <row r="151" spans="1:99" ht="42" customHeight="1" thickBot="1" x14ac:dyDescent="0.4">
      <c r="A151" s="40" t="s">
        <v>106</v>
      </c>
      <c r="B151" s="40" t="s">
        <v>268</v>
      </c>
      <c r="C151" s="40" t="s">
        <v>467</v>
      </c>
      <c r="D151" s="135" t="s">
        <v>3415</v>
      </c>
      <c r="E151" s="314" t="s">
        <v>3855</v>
      </c>
      <c r="F151" s="315" t="s">
        <v>3387</v>
      </c>
      <c r="G151" s="315" t="s">
        <v>3861</v>
      </c>
      <c r="H151" s="142" t="s">
        <v>3625</v>
      </c>
      <c r="I151" s="138" t="s">
        <v>3626</v>
      </c>
      <c r="J151" s="136" t="s">
        <v>647</v>
      </c>
      <c r="K151" s="13" t="s">
        <v>15</v>
      </c>
      <c r="L151" s="82" t="s">
        <v>9</v>
      </c>
      <c r="M151" s="146" t="s">
        <v>3576</v>
      </c>
      <c r="N151" s="91"/>
      <c r="O151" s="87"/>
      <c r="P151" s="49" t="s">
        <v>848</v>
      </c>
      <c r="Q151" s="13" t="s">
        <v>15</v>
      </c>
      <c r="R151" s="82" t="s">
        <v>9</v>
      </c>
      <c r="S151" s="91" t="s">
        <v>3576</v>
      </c>
      <c r="T151" s="91"/>
      <c r="U151" s="87"/>
      <c r="V151" s="52" t="s">
        <v>1046</v>
      </c>
      <c r="W151" s="13" t="s">
        <v>15</v>
      </c>
      <c r="X151" s="82" t="s">
        <v>19</v>
      </c>
      <c r="Y151" s="91" t="s">
        <v>3577</v>
      </c>
      <c r="Z151" s="91"/>
      <c r="AA151" s="87"/>
      <c r="AB151" s="19" t="s">
        <v>1246</v>
      </c>
      <c r="AC151" s="13" t="s">
        <v>15</v>
      </c>
      <c r="AD151" s="82" t="s">
        <v>9</v>
      </c>
      <c r="AE151" s="91" t="s">
        <v>3576</v>
      </c>
      <c r="AF151" s="91"/>
      <c r="AG151" s="87"/>
      <c r="AH151" s="56" t="s">
        <v>1445</v>
      </c>
      <c r="AI151" s="13" t="s">
        <v>15</v>
      </c>
      <c r="AJ151" s="82" t="s">
        <v>9</v>
      </c>
      <c r="AK151" s="91" t="s">
        <v>3576</v>
      </c>
      <c r="AL151" s="91"/>
      <c r="AM151" s="105"/>
      <c r="AN151" s="23" t="s">
        <v>1642</v>
      </c>
      <c r="AO151" s="13" t="s">
        <v>0</v>
      </c>
      <c r="AP151" s="82" t="s">
        <v>12</v>
      </c>
      <c r="AQ151" s="91" t="s">
        <v>3576</v>
      </c>
      <c r="AR151" s="91"/>
      <c r="AS151" s="87"/>
      <c r="AT151" s="21" t="s">
        <v>1841</v>
      </c>
      <c r="AU151" s="13" t="s">
        <v>0</v>
      </c>
      <c r="AV151" s="82" t="s">
        <v>12</v>
      </c>
      <c r="AW151" s="91" t="s">
        <v>3576</v>
      </c>
      <c r="AX151" s="91"/>
      <c r="AY151" s="87"/>
      <c r="AZ151" s="22" t="s">
        <v>2038</v>
      </c>
      <c r="BA151" s="13" t="s">
        <v>0</v>
      </c>
      <c r="BB151" s="82" t="s">
        <v>12</v>
      </c>
      <c r="BC151" s="91" t="s">
        <v>3576</v>
      </c>
      <c r="BD151" s="91"/>
      <c r="BE151" s="87"/>
      <c r="BF151" s="24" t="s">
        <v>1642</v>
      </c>
      <c r="BG151" s="13" t="s">
        <v>0</v>
      </c>
      <c r="BH151" s="82" t="s">
        <v>12</v>
      </c>
      <c r="BI151" s="91" t="s">
        <v>3576</v>
      </c>
      <c r="BJ151" s="91"/>
      <c r="BK151" s="87"/>
      <c r="BL151" s="27" t="s">
        <v>2422</v>
      </c>
      <c r="BM151" s="13" t="s">
        <v>0</v>
      </c>
      <c r="BN151" s="82" t="s">
        <v>12</v>
      </c>
      <c r="BO151" s="91" t="s">
        <v>3576</v>
      </c>
      <c r="BP151" s="91"/>
      <c r="BQ151" s="105"/>
      <c r="BR151" s="72" t="s">
        <v>2618</v>
      </c>
      <c r="BS151" s="13" t="s">
        <v>15</v>
      </c>
      <c r="BT151" s="82" t="s">
        <v>19</v>
      </c>
      <c r="BU151" s="91" t="s">
        <v>3577</v>
      </c>
      <c r="BV151" s="91"/>
      <c r="BW151" s="87"/>
      <c r="BX151" s="49" t="s">
        <v>2811</v>
      </c>
      <c r="BY151" s="13" t="s">
        <v>15</v>
      </c>
      <c r="BZ151" s="82" t="s">
        <v>19</v>
      </c>
      <c r="CA151" s="91" t="s">
        <v>3577</v>
      </c>
      <c r="CB151" s="91"/>
      <c r="CC151" s="264"/>
      <c r="CD151" s="52" t="s">
        <v>2985</v>
      </c>
      <c r="CE151" s="13" t="s">
        <v>15</v>
      </c>
      <c r="CF151" s="82" t="s">
        <v>19</v>
      </c>
      <c r="CG151" s="91" t="s">
        <v>3577</v>
      </c>
      <c r="CH151" s="91"/>
      <c r="CI151" s="87"/>
      <c r="CJ151" s="19" t="s">
        <v>2618</v>
      </c>
      <c r="CK151" s="13" t="s">
        <v>15</v>
      </c>
      <c r="CL151" s="82" t="s">
        <v>19</v>
      </c>
      <c r="CM151" s="91" t="s">
        <v>3577</v>
      </c>
      <c r="CN151" s="91"/>
      <c r="CO151" s="87"/>
      <c r="CP151" s="56" t="s">
        <v>2618</v>
      </c>
      <c r="CQ151" s="13" t="s">
        <v>15</v>
      </c>
      <c r="CR151" s="82" t="s">
        <v>19</v>
      </c>
      <c r="CS151" s="91" t="s">
        <v>3577</v>
      </c>
      <c r="CT151" s="91"/>
      <c r="CU151" s="105"/>
    </row>
    <row r="152" spans="1:99" ht="42" customHeight="1" thickBot="1" x14ac:dyDescent="0.4">
      <c r="A152" s="40" t="s">
        <v>163</v>
      </c>
      <c r="B152" s="40" t="s">
        <v>338</v>
      </c>
      <c r="C152" s="40" t="s">
        <v>535</v>
      </c>
      <c r="D152" s="135" t="s">
        <v>3482</v>
      </c>
      <c r="E152" s="314" t="s">
        <v>3855</v>
      </c>
      <c r="F152" s="315" t="s">
        <v>3445</v>
      </c>
      <c r="G152" s="315" t="s">
        <v>3860</v>
      </c>
      <c r="H152" s="142" t="s">
        <v>3731</v>
      </c>
      <c r="I152" s="138" t="s">
        <v>3559</v>
      </c>
      <c r="J152" s="136" t="s">
        <v>719</v>
      </c>
      <c r="K152" s="13" t="s">
        <v>0</v>
      </c>
      <c r="L152" s="82" t="s">
        <v>12</v>
      </c>
      <c r="M152" s="146" t="s">
        <v>3576</v>
      </c>
      <c r="N152" s="91"/>
      <c r="O152" s="87" t="s">
        <v>3838</v>
      </c>
      <c r="P152" s="49" t="s">
        <v>918</v>
      </c>
      <c r="Q152" s="13" t="s">
        <v>0</v>
      </c>
      <c r="R152" s="82" t="s">
        <v>12</v>
      </c>
      <c r="S152" s="91" t="s">
        <v>3576</v>
      </c>
      <c r="T152" s="91"/>
      <c r="U152" s="87"/>
      <c r="V152" s="52" t="s">
        <v>1117</v>
      </c>
      <c r="W152" s="13" t="s">
        <v>0</v>
      </c>
      <c r="X152" s="82" t="s">
        <v>12</v>
      </c>
      <c r="Y152" s="91" t="s">
        <v>3576</v>
      </c>
      <c r="Z152" s="91"/>
      <c r="AA152" s="87"/>
      <c r="AB152" s="19" t="s">
        <v>1316</v>
      </c>
      <c r="AC152" s="13" t="s">
        <v>0</v>
      </c>
      <c r="AD152" s="82" t="s">
        <v>12</v>
      </c>
      <c r="AE152" s="91" t="s">
        <v>3576</v>
      </c>
      <c r="AF152" s="91"/>
      <c r="AG152" s="87"/>
      <c r="AH152" s="56" t="s">
        <v>1513</v>
      </c>
      <c r="AI152" s="13" t="s">
        <v>0</v>
      </c>
      <c r="AJ152" s="82" t="s">
        <v>12</v>
      </c>
      <c r="AK152" s="91" t="s">
        <v>3576</v>
      </c>
      <c r="AL152" s="91"/>
      <c r="AM152" s="105"/>
      <c r="AN152" s="23" t="s">
        <v>1712</v>
      </c>
      <c r="AO152" s="13" t="s">
        <v>0</v>
      </c>
      <c r="AP152" s="82" t="s">
        <v>12</v>
      </c>
      <c r="AQ152" s="91" t="s">
        <v>3576</v>
      </c>
      <c r="AR152" s="91"/>
      <c r="AS152" s="87"/>
      <c r="AT152" s="21" t="s">
        <v>1911</v>
      </c>
      <c r="AU152" s="13" t="s">
        <v>0</v>
      </c>
      <c r="AV152" s="82" t="s">
        <v>12</v>
      </c>
      <c r="AW152" s="91" t="s">
        <v>3576</v>
      </c>
      <c r="AX152" s="91"/>
      <c r="AY152" s="87"/>
      <c r="AZ152" s="22" t="s">
        <v>2106</v>
      </c>
      <c r="BA152" s="13" t="s">
        <v>0</v>
      </c>
      <c r="BB152" s="82" t="s">
        <v>12</v>
      </c>
      <c r="BC152" s="91" t="s">
        <v>3576</v>
      </c>
      <c r="BD152" s="91"/>
      <c r="BE152" s="87"/>
      <c r="BF152" s="24" t="s">
        <v>2298</v>
      </c>
      <c r="BG152" s="13" t="s">
        <v>0</v>
      </c>
      <c r="BH152" s="82" t="s">
        <v>12</v>
      </c>
      <c r="BI152" s="91" t="s">
        <v>3576</v>
      </c>
      <c r="BJ152" s="91"/>
      <c r="BK152" s="87"/>
      <c r="BL152" s="27" t="s">
        <v>2488</v>
      </c>
      <c r="BM152" s="13" t="s">
        <v>0</v>
      </c>
      <c r="BN152" s="82" t="s">
        <v>12</v>
      </c>
      <c r="BO152" s="91" t="s">
        <v>3576</v>
      </c>
      <c r="BP152" s="91"/>
      <c r="BQ152" s="105"/>
      <c r="BR152" s="72" t="s">
        <v>2686</v>
      </c>
      <c r="BS152" s="13" t="s">
        <v>0</v>
      </c>
      <c r="BT152" s="82" t="s">
        <v>12</v>
      </c>
      <c r="BU152" s="91" t="s">
        <v>3576</v>
      </c>
      <c r="BV152" s="91"/>
      <c r="BW152" s="87"/>
      <c r="BX152" s="49" t="s">
        <v>2873</v>
      </c>
      <c r="BY152" s="13" t="s">
        <v>0</v>
      </c>
      <c r="BZ152" s="82" t="s">
        <v>12</v>
      </c>
      <c r="CA152" s="91" t="s">
        <v>3576</v>
      </c>
      <c r="CB152" s="91"/>
      <c r="CC152" s="87"/>
      <c r="CD152" s="52" t="s">
        <v>2686</v>
      </c>
      <c r="CE152" s="13" t="s">
        <v>0</v>
      </c>
      <c r="CF152" s="82" t="s">
        <v>12</v>
      </c>
      <c r="CG152" s="91" t="s">
        <v>3576</v>
      </c>
      <c r="CH152" s="91"/>
      <c r="CI152" s="87"/>
      <c r="CJ152" s="19" t="s">
        <v>3197</v>
      </c>
      <c r="CK152" s="13" t="s">
        <v>0</v>
      </c>
      <c r="CL152" s="82" t="s">
        <v>12</v>
      </c>
      <c r="CM152" s="91" t="s">
        <v>3576</v>
      </c>
      <c r="CN152" s="91"/>
      <c r="CO152" s="87"/>
      <c r="CP152" s="56" t="s">
        <v>3197</v>
      </c>
      <c r="CQ152" s="13" t="s">
        <v>0</v>
      </c>
      <c r="CR152" s="82" t="s">
        <v>12</v>
      </c>
      <c r="CS152" s="91" t="s">
        <v>3576</v>
      </c>
      <c r="CT152" s="91"/>
      <c r="CU152" s="105"/>
    </row>
    <row r="153" spans="1:99" ht="42" customHeight="1" thickBot="1" x14ac:dyDescent="0.4">
      <c r="A153" s="40" t="s">
        <v>189</v>
      </c>
      <c r="B153" s="40" t="s">
        <v>373</v>
      </c>
      <c r="C153" s="40" t="s">
        <v>563</v>
      </c>
      <c r="D153" s="135" t="s">
        <v>3509</v>
      </c>
      <c r="E153" s="314" t="s">
        <v>3855</v>
      </c>
      <c r="F153" s="315" t="s">
        <v>3437</v>
      </c>
      <c r="G153" s="315" t="s">
        <v>3864</v>
      </c>
      <c r="H153" s="142" t="s">
        <v>3769</v>
      </c>
      <c r="I153" s="138" t="s">
        <v>3568</v>
      </c>
      <c r="J153" s="136" t="s">
        <v>754</v>
      </c>
      <c r="K153" s="13" t="s">
        <v>0</v>
      </c>
      <c r="L153" s="82" t="s">
        <v>1</v>
      </c>
      <c r="M153" s="146" t="s">
        <v>3577</v>
      </c>
      <c r="N153" s="91"/>
      <c r="O153" s="87"/>
      <c r="P153" s="49" t="s">
        <v>953</v>
      </c>
      <c r="Q153" s="13" t="s">
        <v>0</v>
      </c>
      <c r="R153" s="82" t="s">
        <v>1</v>
      </c>
      <c r="S153" s="91" t="s">
        <v>3577</v>
      </c>
      <c r="T153" s="91"/>
      <c r="U153" s="87"/>
      <c r="V153" s="52" t="s">
        <v>1151</v>
      </c>
      <c r="W153" s="13" t="s">
        <v>0</v>
      </c>
      <c r="X153" s="82" t="s">
        <v>1</v>
      </c>
      <c r="Y153" s="91" t="s">
        <v>3577</v>
      </c>
      <c r="Z153" s="91"/>
      <c r="AA153" s="87"/>
      <c r="AB153" s="19" t="s">
        <v>1350</v>
      </c>
      <c r="AC153" s="13" t="s">
        <v>0</v>
      </c>
      <c r="AD153" s="82" t="s">
        <v>1</v>
      </c>
      <c r="AE153" s="91" t="s">
        <v>3577</v>
      </c>
      <c r="AF153" s="91"/>
      <c r="AG153" s="87"/>
      <c r="AH153" s="56" t="s">
        <v>1548</v>
      </c>
      <c r="AI153" s="13" t="s">
        <v>0</v>
      </c>
      <c r="AJ153" s="82" t="s">
        <v>1</v>
      </c>
      <c r="AK153" s="91" t="s">
        <v>3577</v>
      </c>
      <c r="AL153" s="91"/>
      <c r="AM153" s="105"/>
      <c r="AN153" s="23" t="s">
        <v>1747</v>
      </c>
      <c r="AO153" s="13" t="s">
        <v>0</v>
      </c>
      <c r="AP153" s="82" t="s">
        <v>1</v>
      </c>
      <c r="AQ153" s="91" t="s">
        <v>3577</v>
      </c>
      <c r="AR153" s="91"/>
      <c r="AS153" s="87"/>
      <c r="AT153" s="21" t="s">
        <v>1944</v>
      </c>
      <c r="AU153" s="13" t="s">
        <v>0</v>
      </c>
      <c r="AV153" s="82" t="s">
        <v>1</v>
      </c>
      <c r="AW153" s="91" t="s">
        <v>3577</v>
      </c>
      <c r="AX153" s="91"/>
      <c r="AY153" s="87"/>
      <c r="AZ153" s="22" t="s">
        <v>2140</v>
      </c>
      <c r="BA153" s="13" t="s">
        <v>0</v>
      </c>
      <c r="BB153" s="82" t="s">
        <v>1</v>
      </c>
      <c r="BC153" s="91" t="s">
        <v>3577</v>
      </c>
      <c r="BD153" s="91"/>
      <c r="BE153" s="87"/>
      <c r="BF153" s="24" t="s">
        <v>2332</v>
      </c>
      <c r="BG153" s="13" t="s">
        <v>0</v>
      </c>
      <c r="BH153" s="82" t="s">
        <v>1</v>
      </c>
      <c r="BI153" s="91" t="s">
        <v>3577</v>
      </c>
      <c r="BJ153" s="91"/>
      <c r="BK153" s="87"/>
      <c r="BL153" s="27" t="s">
        <v>2523</v>
      </c>
      <c r="BM153" s="13" t="s">
        <v>0</v>
      </c>
      <c r="BN153" s="82" t="s">
        <v>1</v>
      </c>
      <c r="BO153" s="91" t="s">
        <v>3577</v>
      </c>
      <c r="BP153" s="91"/>
      <c r="BQ153" s="105"/>
      <c r="BR153" s="72" t="s">
        <v>2721</v>
      </c>
      <c r="BS153" s="13" t="s">
        <v>0</v>
      </c>
      <c r="BT153" s="82" t="s">
        <v>1</v>
      </c>
      <c r="BU153" s="91" t="s">
        <v>3577</v>
      </c>
      <c r="BV153" s="91"/>
      <c r="BW153" s="87"/>
      <c r="BX153" s="49" t="s">
        <v>2903</v>
      </c>
      <c r="BY153" s="13" t="s">
        <v>0</v>
      </c>
      <c r="BZ153" s="82" t="s">
        <v>1</v>
      </c>
      <c r="CA153" s="91" t="s">
        <v>3577</v>
      </c>
      <c r="CB153" s="91"/>
      <c r="CC153" s="87"/>
      <c r="CD153" s="52" t="s">
        <v>3073</v>
      </c>
      <c r="CE153" s="13" t="s">
        <v>0</v>
      </c>
      <c r="CF153" s="82" t="s">
        <v>1</v>
      </c>
      <c r="CG153" s="91" t="s">
        <v>3577</v>
      </c>
      <c r="CH153" s="91"/>
      <c r="CI153" s="87"/>
      <c r="CJ153" s="19" t="s">
        <v>3222</v>
      </c>
      <c r="CK153" s="13" t="s">
        <v>0</v>
      </c>
      <c r="CL153" s="82" t="s">
        <v>1</v>
      </c>
      <c r="CM153" s="91" t="s">
        <v>3577</v>
      </c>
      <c r="CN153" s="91"/>
      <c r="CO153" s="87"/>
      <c r="CP153" s="56" t="s">
        <v>3343</v>
      </c>
      <c r="CQ153" s="13" t="s">
        <v>0</v>
      </c>
      <c r="CR153" s="82" t="s">
        <v>1</v>
      </c>
      <c r="CS153" s="91" t="s">
        <v>3577</v>
      </c>
      <c r="CT153" s="91"/>
      <c r="CU153" s="105"/>
    </row>
    <row r="154" spans="1:99" ht="75.5" customHeight="1" thickBot="1" x14ac:dyDescent="0.4">
      <c r="A154" s="40" t="s">
        <v>145</v>
      </c>
      <c r="B154" s="40" t="s">
        <v>314</v>
      </c>
      <c r="C154" s="40" t="s">
        <v>513</v>
      </c>
      <c r="D154" s="137" t="s">
        <v>314</v>
      </c>
      <c r="E154" s="320" t="s">
        <v>3866</v>
      </c>
      <c r="F154" s="321" t="s">
        <v>3440</v>
      </c>
      <c r="G154" s="322" t="s">
        <v>3868</v>
      </c>
      <c r="H154" s="142"/>
      <c r="I154" s="138"/>
      <c r="J154" s="136" t="s">
        <v>695</v>
      </c>
      <c r="K154" s="13" t="s">
        <v>0</v>
      </c>
      <c r="L154" s="82" t="s">
        <v>12</v>
      </c>
      <c r="M154" s="146" t="s">
        <v>3577</v>
      </c>
      <c r="N154" s="91"/>
      <c r="O154" s="87"/>
      <c r="P154" s="49" t="s">
        <v>894</v>
      </c>
      <c r="Q154" s="13" t="s">
        <v>0</v>
      </c>
      <c r="R154" s="82" t="s">
        <v>12</v>
      </c>
      <c r="S154" s="91" t="s">
        <v>3577</v>
      </c>
      <c r="T154" s="91"/>
      <c r="U154" s="87"/>
      <c r="V154" s="52" t="s">
        <v>1093</v>
      </c>
      <c r="W154" s="13" t="s">
        <v>0</v>
      </c>
      <c r="X154" s="82" t="s">
        <v>12</v>
      </c>
      <c r="Y154" s="91" t="s">
        <v>3577</v>
      </c>
      <c r="Z154" s="91"/>
      <c r="AA154" s="87"/>
      <c r="AB154" s="19" t="s">
        <v>1293</v>
      </c>
      <c r="AC154" s="13" t="s">
        <v>0</v>
      </c>
      <c r="AD154" s="82" t="s">
        <v>12</v>
      </c>
      <c r="AE154" s="91" t="s">
        <v>3577</v>
      </c>
      <c r="AF154" s="91"/>
      <c r="AG154" s="87"/>
      <c r="AH154" s="56" t="s">
        <v>1490</v>
      </c>
      <c r="AI154" s="13" t="s">
        <v>0</v>
      </c>
      <c r="AJ154" s="82" t="s">
        <v>12</v>
      </c>
      <c r="AK154" s="91" t="s">
        <v>3577</v>
      </c>
      <c r="AL154" s="91"/>
      <c r="AM154" s="105"/>
      <c r="AN154" s="23" t="s">
        <v>1689</v>
      </c>
      <c r="AO154" s="13" t="s">
        <v>0</v>
      </c>
      <c r="AP154" s="82" t="s">
        <v>12</v>
      </c>
      <c r="AQ154" s="91" t="s">
        <v>3577</v>
      </c>
      <c r="AR154" s="91"/>
      <c r="AS154" s="87"/>
      <c r="AT154" s="21" t="s">
        <v>1887</v>
      </c>
      <c r="AU154" s="13" t="s">
        <v>0</v>
      </c>
      <c r="AV154" s="82" t="s">
        <v>12</v>
      </c>
      <c r="AW154" s="91" t="s">
        <v>3577</v>
      </c>
      <c r="AX154" s="91"/>
      <c r="AY154" s="87"/>
      <c r="AZ154" s="22" t="s">
        <v>2083</v>
      </c>
      <c r="BA154" s="13" t="s">
        <v>0</v>
      </c>
      <c r="BB154" s="82" t="s">
        <v>12</v>
      </c>
      <c r="BC154" s="91" t="s">
        <v>3577</v>
      </c>
      <c r="BD154" s="91"/>
      <c r="BE154" s="87"/>
      <c r="BF154" s="24" t="s">
        <v>2278</v>
      </c>
      <c r="BG154" s="13" t="s">
        <v>0</v>
      </c>
      <c r="BH154" s="82" t="s">
        <v>12</v>
      </c>
      <c r="BI154" s="91" t="s">
        <v>3577</v>
      </c>
      <c r="BJ154" s="91"/>
      <c r="BK154" s="87"/>
      <c r="BL154" s="27" t="s">
        <v>2466</v>
      </c>
      <c r="BM154" s="13" t="s">
        <v>0</v>
      </c>
      <c r="BN154" s="82" t="s">
        <v>12</v>
      </c>
      <c r="BO154" s="91" t="s">
        <v>3577</v>
      </c>
      <c r="BP154" s="91"/>
      <c r="BQ154" s="105"/>
      <c r="BR154" s="72" t="s">
        <v>2663</v>
      </c>
      <c r="BS154" s="13" t="s">
        <v>0</v>
      </c>
      <c r="BT154" s="82" t="s">
        <v>12</v>
      </c>
      <c r="BU154" s="91" t="s">
        <v>3577</v>
      </c>
      <c r="BV154" s="91"/>
      <c r="BW154" s="87"/>
      <c r="BX154" s="49" t="s">
        <v>2851</v>
      </c>
      <c r="BY154" s="13" t="s">
        <v>0</v>
      </c>
      <c r="BZ154" s="82" t="s">
        <v>12</v>
      </c>
      <c r="CA154" s="91" t="s">
        <v>3577</v>
      </c>
      <c r="CB154" s="91"/>
      <c r="CC154" s="87"/>
      <c r="CD154" s="52" t="s">
        <v>3027</v>
      </c>
      <c r="CE154" s="13" t="s">
        <v>0</v>
      </c>
      <c r="CF154" s="82" t="s">
        <v>12</v>
      </c>
      <c r="CG154" s="91" t="s">
        <v>3577</v>
      </c>
      <c r="CH154" s="91"/>
      <c r="CI154" s="87"/>
      <c r="CJ154" s="19" t="s">
        <v>3183</v>
      </c>
      <c r="CK154" s="13" t="s">
        <v>0</v>
      </c>
      <c r="CL154" s="82" t="s">
        <v>12</v>
      </c>
      <c r="CM154" s="91" t="s">
        <v>3577</v>
      </c>
      <c r="CN154" s="91"/>
      <c r="CO154" s="87"/>
      <c r="CP154" s="56" t="s">
        <v>3310</v>
      </c>
      <c r="CQ154" s="13" t="s">
        <v>0</v>
      </c>
      <c r="CR154" s="82" t="s">
        <v>12</v>
      </c>
      <c r="CS154" s="91" t="s">
        <v>3577</v>
      </c>
      <c r="CT154" s="91"/>
      <c r="CU154" s="311"/>
    </row>
    <row r="155" spans="1:99" ht="63.5" customHeight="1" thickBot="1" x14ac:dyDescent="0.4">
      <c r="A155" s="40" t="s">
        <v>130</v>
      </c>
      <c r="B155" s="40" t="s">
        <v>293</v>
      </c>
      <c r="C155" s="40" t="s">
        <v>494</v>
      </c>
      <c r="D155" s="135" t="s">
        <v>3439</v>
      </c>
      <c r="E155" s="314" t="s">
        <v>3855</v>
      </c>
      <c r="F155" s="315" t="s">
        <v>3423</v>
      </c>
      <c r="G155" s="315" t="s">
        <v>3865</v>
      </c>
      <c r="H155" s="142"/>
      <c r="I155" s="138"/>
      <c r="J155" s="136" t="s">
        <v>674</v>
      </c>
      <c r="K155" s="13" t="s">
        <v>0</v>
      </c>
      <c r="L155" s="82" t="s">
        <v>1</v>
      </c>
      <c r="M155" s="146" t="s">
        <v>3576</v>
      </c>
      <c r="N155" s="91"/>
      <c r="O155" s="87"/>
      <c r="P155" s="49" t="s">
        <v>873</v>
      </c>
      <c r="Q155" s="13" t="s">
        <v>0</v>
      </c>
      <c r="R155" s="82" t="s">
        <v>1</v>
      </c>
      <c r="S155" s="91" t="s">
        <v>3576</v>
      </c>
      <c r="T155" s="91"/>
      <c r="U155" s="87"/>
      <c r="V155" s="52" t="s">
        <v>1072</v>
      </c>
      <c r="W155" s="13" t="s">
        <v>0</v>
      </c>
      <c r="X155" s="82" t="s">
        <v>1</v>
      </c>
      <c r="Y155" s="91" t="s">
        <v>3576</v>
      </c>
      <c r="Z155" s="91"/>
      <c r="AA155" s="87"/>
      <c r="AB155" s="19" t="s">
        <v>1273</v>
      </c>
      <c r="AC155" s="13" t="s">
        <v>0</v>
      </c>
      <c r="AD155" s="82" t="s">
        <v>1</v>
      </c>
      <c r="AE155" s="91" t="s">
        <v>3576</v>
      </c>
      <c r="AF155" s="91"/>
      <c r="AG155" s="87"/>
      <c r="AH155" s="56" t="s">
        <v>1469</v>
      </c>
      <c r="AI155" s="13" t="s">
        <v>0</v>
      </c>
      <c r="AJ155" s="82" t="s">
        <v>1</v>
      </c>
      <c r="AK155" s="91" t="s">
        <v>3576</v>
      </c>
      <c r="AL155" s="91"/>
      <c r="AM155" s="105"/>
      <c r="AN155" s="23" t="s">
        <v>1669</v>
      </c>
      <c r="AO155" s="13" t="s">
        <v>0</v>
      </c>
      <c r="AP155" s="82" t="s">
        <v>1</v>
      </c>
      <c r="AQ155" s="91" t="s">
        <v>3576</v>
      </c>
      <c r="AR155" s="91"/>
      <c r="AS155" s="87"/>
      <c r="AT155" s="21" t="s">
        <v>1866</v>
      </c>
      <c r="AU155" s="13" t="s">
        <v>0</v>
      </c>
      <c r="AV155" s="82" t="s">
        <v>1</v>
      </c>
      <c r="AW155" s="91" t="s">
        <v>3576</v>
      </c>
      <c r="AX155" s="91"/>
      <c r="AY155" s="87"/>
      <c r="AZ155" s="22" t="s">
        <v>2063</v>
      </c>
      <c r="BA155" s="13" t="s">
        <v>0</v>
      </c>
      <c r="BB155" s="82" t="s">
        <v>1</v>
      </c>
      <c r="BC155" s="91" t="s">
        <v>3576</v>
      </c>
      <c r="BD155" s="91"/>
      <c r="BE155" s="87"/>
      <c r="BF155" s="24" t="s">
        <v>2258</v>
      </c>
      <c r="BG155" s="13" t="s">
        <v>0</v>
      </c>
      <c r="BH155" s="82" t="s">
        <v>1</v>
      </c>
      <c r="BI155" s="91" t="s">
        <v>3576</v>
      </c>
      <c r="BJ155" s="91"/>
      <c r="BK155" s="87"/>
      <c r="BL155" s="27" t="s">
        <v>2445</v>
      </c>
      <c r="BM155" s="13" t="s">
        <v>0</v>
      </c>
      <c r="BN155" s="82" t="s">
        <v>1</v>
      </c>
      <c r="BO155" s="91" t="s">
        <v>3576</v>
      </c>
      <c r="BP155" s="91"/>
      <c r="BQ155" s="105"/>
      <c r="BR155" s="72" t="s">
        <v>2643</v>
      </c>
      <c r="BS155" s="13" t="s">
        <v>0</v>
      </c>
      <c r="BT155" s="82" t="s">
        <v>1</v>
      </c>
      <c r="BU155" s="91" t="s">
        <v>3576</v>
      </c>
      <c r="BV155" s="91"/>
      <c r="BW155" s="87"/>
      <c r="BX155" s="49" t="s">
        <v>2835</v>
      </c>
      <c r="BY155" s="13" t="s">
        <v>15</v>
      </c>
      <c r="BZ155" s="82" t="s">
        <v>4</v>
      </c>
      <c r="CA155" s="91" t="s">
        <v>3576</v>
      </c>
      <c r="CB155" s="91"/>
      <c r="CC155" s="264"/>
      <c r="CD155" s="52" t="s">
        <v>3005</v>
      </c>
      <c r="CE155" s="13" t="s">
        <v>0</v>
      </c>
      <c r="CF155" s="82" t="s">
        <v>1</v>
      </c>
      <c r="CG155" s="91" t="s">
        <v>3576</v>
      </c>
      <c r="CH155" s="91"/>
      <c r="CI155" s="87"/>
      <c r="CJ155" s="19" t="s">
        <v>2643</v>
      </c>
      <c r="CK155" s="13" t="s">
        <v>0</v>
      </c>
      <c r="CL155" s="82" t="s">
        <v>1</v>
      </c>
      <c r="CM155" s="91" t="s">
        <v>3576</v>
      </c>
      <c r="CN155" s="91"/>
      <c r="CO155" s="87"/>
      <c r="CP155" s="56" t="s">
        <v>2643</v>
      </c>
      <c r="CQ155" s="13" t="s">
        <v>0</v>
      </c>
      <c r="CR155" s="82" t="s">
        <v>1</v>
      </c>
      <c r="CS155" s="91" t="s">
        <v>3576</v>
      </c>
      <c r="CT155" s="91"/>
      <c r="CU155" s="105"/>
    </row>
    <row r="156" spans="1:99" ht="71" customHeight="1" thickBot="1" x14ac:dyDescent="0.4">
      <c r="A156" s="40" t="s">
        <v>160</v>
      </c>
      <c r="B156" s="40" t="s">
        <v>333</v>
      </c>
      <c r="C156" s="40" t="s">
        <v>531</v>
      </c>
      <c r="D156" s="135" t="s">
        <v>3477</v>
      </c>
      <c r="E156" s="314" t="s">
        <v>3855</v>
      </c>
      <c r="F156" s="315" t="s">
        <v>3371</v>
      </c>
      <c r="G156" s="315" t="s">
        <v>3859</v>
      </c>
      <c r="H156" s="142" t="s">
        <v>3728</v>
      </c>
      <c r="I156" s="138" t="s">
        <v>3559</v>
      </c>
      <c r="J156" s="136" t="s">
        <v>714</v>
      </c>
      <c r="K156" s="13" t="s">
        <v>15</v>
      </c>
      <c r="L156" s="82" t="s">
        <v>4</v>
      </c>
      <c r="M156" s="146" t="s">
        <v>3576</v>
      </c>
      <c r="N156" s="91"/>
      <c r="O156" s="87"/>
      <c r="P156" s="49" t="s">
        <v>913</v>
      </c>
      <c r="Q156" s="13" t="s">
        <v>15</v>
      </c>
      <c r="R156" s="82" t="s">
        <v>4</v>
      </c>
      <c r="S156" s="91" t="s">
        <v>3576</v>
      </c>
      <c r="T156" s="91"/>
      <c r="U156" s="87"/>
      <c r="V156" s="52" t="s">
        <v>1112</v>
      </c>
      <c r="W156" s="13" t="s">
        <v>15</v>
      </c>
      <c r="X156" s="82" t="s">
        <v>4</v>
      </c>
      <c r="Y156" s="91" t="s">
        <v>3576</v>
      </c>
      <c r="Z156" s="91"/>
      <c r="AA156" s="87"/>
      <c r="AB156" s="19" t="s">
        <v>1311</v>
      </c>
      <c r="AC156" s="13" t="s">
        <v>15</v>
      </c>
      <c r="AD156" s="82" t="s">
        <v>4</v>
      </c>
      <c r="AE156" s="91" t="s">
        <v>3576</v>
      </c>
      <c r="AF156" s="91"/>
      <c r="AG156" s="87"/>
      <c r="AH156" s="56" t="s">
        <v>1508</v>
      </c>
      <c r="AI156" s="13" t="s">
        <v>15</v>
      </c>
      <c r="AJ156" s="82" t="s">
        <v>4</v>
      </c>
      <c r="AK156" s="91" t="s">
        <v>3576</v>
      </c>
      <c r="AL156" s="91"/>
      <c r="AM156" s="105"/>
      <c r="AN156" s="23" t="s">
        <v>1707</v>
      </c>
      <c r="AO156" s="13" t="s">
        <v>15</v>
      </c>
      <c r="AP156" s="82" t="s">
        <v>4</v>
      </c>
      <c r="AQ156" s="91" t="s">
        <v>3576</v>
      </c>
      <c r="AR156" s="91"/>
      <c r="AS156" s="87"/>
      <c r="AT156" s="21" t="s">
        <v>1906</v>
      </c>
      <c r="AU156" s="13" t="s">
        <v>15</v>
      </c>
      <c r="AV156" s="82" t="s">
        <v>4</v>
      </c>
      <c r="AW156" s="91" t="s">
        <v>3576</v>
      </c>
      <c r="AX156" s="91"/>
      <c r="AY156" s="87"/>
      <c r="AZ156" s="22" t="s">
        <v>2101</v>
      </c>
      <c r="BA156" s="13" t="s">
        <v>15</v>
      </c>
      <c r="BB156" s="82" t="s">
        <v>4</v>
      </c>
      <c r="BC156" s="91" t="s">
        <v>3576</v>
      </c>
      <c r="BD156" s="91"/>
      <c r="BE156" s="87"/>
      <c r="BF156" s="24" t="s">
        <v>2293</v>
      </c>
      <c r="BG156" s="13" t="s">
        <v>15</v>
      </c>
      <c r="BH156" s="82" t="s">
        <v>4</v>
      </c>
      <c r="BI156" s="91" t="s">
        <v>3576</v>
      </c>
      <c r="BJ156" s="91"/>
      <c r="BK156" s="87"/>
      <c r="BL156" s="27" t="s">
        <v>2483</v>
      </c>
      <c r="BM156" s="13" t="s">
        <v>15</v>
      </c>
      <c r="BN156" s="82" t="s">
        <v>4</v>
      </c>
      <c r="BO156" s="91" t="s">
        <v>3576</v>
      </c>
      <c r="BP156" s="91"/>
      <c r="BQ156" s="105"/>
      <c r="BR156" s="72" t="s">
        <v>2681</v>
      </c>
      <c r="BS156" s="13" t="s">
        <v>15</v>
      </c>
      <c r="BT156" s="82" t="s">
        <v>4</v>
      </c>
      <c r="BU156" s="91" t="s">
        <v>3576</v>
      </c>
      <c r="BV156" s="91"/>
      <c r="BW156" s="87"/>
      <c r="BX156" s="49" t="s">
        <v>2868</v>
      </c>
      <c r="BY156" s="13" t="s">
        <v>15</v>
      </c>
      <c r="BZ156" s="82" t="s">
        <v>4</v>
      </c>
      <c r="CA156" s="91" t="s">
        <v>3576</v>
      </c>
      <c r="CB156" s="91"/>
      <c r="CC156" s="87"/>
      <c r="CD156" s="52" t="s">
        <v>3043</v>
      </c>
      <c r="CE156" s="13" t="s">
        <v>15</v>
      </c>
      <c r="CF156" s="82" t="s">
        <v>4</v>
      </c>
      <c r="CG156" s="91" t="s">
        <v>3576</v>
      </c>
      <c r="CH156" s="91"/>
      <c r="CI156" s="87"/>
      <c r="CJ156" s="19" t="s">
        <v>2868</v>
      </c>
      <c r="CK156" s="13" t="s">
        <v>15</v>
      </c>
      <c r="CL156" s="82" t="s">
        <v>4</v>
      </c>
      <c r="CM156" s="91" t="s">
        <v>3576</v>
      </c>
      <c r="CN156" s="91"/>
      <c r="CO156" s="87"/>
      <c r="CP156" s="56" t="s">
        <v>2868</v>
      </c>
      <c r="CQ156" s="13" t="s">
        <v>15</v>
      </c>
      <c r="CR156" s="82" t="s">
        <v>4</v>
      </c>
      <c r="CS156" s="91" t="s">
        <v>3576</v>
      </c>
      <c r="CT156" s="91"/>
      <c r="CU156" s="105"/>
    </row>
    <row r="157" spans="1:99" ht="18" customHeight="1" thickBot="1" x14ac:dyDescent="0.4">
      <c r="A157" s="40" t="s">
        <v>149</v>
      </c>
      <c r="B157" s="40" t="s">
        <v>319</v>
      </c>
      <c r="C157" s="40" t="s">
        <v>459</v>
      </c>
      <c r="D157" s="267" t="s">
        <v>3463</v>
      </c>
      <c r="E157" s="323" t="s">
        <v>3869</v>
      </c>
      <c r="F157" s="324" t="s">
        <v>3392</v>
      </c>
      <c r="G157" s="324" t="s">
        <v>3870</v>
      </c>
      <c r="H157" s="266" t="s">
        <v>3681</v>
      </c>
      <c r="I157" s="265"/>
      <c r="J157" s="136" t="s">
        <v>700</v>
      </c>
      <c r="K157" s="13" t="s">
        <v>0</v>
      </c>
      <c r="L157" s="82" t="s">
        <v>12</v>
      </c>
      <c r="M157" s="146" t="s">
        <v>3577</v>
      </c>
      <c r="N157" s="91"/>
      <c r="O157" s="87"/>
      <c r="P157" s="49" t="s">
        <v>899</v>
      </c>
      <c r="Q157" s="13" t="s">
        <v>0</v>
      </c>
      <c r="R157" s="82" t="s">
        <v>12</v>
      </c>
      <c r="S157" s="91" t="s">
        <v>3577</v>
      </c>
      <c r="T157" s="91"/>
      <c r="U157" s="87"/>
      <c r="V157" s="52" t="s">
        <v>1098</v>
      </c>
      <c r="W157" s="13" t="s">
        <v>0</v>
      </c>
      <c r="X157" s="82" t="s">
        <v>12</v>
      </c>
      <c r="Y157" s="91" t="s">
        <v>3577</v>
      </c>
      <c r="Z157" s="91"/>
      <c r="AA157" s="87"/>
      <c r="AB157" s="19" t="s">
        <v>1298</v>
      </c>
      <c r="AC157" s="13" t="s">
        <v>0</v>
      </c>
      <c r="AD157" s="82" t="s">
        <v>12</v>
      </c>
      <c r="AE157" s="91" t="s">
        <v>3577</v>
      </c>
      <c r="AF157" s="91"/>
      <c r="AG157" s="87"/>
      <c r="AH157" s="56" t="s">
        <v>1495</v>
      </c>
      <c r="AI157" s="13" t="s">
        <v>0</v>
      </c>
      <c r="AJ157" s="82" t="s">
        <v>12</v>
      </c>
      <c r="AK157" s="91" t="s">
        <v>3577</v>
      </c>
      <c r="AL157" s="91"/>
      <c r="AM157" s="105"/>
      <c r="AN157" s="23" t="s">
        <v>1694</v>
      </c>
      <c r="AO157" s="13" t="s">
        <v>0</v>
      </c>
      <c r="AP157" s="82" t="s">
        <v>12</v>
      </c>
      <c r="AQ157" s="91" t="s">
        <v>3577</v>
      </c>
      <c r="AR157" s="91"/>
      <c r="AS157" s="87"/>
      <c r="AT157" s="21" t="s">
        <v>1892</v>
      </c>
      <c r="AU157" s="13" t="s">
        <v>0</v>
      </c>
      <c r="AV157" s="82" t="s">
        <v>12</v>
      </c>
      <c r="AW157" s="91" t="s">
        <v>3577</v>
      </c>
      <c r="AX157" s="91"/>
      <c r="AY157" s="87"/>
      <c r="AZ157" s="22" t="s">
        <v>2088</v>
      </c>
      <c r="BA157" s="13" t="s">
        <v>0</v>
      </c>
      <c r="BB157" s="82" t="s">
        <v>12</v>
      </c>
      <c r="BC157" s="91" t="s">
        <v>3577</v>
      </c>
      <c r="BD157" s="91"/>
      <c r="BE157" s="87"/>
      <c r="BF157" s="24" t="s">
        <v>2281</v>
      </c>
      <c r="BG157" s="13" t="s">
        <v>0</v>
      </c>
      <c r="BH157" s="82" t="s">
        <v>12</v>
      </c>
      <c r="BI157" s="91" t="s">
        <v>3577</v>
      </c>
      <c r="BJ157" s="91"/>
      <c r="BK157" s="87"/>
      <c r="BL157" s="27" t="s">
        <v>2471</v>
      </c>
      <c r="BM157" s="13" t="s">
        <v>0</v>
      </c>
      <c r="BN157" s="82" t="s">
        <v>12</v>
      </c>
      <c r="BO157" s="91" t="s">
        <v>3577</v>
      </c>
      <c r="BP157" s="91"/>
      <c r="BQ157" s="105"/>
      <c r="BR157" s="72" t="s">
        <v>2668</v>
      </c>
      <c r="BS157" s="13" t="s">
        <v>0</v>
      </c>
      <c r="BT157" s="82" t="s">
        <v>12</v>
      </c>
      <c r="BU157" s="91" t="s">
        <v>3577</v>
      </c>
      <c r="BV157" s="91"/>
      <c r="BW157" s="87"/>
      <c r="BX157" s="49" t="s">
        <v>2855</v>
      </c>
      <c r="BY157" s="13" t="s">
        <v>15</v>
      </c>
      <c r="BZ157" s="82" t="s">
        <v>20</v>
      </c>
      <c r="CA157" s="91" t="s">
        <v>3577</v>
      </c>
      <c r="CB157" s="91"/>
      <c r="CC157" s="87"/>
      <c r="CD157" s="52" t="s">
        <v>3031</v>
      </c>
      <c r="CE157" s="13" t="s">
        <v>0</v>
      </c>
      <c r="CF157" s="82" t="s">
        <v>12</v>
      </c>
      <c r="CG157" s="91" t="s">
        <v>3577</v>
      </c>
      <c r="CH157" s="91"/>
      <c r="CI157" s="87"/>
      <c r="CJ157" s="19" t="s">
        <v>2668</v>
      </c>
      <c r="CK157" s="13" t="s">
        <v>0</v>
      </c>
      <c r="CL157" s="82" t="s">
        <v>12</v>
      </c>
      <c r="CM157" s="91" t="s">
        <v>3577</v>
      </c>
      <c r="CN157" s="91"/>
      <c r="CO157" s="87"/>
      <c r="CP157" s="56" t="s">
        <v>3314</v>
      </c>
      <c r="CQ157" s="13" t="s">
        <v>15</v>
      </c>
      <c r="CR157" s="82" t="s">
        <v>20</v>
      </c>
      <c r="CS157" s="91" t="s">
        <v>3577</v>
      </c>
      <c r="CT157" s="91"/>
      <c r="CU157" s="105"/>
    </row>
    <row r="158" spans="1:99" ht="49.5" customHeight="1" thickBot="1" x14ac:dyDescent="0.4">
      <c r="A158" s="40" t="s">
        <v>184</v>
      </c>
      <c r="B158" s="40" t="s">
        <v>366</v>
      </c>
      <c r="C158" s="40" t="s">
        <v>557</v>
      </c>
      <c r="D158" s="135" t="s">
        <v>3504</v>
      </c>
      <c r="E158" s="323" t="s">
        <v>3869</v>
      </c>
      <c r="F158" s="324" t="s">
        <v>3372</v>
      </c>
      <c r="G158" s="324" t="s">
        <v>3871</v>
      </c>
      <c r="H158" s="142" t="s">
        <v>3762</v>
      </c>
      <c r="I158" s="138" t="s">
        <v>3559</v>
      </c>
      <c r="J158" s="136" t="s">
        <v>747</v>
      </c>
      <c r="K158" s="13" t="s">
        <v>15</v>
      </c>
      <c r="L158" s="82" t="s">
        <v>4</v>
      </c>
      <c r="M158" s="146" t="s">
        <v>3576</v>
      </c>
      <c r="N158" s="91"/>
      <c r="O158" s="87"/>
      <c r="P158" s="49" t="s">
        <v>946</v>
      </c>
      <c r="Q158" s="13" t="s">
        <v>15</v>
      </c>
      <c r="R158" s="82" t="s">
        <v>4</v>
      </c>
      <c r="S158" s="91" t="s">
        <v>3576</v>
      </c>
      <c r="T158" s="91"/>
      <c r="U158" s="87"/>
      <c r="V158" s="52" t="s">
        <v>1144</v>
      </c>
      <c r="W158" s="13" t="s">
        <v>15</v>
      </c>
      <c r="X158" s="82" t="s">
        <v>4</v>
      </c>
      <c r="Y158" s="91" t="s">
        <v>3576</v>
      </c>
      <c r="Z158" s="91"/>
      <c r="AA158" s="87"/>
      <c r="AB158" s="19" t="s">
        <v>1343</v>
      </c>
      <c r="AC158" s="13" t="s">
        <v>15</v>
      </c>
      <c r="AD158" s="82" t="s">
        <v>4</v>
      </c>
      <c r="AE158" s="91" t="s">
        <v>3576</v>
      </c>
      <c r="AF158" s="91"/>
      <c r="AG158" s="87"/>
      <c r="AH158" s="56" t="s">
        <v>1541</v>
      </c>
      <c r="AI158" s="13" t="s">
        <v>15</v>
      </c>
      <c r="AJ158" s="82" t="s">
        <v>4</v>
      </c>
      <c r="AK158" s="91" t="s">
        <v>3576</v>
      </c>
      <c r="AL158" s="91"/>
      <c r="AM158" s="105"/>
      <c r="AN158" s="23" t="s">
        <v>1740</v>
      </c>
      <c r="AO158" s="13" t="s">
        <v>15</v>
      </c>
      <c r="AP158" s="82" t="s">
        <v>4</v>
      </c>
      <c r="AQ158" s="91" t="s">
        <v>3576</v>
      </c>
      <c r="AR158" s="91"/>
      <c r="AS158" s="87"/>
      <c r="AT158" s="21" t="s">
        <v>1937</v>
      </c>
      <c r="AU158" s="13" t="s">
        <v>15</v>
      </c>
      <c r="AV158" s="82" t="s">
        <v>4</v>
      </c>
      <c r="AW158" s="91" t="s">
        <v>3576</v>
      </c>
      <c r="AX158" s="91"/>
      <c r="AY158" s="87"/>
      <c r="AZ158" s="22" t="s">
        <v>2133</v>
      </c>
      <c r="BA158" s="13" t="s">
        <v>15</v>
      </c>
      <c r="BB158" s="82" t="s">
        <v>4</v>
      </c>
      <c r="BC158" s="91" t="s">
        <v>3576</v>
      </c>
      <c r="BD158" s="91"/>
      <c r="BE158" s="87"/>
      <c r="BF158" s="26" t="s">
        <v>2325</v>
      </c>
      <c r="BG158" s="13" t="s">
        <v>15</v>
      </c>
      <c r="BH158" s="82" t="s">
        <v>4</v>
      </c>
      <c r="BI158" s="91" t="s">
        <v>3576</v>
      </c>
      <c r="BJ158" s="91"/>
      <c r="BK158" s="87"/>
      <c r="BL158" s="27" t="s">
        <v>2516</v>
      </c>
      <c r="BM158" s="13" t="s">
        <v>15</v>
      </c>
      <c r="BN158" s="82" t="s">
        <v>4</v>
      </c>
      <c r="BO158" s="91" t="s">
        <v>3576</v>
      </c>
      <c r="BP158" s="91"/>
      <c r="BQ158" s="105"/>
      <c r="BR158" s="72" t="s">
        <v>2714</v>
      </c>
      <c r="BS158" s="13" t="s">
        <v>15</v>
      </c>
      <c r="BT158" s="82" t="s">
        <v>4</v>
      </c>
      <c r="BU158" s="91" t="s">
        <v>3576</v>
      </c>
      <c r="BV158" s="91"/>
      <c r="BW158" s="87"/>
      <c r="BX158" s="49" t="s">
        <v>2897</v>
      </c>
      <c r="BY158" s="13" t="s">
        <v>15</v>
      </c>
      <c r="BZ158" s="82" t="s">
        <v>4</v>
      </c>
      <c r="CA158" s="91" t="s">
        <v>3576</v>
      </c>
      <c r="CB158" s="91"/>
      <c r="CC158" s="87"/>
      <c r="CD158" s="52" t="s">
        <v>3067</v>
      </c>
      <c r="CE158" s="13" t="s">
        <v>15</v>
      </c>
      <c r="CF158" s="82" t="s">
        <v>4</v>
      </c>
      <c r="CG158" s="91" t="s">
        <v>3576</v>
      </c>
      <c r="CH158" s="91"/>
      <c r="CI158" s="87"/>
      <c r="CJ158" s="19" t="s">
        <v>3216</v>
      </c>
      <c r="CK158" s="13" t="s">
        <v>15</v>
      </c>
      <c r="CL158" s="82" t="s">
        <v>4</v>
      </c>
      <c r="CM158" s="91" t="s">
        <v>3576</v>
      </c>
      <c r="CN158" s="91"/>
      <c r="CO158" s="87"/>
      <c r="CP158" s="56" t="s">
        <v>3339</v>
      </c>
      <c r="CQ158" s="13" t="s">
        <v>15</v>
      </c>
      <c r="CR158" s="82" t="s">
        <v>20</v>
      </c>
      <c r="CS158" s="91" t="s">
        <v>3577</v>
      </c>
      <c r="CT158" s="91"/>
      <c r="CU158" s="105"/>
    </row>
    <row r="159" spans="1:99" ht="42" customHeight="1" thickBot="1" x14ac:dyDescent="0.4">
      <c r="A159" s="40" t="s">
        <v>166</v>
      </c>
      <c r="B159" s="40" t="s">
        <v>342</v>
      </c>
      <c r="C159" s="40" t="s">
        <v>459</v>
      </c>
      <c r="D159" s="135" t="s">
        <v>3484</v>
      </c>
      <c r="E159" s="323" t="s">
        <v>3869</v>
      </c>
      <c r="F159" s="324" t="s">
        <v>3465</v>
      </c>
      <c r="G159" s="324" t="s">
        <v>3872</v>
      </c>
      <c r="H159" s="142"/>
      <c r="I159" s="138"/>
      <c r="J159" s="136" t="s">
        <v>723</v>
      </c>
      <c r="K159" s="13" t="s">
        <v>15</v>
      </c>
      <c r="L159" s="82" t="s">
        <v>4</v>
      </c>
      <c r="M159" s="146" t="s">
        <v>3577</v>
      </c>
      <c r="N159" s="91"/>
      <c r="O159" s="87"/>
      <c r="P159" s="49" t="s">
        <v>922</v>
      </c>
      <c r="Q159" s="13" t="s">
        <v>15</v>
      </c>
      <c r="R159" s="82" t="s">
        <v>4</v>
      </c>
      <c r="S159" s="91" t="s">
        <v>3576</v>
      </c>
      <c r="T159" s="91"/>
      <c r="U159" s="87"/>
      <c r="V159" s="52" t="s">
        <v>1121</v>
      </c>
      <c r="W159" s="13" t="s">
        <v>15</v>
      </c>
      <c r="X159" s="82" t="s">
        <v>4</v>
      </c>
      <c r="Y159" s="91" t="s">
        <v>3576</v>
      </c>
      <c r="Z159" s="91"/>
      <c r="AA159" s="87"/>
      <c r="AB159" s="19" t="s">
        <v>1319</v>
      </c>
      <c r="AC159" s="13" t="s">
        <v>15</v>
      </c>
      <c r="AD159" s="82" t="s">
        <v>4</v>
      </c>
      <c r="AE159" s="91" t="s">
        <v>3576</v>
      </c>
      <c r="AF159" s="91"/>
      <c r="AG159" s="87"/>
      <c r="AH159" s="56" t="s">
        <v>1517</v>
      </c>
      <c r="AI159" s="13" t="s">
        <v>15</v>
      </c>
      <c r="AJ159" s="82" t="s">
        <v>4</v>
      </c>
      <c r="AK159" s="91" t="s">
        <v>3576</v>
      </c>
      <c r="AL159" s="91"/>
      <c r="AM159" s="105"/>
      <c r="AN159" s="23" t="s">
        <v>1716</v>
      </c>
      <c r="AO159" s="13" t="s">
        <v>15</v>
      </c>
      <c r="AP159" s="82" t="s">
        <v>4</v>
      </c>
      <c r="AQ159" s="91" t="s">
        <v>3576</v>
      </c>
      <c r="AR159" s="91"/>
      <c r="AS159" s="87"/>
      <c r="AT159" s="21" t="s">
        <v>1915</v>
      </c>
      <c r="AU159" s="13" t="s">
        <v>15</v>
      </c>
      <c r="AV159" s="82" t="s">
        <v>4</v>
      </c>
      <c r="AW159" s="91" t="s">
        <v>3576</v>
      </c>
      <c r="AX159" s="91"/>
      <c r="AY159" s="87"/>
      <c r="AZ159" s="22" t="s">
        <v>2110</v>
      </c>
      <c r="BA159" s="13" t="s">
        <v>15</v>
      </c>
      <c r="BB159" s="82" t="s">
        <v>4</v>
      </c>
      <c r="BC159" s="91" t="s">
        <v>3576</v>
      </c>
      <c r="BD159" s="91"/>
      <c r="BE159" s="87"/>
      <c r="BF159" s="24" t="s">
        <v>2302</v>
      </c>
      <c r="BG159" s="13" t="s">
        <v>15</v>
      </c>
      <c r="BH159" s="82" t="s">
        <v>4</v>
      </c>
      <c r="BI159" s="91" t="s">
        <v>3576</v>
      </c>
      <c r="BJ159" s="91"/>
      <c r="BK159" s="87"/>
      <c r="BL159" s="27" t="s">
        <v>2492</v>
      </c>
      <c r="BM159" s="13" t="s">
        <v>15</v>
      </c>
      <c r="BN159" s="82" t="s">
        <v>4</v>
      </c>
      <c r="BO159" s="91" t="s">
        <v>3576</v>
      </c>
      <c r="BP159" s="91"/>
      <c r="BQ159" s="105"/>
      <c r="BR159" s="72" t="s">
        <v>2690</v>
      </c>
      <c r="BS159" s="13" t="s">
        <v>15</v>
      </c>
      <c r="BT159" s="82" t="s">
        <v>4</v>
      </c>
      <c r="BU159" s="91" t="s">
        <v>3576</v>
      </c>
      <c r="BV159" s="91"/>
      <c r="BW159" s="87"/>
      <c r="BX159" s="49" t="s">
        <v>2877</v>
      </c>
      <c r="BY159" s="13" t="s">
        <v>15</v>
      </c>
      <c r="BZ159" s="82" t="s">
        <v>4</v>
      </c>
      <c r="CA159" s="91" t="s">
        <v>3576</v>
      </c>
      <c r="CB159" s="91"/>
      <c r="CC159" s="87"/>
      <c r="CD159" s="52" t="s">
        <v>2690</v>
      </c>
      <c r="CE159" s="13" t="s">
        <v>15</v>
      </c>
      <c r="CF159" s="82" t="s">
        <v>4</v>
      </c>
      <c r="CG159" s="91" t="s">
        <v>3576</v>
      </c>
      <c r="CH159" s="91"/>
      <c r="CI159" s="87"/>
      <c r="CJ159" s="19" t="s">
        <v>2690</v>
      </c>
      <c r="CK159" s="13" t="s">
        <v>15</v>
      </c>
      <c r="CL159" s="82" t="s">
        <v>4</v>
      </c>
      <c r="CM159" s="91" t="s">
        <v>3576</v>
      </c>
      <c r="CN159" s="91"/>
      <c r="CO159" s="87"/>
      <c r="CP159" s="56" t="s">
        <v>2690</v>
      </c>
      <c r="CQ159" s="13" t="s">
        <v>15</v>
      </c>
      <c r="CR159" s="82" t="s">
        <v>4</v>
      </c>
      <c r="CS159" s="91" t="s">
        <v>3576</v>
      </c>
      <c r="CT159" s="91"/>
      <c r="CU159" s="105"/>
    </row>
    <row r="160" spans="1:99" ht="42" customHeight="1" thickBot="1" x14ac:dyDescent="0.4">
      <c r="A160" s="40" t="s">
        <v>204</v>
      </c>
      <c r="B160" s="40" t="s">
        <v>393</v>
      </c>
      <c r="C160" s="40" t="s">
        <v>459</v>
      </c>
      <c r="D160" s="135" t="s">
        <v>3524</v>
      </c>
      <c r="E160" s="323" t="s">
        <v>3869</v>
      </c>
      <c r="F160" s="324" t="s">
        <v>3392</v>
      </c>
      <c r="G160" s="324" t="s">
        <v>3870</v>
      </c>
      <c r="H160" s="142" t="s">
        <v>3787</v>
      </c>
      <c r="I160" s="138" t="s">
        <v>3559</v>
      </c>
      <c r="J160" s="136" t="s">
        <v>774</v>
      </c>
      <c r="K160" s="13" t="s">
        <v>0</v>
      </c>
      <c r="L160" s="82" t="s">
        <v>12</v>
      </c>
      <c r="M160" s="146" t="s">
        <v>3577</v>
      </c>
      <c r="N160" s="91"/>
      <c r="O160" s="87"/>
      <c r="P160" s="49" t="s">
        <v>972</v>
      </c>
      <c r="Q160" s="13" t="s">
        <v>0</v>
      </c>
      <c r="R160" s="82" t="s">
        <v>12</v>
      </c>
      <c r="S160" s="91" t="s">
        <v>3577</v>
      </c>
      <c r="T160" s="91"/>
      <c r="U160" s="87"/>
      <c r="V160" s="52" t="s">
        <v>1171</v>
      </c>
      <c r="W160" s="13" t="s">
        <v>0</v>
      </c>
      <c r="X160" s="82" t="s">
        <v>12</v>
      </c>
      <c r="Y160" s="91" t="s">
        <v>3577</v>
      </c>
      <c r="Z160" s="91"/>
      <c r="AA160" s="87"/>
      <c r="AB160" s="19" t="s">
        <v>1370</v>
      </c>
      <c r="AC160" s="13" t="s">
        <v>0</v>
      </c>
      <c r="AD160" s="82" t="s">
        <v>12</v>
      </c>
      <c r="AE160" s="91" t="s">
        <v>3577</v>
      </c>
      <c r="AF160" s="91"/>
      <c r="AG160" s="87"/>
      <c r="AH160" s="56" t="s">
        <v>1568</v>
      </c>
      <c r="AI160" s="13" t="s">
        <v>0</v>
      </c>
      <c r="AJ160" s="82" t="s">
        <v>12</v>
      </c>
      <c r="AK160" s="91" t="s">
        <v>3577</v>
      </c>
      <c r="AL160" s="91"/>
      <c r="AM160" s="105"/>
      <c r="AN160" s="23" t="s">
        <v>1767</v>
      </c>
      <c r="AO160" s="13" t="s">
        <v>0</v>
      </c>
      <c r="AP160" s="82" t="s">
        <v>12</v>
      </c>
      <c r="AQ160" s="91" t="s">
        <v>3577</v>
      </c>
      <c r="AR160" s="91"/>
      <c r="AS160" s="87"/>
      <c r="AT160" s="21" t="s">
        <v>1964</v>
      </c>
      <c r="AU160" s="13" t="s">
        <v>0</v>
      </c>
      <c r="AV160" s="82" t="s">
        <v>12</v>
      </c>
      <c r="AW160" s="91" t="s">
        <v>3577</v>
      </c>
      <c r="AX160" s="91"/>
      <c r="AY160" s="87"/>
      <c r="AZ160" s="22" t="s">
        <v>2160</v>
      </c>
      <c r="BA160" s="13" t="s">
        <v>0</v>
      </c>
      <c r="BB160" s="82" t="s">
        <v>12</v>
      </c>
      <c r="BC160" s="91" t="s">
        <v>3577</v>
      </c>
      <c r="BD160" s="91"/>
      <c r="BE160" s="87"/>
      <c r="BF160" s="26" t="s">
        <v>2351</v>
      </c>
      <c r="BG160" s="13" t="s">
        <v>0</v>
      </c>
      <c r="BH160" s="82" t="s">
        <v>12</v>
      </c>
      <c r="BI160" s="91" t="s">
        <v>3577</v>
      </c>
      <c r="BJ160" s="91"/>
      <c r="BK160" s="87"/>
      <c r="BL160" s="27" t="s">
        <v>2543</v>
      </c>
      <c r="BM160" s="13" t="s">
        <v>0</v>
      </c>
      <c r="BN160" s="82" t="s">
        <v>12</v>
      </c>
      <c r="BO160" s="91" t="s">
        <v>3577</v>
      </c>
      <c r="BP160" s="91"/>
      <c r="BQ160" s="105"/>
      <c r="BR160" s="72" t="s">
        <v>2741</v>
      </c>
      <c r="BS160" s="13" t="s">
        <v>0</v>
      </c>
      <c r="BT160" s="82" t="s">
        <v>12</v>
      </c>
      <c r="BU160" s="91" t="s">
        <v>3577</v>
      </c>
      <c r="BV160" s="91"/>
      <c r="BW160" s="87"/>
      <c r="BX160" s="49" t="s">
        <v>2741</v>
      </c>
      <c r="BY160" s="13" t="s">
        <v>0</v>
      </c>
      <c r="BZ160" s="82" t="s">
        <v>12</v>
      </c>
      <c r="CA160" s="91" t="s">
        <v>3577</v>
      </c>
      <c r="CB160" s="91"/>
      <c r="CC160" s="87"/>
      <c r="CD160" s="52" t="s">
        <v>3092</v>
      </c>
      <c r="CE160" s="13" t="s">
        <v>0</v>
      </c>
      <c r="CF160" s="82" t="s">
        <v>12</v>
      </c>
      <c r="CG160" s="91" t="s">
        <v>3577</v>
      </c>
      <c r="CH160" s="91"/>
      <c r="CI160" s="87"/>
      <c r="CJ160" s="19" t="s">
        <v>3236</v>
      </c>
      <c r="CK160" s="13" t="s">
        <v>0</v>
      </c>
      <c r="CL160" s="82" t="s">
        <v>12</v>
      </c>
      <c r="CM160" s="91" t="s">
        <v>3577</v>
      </c>
      <c r="CN160" s="91"/>
      <c r="CO160" s="87"/>
      <c r="CP160" s="56" t="s">
        <v>3351</v>
      </c>
      <c r="CQ160" s="13" t="s">
        <v>0</v>
      </c>
      <c r="CR160" s="82" t="s">
        <v>12</v>
      </c>
      <c r="CS160" s="91" t="s">
        <v>3577</v>
      </c>
      <c r="CT160" s="91"/>
      <c r="CU160" s="105"/>
    </row>
    <row r="161" spans="1:99" ht="42" customHeight="1" thickBot="1" x14ac:dyDescent="0.4">
      <c r="A161" s="40" t="s">
        <v>93</v>
      </c>
      <c r="B161" s="40" t="s">
        <v>254</v>
      </c>
      <c r="C161" s="40" t="s">
        <v>453</v>
      </c>
      <c r="D161" s="135" t="s">
        <v>3402</v>
      </c>
      <c r="E161" s="314" t="s">
        <v>3855</v>
      </c>
      <c r="F161" s="315" t="s">
        <v>3376</v>
      </c>
      <c r="G161" s="315" t="s">
        <v>3856</v>
      </c>
      <c r="H161" s="142" t="s">
        <v>3609</v>
      </c>
      <c r="I161" s="138" t="s">
        <v>3566</v>
      </c>
      <c r="J161" s="136" t="s">
        <v>633</v>
      </c>
      <c r="K161" s="13" t="s">
        <v>15</v>
      </c>
      <c r="L161" s="82" t="s">
        <v>20</v>
      </c>
      <c r="M161" s="146" t="s">
        <v>3576</v>
      </c>
      <c r="N161" s="91"/>
      <c r="O161" s="87"/>
      <c r="P161" s="49" t="s">
        <v>834</v>
      </c>
      <c r="Q161" s="13" t="s">
        <v>15</v>
      </c>
      <c r="R161" s="82" t="s">
        <v>20</v>
      </c>
      <c r="S161" s="91" t="s">
        <v>3576</v>
      </c>
      <c r="T161" s="91"/>
      <c r="U161" s="87"/>
      <c r="V161" s="52" t="s">
        <v>1032</v>
      </c>
      <c r="W161" s="13" t="s">
        <v>15</v>
      </c>
      <c r="X161" s="82" t="s">
        <v>20</v>
      </c>
      <c r="Y161" s="91" t="s">
        <v>3576</v>
      </c>
      <c r="Z161" s="91"/>
      <c r="AA161" s="87"/>
      <c r="AB161" s="19" t="s">
        <v>1232</v>
      </c>
      <c r="AC161" s="13" t="s">
        <v>15</v>
      </c>
      <c r="AD161" s="82" t="s">
        <v>20</v>
      </c>
      <c r="AE161" s="91" t="s">
        <v>3576</v>
      </c>
      <c r="AF161" s="91"/>
      <c r="AG161" s="87"/>
      <c r="AH161" s="56" t="s">
        <v>1431</v>
      </c>
      <c r="AI161" s="13" t="s">
        <v>15</v>
      </c>
      <c r="AJ161" s="82" t="s">
        <v>20</v>
      </c>
      <c r="AK161" s="91" t="s">
        <v>3576</v>
      </c>
      <c r="AL161" s="91"/>
      <c r="AM161" s="105"/>
      <c r="AN161" s="23" t="s">
        <v>1629</v>
      </c>
      <c r="AO161" s="13" t="s">
        <v>15</v>
      </c>
      <c r="AP161" s="82" t="s">
        <v>20</v>
      </c>
      <c r="AQ161" s="91" t="s">
        <v>3577</v>
      </c>
      <c r="AR161" s="91"/>
      <c r="AS161" s="87"/>
      <c r="AT161" s="21" t="s">
        <v>1827</v>
      </c>
      <c r="AU161" s="13" t="s">
        <v>15</v>
      </c>
      <c r="AV161" s="82" t="s">
        <v>20</v>
      </c>
      <c r="AW161" s="91" t="s">
        <v>3577</v>
      </c>
      <c r="AX161" s="91"/>
      <c r="AY161" s="87"/>
      <c r="AZ161" s="22" t="s">
        <v>2024</v>
      </c>
      <c r="BA161" s="13" t="s">
        <v>15</v>
      </c>
      <c r="BB161" s="82" t="s">
        <v>20</v>
      </c>
      <c r="BC161" s="91" t="s">
        <v>3577</v>
      </c>
      <c r="BD161" s="91"/>
      <c r="BE161" s="87"/>
      <c r="BF161" s="24" t="s">
        <v>2221</v>
      </c>
      <c r="BG161" s="13" t="s">
        <v>15</v>
      </c>
      <c r="BH161" s="82" t="s">
        <v>20</v>
      </c>
      <c r="BI161" s="91" t="s">
        <v>3576</v>
      </c>
      <c r="BJ161" s="91"/>
      <c r="BK161" s="87"/>
      <c r="BL161" s="27" t="s">
        <v>2409</v>
      </c>
      <c r="BM161" s="13" t="s">
        <v>15</v>
      </c>
      <c r="BN161" s="82" t="s">
        <v>20</v>
      </c>
      <c r="BO161" s="91" t="s">
        <v>3576</v>
      </c>
      <c r="BP161" s="91"/>
      <c r="BQ161" s="105"/>
      <c r="BR161" s="72" t="s">
        <v>2606</v>
      </c>
      <c r="BS161" s="13" t="s">
        <v>11</v>
      </c>
      <c r="BT161" s="82"/>
      <c r="BU161" s="91" t="s">
        <v>3576</v>
      </c>
      <c r="BV161" s="91"/>
      <c r="BW161" s="87"/>
      <c r="BX161" s="49" t="s">
        <v>2798</v>
      </c>
      <c r="BY161" s="13" t="s">
        <v>0</v>
      </c>
      <c r="BZ161" s="82" t="s">
        <v>12</v>
      </c>
      <c r="CA161" s="91" t="s">
        <v>3577</v>
      </c>
      <c r="CB161" s="91"/>
      <c r="CC161" s="264" t="s">
        <v>3568</v>
      </c>
      <c r="CD161" s="52" t="s">
        <v>2798</v>
      </c>
      <c r="CE161" s="13" t="s">
        <v>0</v>
      </c>
      <c r="CF161" s="82" t="s">
        <v>12</v>
      </c>
      <c r="CG161" s="91" t="s">
        <v>3577</v>
      </c>
      <c r="CH161" s="91"/>
      <c r="CI161" s="87" t="s">
        <v>3568</v>
      </c>
      <c r="CJ161" s="19" t="s">
        <v>3143</v>
      </c>
      <c r="CK161" s="13" t="s">
        <v>15</v>
      </c>
      <c r="CL161" s="82" t="s">
        <v>20</v>
      </c>
      <c r="CM161" s="91" t="s">
        <v>3576</v>
      </c>
      <c r="CN161" s="91"/>
      <c r="CO161" s="87"/>
      <c r="CP161" s="56" t="s">
        <v>3280</v>
      </c>
      <c r="CQ161" s="13" t="s">
        <v>15</v>
      </c>
      <c r="CR161" s="82" t="s">
        <v>20</v>
      </c>
      <c r="CS161" s="91" t="s">
        <v>3576</v>
      </c>
      <c r="CT161" s="91"/>
      <c r="CU161" s="105"/>
    </row>
    <row r="162" spans="1:99" ht="17.5" customHeight="1" thickBot="1" x14ac:dyDescent="0.4">
      <c r="A162" s="40" t="s">
        <v>127</v>
      </c>
      <c r="B162" s="40" t="s">
        <v>290</v>
      </c>
      <c r="C162" s="40" t="s">
        <v>491</v>
      </c>
      <c r="D162" s="135" t="s">
        <v>3435</v>
      </c>
      <c r="E162" s="314" t="s">
        <v>3855</v>
      </c>
      <c r="F162" s="315" t="s">
        <v>3387</v>
      </c>
      <c r="G162" s="315" t="s">
        <v>3861</v>
      </c>
      <c r="H162" s="338" t="s">
        <v>3658</v>
      </c>
      <c r="I162" s="138" t="s">
        <v>3566</v>
      </c>
      <c r="J162" s="136" t="s">
        <v>671</v>
      </c>
      <c r="K162" s="13" t="s">
        <v>0</v>
      </c>
      <c r="L162" s="82" t="s">
        <v>12</v>
      </c>
      <c r="M162" s="146" t="s">
        <v>3577</v>
      </c>
      <c r="N162" s="91"/>
      <c r="O162" s="87"/>
      <c r="P162" s="49" t="s">
        <v>870</v>
      </c>
      <c r="Q162" s="13" t="s">
        <v>0</v>
      </c>
      <c r="R162" s="82" t="s">
        <v>12</v>
      </c>
      <c r="S162" s="91" t="s">
        <v>3577</v>
      </c>
      <c r="T162" s="91"/>
      <c r="U162" s="87"/>
      <c r="V162" s="52" t="s">
        <v>1069</v>
      </c>
      <c r="W162" s="13" t="s">
        <v>15</v>
      </c>
      <c r="X162" s="82" t="s">
        <v>9</v>
      </c>
      <c r="Y162" s="91" t="s">
        <v>3576</v>
      </c>
      <c r="Z162" s="91"/>
      <c r="AA162" s="87"/>
      <c r="AB162" s="19" t="s">
        <v>1270</v>
      </c>
      <c r="AC162" s="13" t="s">
        <v>0</v>
      </c>
      <c r="AD162" s="82" t="s">
        <v>12</v>
      </c>
      <c r="AE162" s="91" t="s">
        <v>3577</v>
      </c>
      <c r="AF162" s="91"/>
      <c r="AG162" s="87"/>
      <c r="AH162" s="56" t="s">
        <v>1466</v>
      </c>
      <c r="AI162" s="13" t="s">
        <v>0</v>
      </c>
      <c r="AJ162" s="82" t="s">
        <v>12</v>
      </c>
      <c r="AK162" s="91" t="s">
        <v>3577</v>
      </c>
      <c r="AL162" s="91"/>
      <c r="AM162" s="105"/>
      <c r="AN162" s="23" t="s">
        <v>1666</v>
      </c>
      <c r="AO162" s="13" t="s">
        <v>0</v>
      </c>
      <c r="AP162" s="82" t="s">
        <v>12</v>
      </c>
      <c r="AQ162" s="91" t="s">
        <v>3577</v>
      </c>
      <c r="AR162" s="91"/>
      <c r="AS162" s="87"/>
      <c r="AT162" s="21" t="s">
        <v>1863</v>
      </c>
      <c r="AU162" s="13" t="s">
        <v>0</v>
      </c>
      <c r="AV162" s="82" t="s">
        <v>12</v>
      </c>
      <c r="AW162" s="91" t="s">
        <v>3577</v>
      </c>
      <c r="AX162" s="91" t="s">
        <v>3578</v>
      </c>
      <c r="AY162" s="87"/>
      <c r="AZ162" s="22" t="s">
        <v>2060</v>
      </c>
      <c r="BA162" s="13" t="s">
        <v>0</v>
      </c>
      <c r="BB162" s="82" t="s">
        <v>12</v>
      </c>
      <c r="BC162" s="91" t="s">
        <v>3577</v>
      </c>
      <c r="BD162" s="91"/>
      <c r="BE162" s="87"/>
      <c r="BF162" s="24" t="s">
        <v>2255</v>
      </c>
      <c r="BG162" s="13" t="s">
        <v>0</v>
      </c>
      <c r="BH162" s="82" t="s">
        <v>12</v>
      </c>
      <c r="BI162" s="91" t="s">
        <v>3577</v>
      </c>
      <c r="BJ162" s="91"/>
      <c r="BK162" s="87"/>
      <c r="BL162" s="27" t="s">
        <v>2442</v>
      </c>
      <c r="BM162" s="13" t="s">
        <v>0</v>
      </c>
      <c r="BN162" s="82" t="s">
        <v>12</v>
      </c>
      <c r="BO162" s="91" t="s">
        <v>3577</v>
      </c>
      <c r="BP162" s="91"/>
      <c r="BQ162" s="105"/>
      <c r="BR162" s="72" t="s">
        <v>2640</v>
      </c>
      <c r="BS162" s="13" t="s">
        <v>0</v>
      </c>
      <c r="BT162" s="82" t="s">
        <v>12</v>
      </c>
      <c r="BU162" s="91" t="s">
        <v>3577</v>
      </c>
      <c r="BV162" s="91"/>
      <c r="BW162" s="87"/>
      <c r="BX162" s="49" t="s">
        <v>2832</v>
      </c>
      <c r="BY162" s="13" t="s">
        <v>0</v>
      </c>
      <c r="BZ162" s="82" t="s">
        <v>12</v>
      </c>
      <c r="CA162" s="91" t="s">
        <v>3577</v>
      </c>
      <c r="CB162" s="91"/>
      <c r="CC162" s="264"/>
      <c r="CD162" s="52" t="s">
        <v>3006</v>
      </c>
      <c r="CE162" s="13" t="s">
        <v>0</v>
      </c>
      <c r="CF162" s="82" t="s">
        <v>12</v>
      </c>
      <c r="CG162" s="91" t="s">
        <v>3577</v>
      </c>
      <c r="CH162" s="91"/>
      <c r="CI162" s="87"/>
      <c r="CJ162" s="19" t="s">
        <v>3167</v>
      </c>
      <c r="CK162" s="13" t="s">
        <v>0</v>
      </c>
      <c r="CL162" s="82" t="s">
        <v>12</v>
      </c>
      <c r="CM162" s="91" t="s">
        <v>3577</v>
      </c>
      <c r="CN162" s="91"/>
      <c r="CO162" s="87"/>
      <c r="CP162" s="56" t="s">
        <v>3167</v>
      </c>
      <c r="CQ162" s="13" t="s">
        <v>0</v>
      </c>
      <c r="CR162" s="82" t="s">
        <v>12</v>
      </c>
      <c r="CS162" s="91" t="s">
        <v>3577</v>
      </c>
      <c r="CT162" s="91"/>
      <c r="CU162" s="105"/>
    </row>
    <row r="163" spans="1:99" ht="29" customHeight="1" thickBot="1" x14ac:dyDescent="0.4">
      <c r="A163" s="40" t="s">
        <v>80</v>
      </c>
      <c r="B163" s="40" t="s">
        <v>241</v>
      </c>
      <c r="C163" s="40" t="s">
        <v>441</v>
      </c>
      <c r="D163" s="135" t="s">
        <v>3388</v>
      </c>
      <c r="E163" s="314" t="s">
        <v>3855</v>
      </c>
      <c r="F163" s="315" t="s">
        <v>3371</v>
      </c>
      <c r="G163" s="315" t="s">
        <v>3859</v>
      </c>
      <c r="H163" s="341" t="s">
        <v>3593</v>
      </c>
      <c r="I163" s="344" t="s">
        <v>3566</v>
      </c>
      <c r="J163" s="136" t="s">
        <v>620</v>
      </c>
      <c r="K163" s="13" t="s">
        <v>15</v>
      </c>
      <c r="L163" s="82" t="s">
        <v>19</v>
      </c>
      <c r="M163" s="146" t="s">
        <v>3577</v>
      </c>
      <c r="N163" s="91"/>
      <c r="O163" s="351" t="s">
        <v>3689</v>
      </c>
      <c r="P163" s="49" t="s">
        <v>821</v>
      </c>
      <c r="Q163" s="13" t="s">
        <v>15</v>
      </c>
      <c r="R163" s="82" t="s">
        <v>4</v>
      </c>
      <c r="S163" s="91" t="s">
        <v>3576</v>
      </c>
      <c r="T163" s="91"/>
      <c r="U163" s="87"/>
      <c r="V163" s="52" t="s">
        <v>1019</v>
      </c>
      <c r="W163" s="13" t="s">
        <v>15</v>
      </c>
      <c r="X163" s="82" t="s">
        <v>19</v>
      </c>
      <c r="Y163" s="91" t="s">
        <v>3577</v>
      </c>
      <c r="Z163" s="91"/>
      <c r="AA163" s="351" t="s">
        <v>3690</v>
      </c>
      <c r="AB163" s="19" t="s">
        <v>1219</v>
      </c>
      <c r="AC163" s="13" t="s">
        <v>15</v>
      </c>
      <c r="AD163" s="82" t="s">
        <v>4</v>
      </c>
      <c r="AE163" s="91" t="s">
        <v>3576</v>
      </c>
      <c r="AF163" s="91"/>
      <c r="AG163" s="87"/>
      <c r="AH163" s="56" t="s">
        <v>1418</v>
      </c>
      <c r="AI163" s="13" t="s">
        <v>15</v>
      </c>
      <c r="AJ163" s="82" t="s">
        <v>4</v>
      </c>
      <c r="AK163" s="91" t="s">
        <v>3576</v>
      </c>
      <c r="AL163" s="91"/>
      <c r="AM163" s="105"/>
      <c r="AN163" s="23" t="s">
        <v>1616</v>
      </c>
      <c r="AO163" s="13" t="s">
        <v>15</v>
      </c>
      <c r="AP163" s="82" t="s">
        <v>20</v>
      </c>
      <c r="AQ163" s="91" t="s">
        <v>3577</v>
      </c>
      <c r="AR163" s="91"/>
      <c r="AS163" s="351" t="s">
        <v>3691</v>
      </c>
      <c r="AT163" s="21" t="s">
        <v>1815</v>
      </c>
      <c r="AU163" s="13" t="s">
        <v>15</v>
      </c>
      <c r="AV163" s="82" t="s">
        <v>4</v>
      </c>
      <c r="AW163" s="91" t="s">
        <v>3577</v>
      </c>
      <c r="AX163" s="91"/>
      <c r="AY163" s="351" t="s">
        <v>3835</v>
      </c>
      <c r="AZ163" s="22" t="s">
        <v>2012</v>
      </c>
      <c r="BA163" s="13" t="s">
        <v>15</v>
      </c>
      <c r="BB163" s="82" t="s">
        <v>19</v>
      </c>
      <c r="BC163" s="91" t="s">
        <v>3577</v>
      </c>
      <c r="BD163" s="91"/>
      <c r="BE163" s="87"/>
      <c r="BF163" s="24" t="s">
        <v>2208</v>
      </c>
      <c r="BG163" s="13" t="s">
        <v>15</v>
      </c>
      <c r="BH163" s="82" t="s">
        <v>4</v>
      </c>
      <c r="BI163" s="91" t="s">
        <v>3577</v>
      </c>
      <c r="BJ163" s="91"/>
      <c r="BK163" s="87" t="s">
        <v>3565</v>
      </c>
      <c r="BL163" s="27" t="s">
        <v>2396</v>
      </c>
      <c r="BM163" s="13" t="s">
        <v>15</v>
      </c>
      <c r="BN163" s="82" t="s">
        <v>19</v>
      </c>
      <c r="BO163" s="91" t="s">
        <v>3576</v>
      </c>
      <c r="BP163" s="91"/>
      <c r="BQ163" s="105" t="s">
        <v>3693</v>
      </c>
      <c r="BR163" s="72" t="s">
        <v>2594</v>
      </c>
      <c r="BS163" s="13" t="s">
        <v>0</v>
      </c>
      <c r="BT163" s="82" t="s">
        <v>12</v>
      </c>
      <c r="BU163" s="91" t="s">
        <v>3577</v>
      </c>
      <c r="BV163" s="91"/>
      <c r="BW163" s="351" t="s">
        <v>3694</v>
      </c>
      <c r="BX163" s="49" t="s">
        <v>2786</v>
      </c>
      <c r="BY163" s="13" t="s">
        <v>15</v>
      </c>
      <c r="BZ163" s="82" t="s">
        <v>4</v>
      </c>
      <c r="CA163" s="91" t="s">
        <v>3576</v>
      </c>
      <c r="CB163" s="91"/>
      <c r="CC163" s="264"/>
      <c r="CD163" s="52" t="s">
        <v>2960</v>
      </c>
      <c r="CE163" s="13" t="s">
        <v>15</v>
      </c>
      <c r="CF163" s="82" t="s">
        <v>20</v>
      </c>
      <c r="CG163" s="91" t="s">
        <v>3576</v>
      </c>
      <c r="CH163" s="91"/>
      <c r="CI163" s="87"/>
      <c r="CJ163" s="19" t="s">
        <v>3134</v>
      </c>
      <c r="CK163" s="13" t="s">
        <v>0</v>
      </c>
      <c r="CL163" s="82" t="s">
        <v>12</v>
      </c>
      <c r="CM163" s="91" t="s">
        <v>3577</v>
      </c>
      <c r="CN163" s="91"/>
      <c r="CO163" s="87"/>
      <c r="CP163" s="56" t="s">
        <v>3273</v>
      </c>
      <c r="CQ163" s="13" t="s">
        <v>15</v>
      </c>
      <c r="CR163" s="82" t="s">
        <v>20</v>
      </c>
      <c r="CS163" s="91" t="s">
        <v>3577</v>
      </c>
      <c r="CT163" s="91"/>
      <c r="CU163" s="105"/>
    </row>
    <row r="164" spans="1:99" ht="42" customHeight="1" thickBot="1" x14ac:dyDescent="0.4">
      <c r="A164" s="40" t="s">
        <v>141</v>
      </c>
      <c r="B164" s="40" t="s">
        <v>307</v>
      </c>
      <c r="C164" s="40" t="s">
        <v>507</v>
      </c>
      <c r="D164" s="135" t="s">
        <v>3453</v>
      </c>
      <c r="E164" s="314" t="s">
        <v>3855</v>
      </c>
      <c r="F164" s="315" t="s">
        <v>3387</v>
      </c>
      <c r="G164" s="315" t="s">
        <v>3861</v>
      </c>
      <c r="H164" s="142" t="s">
        <v>3668</v>
      </c>
      <c r="I164" s="138" t="s">
        <v>3667</v>
      </c>
      <c r="J164" s="136" t="s">
        <v>688</v>
      </c>
      <c r="K164" s="13" t="s">
        <v>15</v>
      </c>
      <c r="L164" s="82" t="s">
        <v>9</v>
      </c>
      <c r="M164" s="146" t="s">
        <v>3576</v>
      </c>
      <c r="N164" s="91"/>
      <c r="O164" s="87"/>
      <c r="P164" s="49" t="s">
        <v>887</v>
      </c>
      <c r="Q164" s="13" t="s">
        <v>15</v>
      </c>
      <c r="R164" s="82" t="s">
        <v>9</v>
      </c>
      <c r="S164" s="91" t="s">
        <v>3576</v>
      </c>
      <c r="T164" s="91"/>
      <c r="U164" s="87"/>
      <c r="V164" s="52" t="s">
        <v>1086</v>
      </c>
      <c r="W164" s="13" t="s">
        <v>15</v>
      </c>
      <c r="X164" s="82" t="s">
        <v>9</v>
      </c>
      <c r="Y164" s="91" t="s">
        <v>3576</v>
      </c>
      <c r="Z164" s="91"/>
      <c r="AA164" s="87"/>
      <c r="AB164" s="19" t="s">
        <v>1086</v>
      </c>
      <c r="AC164" s="13" t="s">
        <v>15</v>
      </c>
      <c r="AD164" s="82" t="s">
        <v>9</v>
      </c>
      <c r="AE164" s="91" t="s">
        <v>3576</v>
      </c>
      <c r="AF164" s="91"/>
      <c r="AG164" s="87"/>
      <c r="AH164" s="56" t="s">
        <v>1483</v>
      </c>
      <c r="AI164" s="13" t="s">
        <v>15</v>
      </c>
      <c r="AJ164" s="82" t="s">
        <v>9</v>
      </c>
      <c r="AK164" s="91" t="s">
        <v>3576</v>
      </c>
      <c r="AL164" s="91"/>
      <c r="AM164" s="105"/>
      <c r="AN164" s="23" t="s">
        <v>1682</v>
      </c>
      <c r="AO164" s="13" t="s">
        <v>11</v>
      </c>
      <c r="AP164" s="82"/>
      <c r="AQ164" s="91" t="s">
        <v>3576</v>
      </c>
      <c r="AR164" s="91"/>
      <c r="AS164" s="87"/>
      <c r="AT164" s="21" t="s">
        <v>1880</v>
      </c>
      <c r="AU164" s="13" t="s">
        <v>15</v>
      </c>
      <c r="AV164" s="82" t="s">
        <v>9</v>
      </c>
      <c r="AW164" s="91" t="s">
        <v>3576</v>
      </c>
      <c r="AX164" s="91"/>
      <c r="AY164" s="87"/>
      <c r="AZ164" s="22" t="s">
        <v>2076</v>
      </c>
      <c r="BA164" s="13" t="s">
        <v>0</v>
      </c>
      <c r="BB164" s="82" t="s">
        <v>1</v>
      </c>
      <c r="BC164" s="91" t="s">
        <v>3576</v>
      </c>
      <c r="BD164" s="91"/>
      <c r="BE164" s="87"/>
      <c r="BF164" s="24" t="s">
        <v>2272</v>
      </c>
      <c r="BG164" s="13" t="s">
        <v>11</v>
      </c>
      <c r="BH164" s="82"/>
      <c r="BI164" s="91" t="s">
        <v>3576</v>
      </c>
      <c r="BJ164" s="91"/>
      <c r="BK164" s="87"/>
      <c r="BL164" s="27" t="s">
        <v>2459</v>
      </c>
      <c r="BM164" s="13" t="s">
        <v>15</v>
      </c>
      <c r="BN164" s="82" t="s">
        <v>9</v>
      </c>
      <c r="BO164" s="91" t="s">
        <v>3576</v>
      </c>
      <c r="BP164" s="91"/>
      <c r="BQ164" s="105"/>
      <c r="BR164" s="72" t="s">
        <v>2657</v>
      </c>
      <c r="BS164" s="13" t="s">
        <v>15</v>
      </c>
      <c r="BT164" s="82" t="s">
        <v>9</v>
      </c>
      <c r="BU164" s="91" t="s">
        <v>3576</v>
      </c>
      <c r="BV164" s="91"/>
      <c r="BW164" s="87"/>
      <c r="BX164" s="49" t="s">
        <v>2846</v>
      </c>
      <c r="BY164" s="13" t="s">
        <v>15</v>
      </c>
      <c r="BZ164" s="82" t="s">
        <v>9</v>
      </c>
      <c r="CA164" s="91" t="s">
        <v>3576</v>
      </c>
      <c r="CB164" s="91"/>
      <c r="CC164" s="87"/>
      <c r="CD164" s="52" t="s">
        <v>3021</v>
      </c>
      <c r="CE164" s="13" t="s">
        <v>15</v>
      </c>
      <c r="CF164" s="82" t="s">
        <v>9</v>
      </c>
      <c r="CG164" s="91" t="s">
        <v>3576</v>
      </c>
      <c r="CH164" s="91"/>
      <c r="CI164" s="87"/>
      <c r="CJ164" s="19" t="s">
        <v>3180</v>
      </c>
      <c r="CK164" s="13" t="s">
        <v>15</v>
      </c>
      <c r="CL164" s="82" t="s">
        <v>9</v>
      </c>
      <c r="CM164" s="91" t="s">
        <v>3576</v>
      </c>
      <c r="CN164" s="91"/>
      <c r="CO164" s="87"/>
      <c r="CP164" s="56" t="s">
        <v>3180</v>
      </c>
      <c r="CQ164" s="13" t="s">
        <v>15</v>
      </c>
      <c r="CR164" s="82" t="s">
        <v>9</v>
      </c>
      <c r="CS164" s="91" t="s">
        <v>3576</v>
      </c>
      <c r="CT164" s="91"/>
      <c r="CU164" s="105"/>
    </row>
    <row r="165" spans="1:99" ht="73" customHeight="1" thickBot="1" x14ac:dyDescent="0.4">
      <c r="A165" s="40" t="s">
        <v>206</v>
      </c>
      <c r="B165" s="40" t="s">
        <v>396</v>
      </c>
      <c r="C165" s="40" t="s">
        <v>580</v>
      </c>
      <c r="D165" s="135" t="s">
        <v>3790</v>
      </c>
      <c r="E165" s="314" t="s">
        <v>3855</v>
      </c>
      <c r="F165" s="315" t="s">
        <v>3383</v>
      </c>
      <c r="G165" s="315" t="s">
        <v>3863</v>
      </c>
      <c r="H165" s="142" t="s">
        <v>3765</v>
      </c>
      <c r="I165" s="138"/>
      <c r="J165" s="136" t="s">
        <v>777</v>
      </c>
      <c r="K165" s="13" t="s">
        <v>15</v>
      </c>
      <c r="L165" s="82" t="s">
        <v>17</v>
      </c>
      <c r="M165" s="146" t="s">
        <v>3576</v>
      </c>
      <c r="N165" s="91"/>
      <c r="O165" s="87"/>
      <c r="P165" s="49" t="s">
        <v>975</v>
      </c>
      <c r="Q165" s="13" t="s">
        <v>0</v>
      </c>
      <c r="R165" s="82" t="s">
        <v>1</v>
      </c>
      <c r="S165" s="91" t="s">
        <v>3576</v>
      </c>
      <c r="T165" s="91"/>
      <c r="U165" s="87"/>
      <c r="V165" s="52" t="s">
        <v>1174</v>
      </c>
      <c r="W165" s="13" t="s">
        <v>0</v>
      </c>
      <c r="X165" s="82" t="s">
        <v>1</v>
      </c>
      <c r="Y165" s="91" t="s">
        <v>3576</v>
      </c>
      <c r="Z165" s="91"/>
      <c r="AA165" s="87"/>
      <c r="AB165" s="19" t="s">
        <v>1373</v>
      </c>
      <c r="AC165" s="13" t="s">
        <v>0</v>
      </c>
      <c r="AD165" s="82" t="s">
        <v>1</v>
      </c>
      <c r="AE165" s="91" t="s">
        <v>3576</v>
      </c>
      <c r="AF165" s="91"/>
      <c r="AG165" s="87"/>
      <c r="AH165" s="56" t="s">
        <v>1571</v>
      </c>
      <c r="AI165" s="13" t="s">
        <v>0</v>
      </c>
      <c r="AJ165" s="82" t="s">
        <v>1</v>
      </c>
      <c r="AK165" s="91" t="s">
        <v>3576</v>
      </c>
      <c r="AL165" s="91"/>
      <c r="AM165" s="105"/>
      <c r="AN165" s="23" t="s">
        <v>1770</v>
      </c>
      <c r="AO165" s="13" t="s">
        <v>0</v>
      </c>
      <c r="AP165" s="82" t="s">
        <v>1</v>
      </c>
      <c r="AQ165" s="91" t="s">
        <v>3576</v>
      </c>
      <c r="AR165" s="91"/>
      <c r="AS165" s="87"/>
      <c r="AT165" s="21" t="s">
        <v>1967</v>
      </c>
      <c r="AU165" s="13" t="s">
        <v>0</v>
      </c>
      <c r="AV165" s="82" t="s">
        <v>1</v>
      </c>
      <c r="AW165" s="91" t="s">
        <v>3576</v>
      </c>
      <c r="AX165" s="91"/>
      <c r="AY165" s="87"/>
      <c r="AZ165" s="22" t="s">
        <v>2163</v>
      </c>
      <c r="BA165" s="13" t="s">
        <v>0</v>
      </c>
      <c r="BB165" s="82" t="s">
        <v>1</v>
      </c>
      <c r="BC165" s="91" t="s">
        <v>3576</v>
      </c>
      <c r="BD165" s="91"/>
      <c r="BE165" s="87"/>
      <c r="BF165" s="24" t="s">
        <v>2354</v>
      </c>
      <c r="BG165" s="13" t="s">
        <v>0</v>
      </c>
      <c r="BH165" s="82" t="s">
        <v>1</v>
      </c>
      <c r="BI165" s="91" t="s">
        <v>3576</v>
      </c>
      <c r="BJ165" s="91"/>
      <c r="BK165" s="87"/>
      <c r="BL165" s="27" t="s">
        <v>2546</v>
      </c>
      <c r="BM165" s="13" t="s">
        <v>0</v>
      </c>
      <c r="BN165" s="82" t="s">
        <v>1</v>
      </c>
      <c r="BO165" s="91" t="s">
        <v>3576</v>
      </c>
      <c r="BP165" s="91"/>
      <c r="BQ165" s="105"/>
      <c r="BR165" s="72" t="s">
        <v>2744</v>
      </c>
      <c r="BS165" s="13" t="s">
        <v>0</v>
      </c>
      <c r="BT165" s="82" t="s">
        <v>1</v>
      </c>
      <c r="BU165" s="91" t="s">
        <v>3576</v>
      </c>
      <c r="BV165" s="91"/>
      <c r="BW165" s="87"/>
      <c r="BX165" s="49" t="s">
        <v>2920</v>
      </c>
      <c r="BY165" s="13" t="s">
        <v>0</v>
      </c>
      <c r="BZ165" s="82" t="s">
        <v>1</v>
      </c>
      <c r="CA165" s="91" t="s">
        <v>3576</v>
      </c>
      <c r="CB165" s="91"/>
      <c r="CC165" s="87"/>
      <c r="CD165" s="52" t="s">
        <v>3094</v>
      </c>
      <c r="CE165" s="13" t="s">
        <v>0</v>
      </c>
      <c r="CF165" s="82" t="s">
        <v>1</v>
      </c>
      <c r="CG165" s="91" t="s">
        <v>3576</v>
      </c>
      <c r="CH165" s="91"/>
      <c r="CI165" s="87"/>
      <c r="CJ165" s="19" t="s">
        <v>3238</v>
      </c>
      <c r="CK165" s="13" t="s">
        <v>0</v>
      </c>
      <c r="CL165" s="82" t="s">
        <v>1</v>
      </c>
      <c r="CM165" s="91" t="s">
        <v>3576</v>
      </c>
      <c r="CN165" s="91"/>
      <c r="CO165" s="87"/>
      <c r="CP165" s="56" t="s">
        <v>3352</v>
      </c>
      <c r="CQ165" s="13" t="s">
        <v>0</v>
      </c>
      <c r="CR165" s="82" t="s">
        <v>1</v>
      </c>
      <c r="CS165" s="91" t="s">
        <v>3576</v>
      </c>
      <c r="CT165" s="91"/>
      <c r="CU165" s="105"/>
    </row>
    <row r="166" spans="1:99" ht="70" customHeight="1" thickBot="1" x14ac:dyDescent="0.4">
      <c r="A166" s="40" t="s">
        <v>120</v>
      </c>
      <c r="B166" s="40" t="s">
        <v>283</v>
      </c>
      <c r="C166" s="40" t="s">
        <v>484</v>
      </c>
      <c r="D166" s="135" t="s">
        <v>3646</v>
      </c>
      <c r="E166" s="323" t="s">
        <v>3869</v>
      </c>
      <c r="F166" s="324" t="s">
        <v>3392</v>
      </c>
      <c r="G166" s="324" t="s">
        <v>3870</v>
      </c>
      <c r="H166" s="142" t="s">
        <v>3647</v>
      </c>
      <c r="I166" s="138" t="s">
        <v>3648</v>
      </c>
      <c r="J166" s="136" t="s">
        <v>664</v>
      </c>
      <c r="K166" s="13" t="s">
        <v>0</v>
      </c>
      <c r="L166" s="82" t="s">
        <v>12</v>
      </c>
      <c r="M166" s="146" t="s">
        <v>3577</v>
      </c>
      <c r="N166" s="91"/>
      <c r="O166" s="87"/>
      <c r="P166" s="49" t="s">
        <v>863</v>
      </c>
      <c r="Q166" s="13" t="s">
        <v>0</v>
      </c>
      <c r="R166" s="82" t="s">
        <v>12</v>
      </c>
      <c r="S166" s="91" t="s">
        <v>3577</v>
      </c>
      <c r="T166" s="91"/>
      <c r="U166" s="87"/>
      <c r="V166" s="52" t="s">
        <v>1062</v>
      </c>
      <c r="W166" s="13" t="s">
        <v>15</v>
      </c>
      <c r="X166" s="82" t="s">
        <v>4</v>
      </c>
      <c r="Y166" s="91" t="s">
        <v>3577</v>
      </c>
      <c r="Z166" s="91"/>
      <c r="AA166" s="87"/>
      <c r="AB166" s="19" t="s">
        <v>1263</v>
      </c>
      <c r="AC166" s="13" t="s">
        <v>0</v>
      </c>
      <c r="AD166" s="82" t="s">
        <v>12</v>
      </c>
      <c r="AE166" s="91" t="s">
        <v>3577</v>
      </c>
      <c r="AF166" s="91"/>
      <c r="AG166" s="87"/>
      <c r="AH166" s="56" t="s">
        <v>1460</v>
      </c>
      <c r="AI166" s="13" t="s">
        <v>15</v>
      </c>
      <c r="AJ166" s="82" t="s">
        <v>4</v>
      </c>
      <c r="AK166" s="91" t="s">
        <v>3577</v>
      </c>
      <c r="AL166" s="91"/>
      <c r="AM166" s="105"/>
      <c r="AN166" s="23" t="s">
        <v>1659</v>
      </c>
      <c r="AO166" s="13" t="s">
        <v>15</v>
      </c>
      <c r="AP166" s="82" t="s">
        <v>4</v>
      </c>
      <c r="AQ166" s="91" t="s">
        <v>3577</v>
      </c>
      <c r="AR166" s="91"/>
      <c r="AS166" s="87"/>
      <c r="AT166" s="21" t="s">
        <v>1856</v>
      </c>
      <c r="AU166" s="13" t="s">
        <v>0</v>
      </c>
      <c r="AV166" s="82" t="s">
        <v>12</v>
      </c>
      <c r="AW166" s="91" t="s">
        <v>3577</v>
      </c>
      <c r="AX166" s="91"/>
      <c r="AY166" s="87"/>
      <c r="AZ166" s="22" t="s">
        <v>2054</v>
      </c>
      <c r="BA166" s="13" t="s">
        <v>0</v>
      </c>
      <c r="BB166" s="82" t="s">
        <v>12</v>
      </c>
      <c r="BC166" s="91" t="s">
        <v>3577</v>
      </c>
      <c r="BD166" s="91"/>
      <c r="BE166" s="87"/>
      <c r="BF166" s="24" t="s">
        <v>2248</v>
      </c>
      <c r="BG166" s="13" t="s">
        <v>0</v>
      </c>
      <c r="BH166" s="82" t="s">
        <v>12</v>
      </c>
      <c r="BI166" s="91" t="s">
        <v>3577</v>
      </c>
      <c r="BJ166" s="91"/>
      <c r="BK166" s="87"/>
      <c r="BL166" s="27" t="s">
        <v>2437</v>
      </c>
      <c r="BM166" s="13" t="s">
        <v>0</v>
      </c>
      <c r="BN166" s="82" t="s">
        <v>12</v>
      </c>
      <c r="BO166" s="91" t="s">
        <v>3577</v>
      </c>
      <c r="BP166" s="91"/>
      <c r="BQ166" s="105"/>
      <c r="BR166" s="72" t="s">
        <v>2633</v>
      </c>
      <c r="BS166" s="13" t="s">
        <v>0</v>
      </c>
      <c r="BT166" s="82" t="s">
        <v>12</v>
      </c>
      <c r="BU166" s="91" t="s">
        <v>3577</v>
      </c>
      <c r="BV166" s="91"/>
      <c r="BW166" s="87"/>
      <c r="BX166" s="49" t="s">
        <v>2827</v>
      </c>
      <c r="BY166" s="13" t="s">
        <v>0</v>
      </c>
      <c r="BZ166" s="82" t="s">
        <v>12</v>
      </c>
      <c r="CA166" s="91" t="s">
        <v>3577</v>
      </c>
      <c r="CB166" s="91"/>
      <c r="CC166" s="264"/>
      <c r="CD166" s="52" t="s">
        <v>2999</v>
      </c>
      <c r="CE166" s="13" t="s">
        <v>0</v>
      </c>
      <c r="CF166" s="82" t="s">
        <v>12</v>
      </c>
      <c r="CG166" s="91" t="s">
        <v>3577</v>
      </c>
      <c r="CH166" s="91"/>
      <c r="CI166" s="87"/>
      <c r="CJ166" s="19" t="s">
        <v>3161</v>
      </c>
      <c r="CK166" s="13" t="s">
        <v>0</v>
      </c>
      <c r="CL166" s="82" t="s">
        <v>12</v>
      </c>
      <c r="CM166" s="91" t="s">
        <v>3577</v>
      </c>
      <c r="CN166" s="91"/>
      <c r="CO166" s="87"/>
      <c r="CP166" s="56" t="s">
        <v>3161</v>
      </c>
      <c r="CQ166" s="13" t="s">
        <v>0</v>
      </c>
      <c r="CR166" s="82" t="s">
        <v>12</v>
      </c>
      <c r="CS166" s="91" t="s">
        <v>3577</v>
      </c>
      <c r="CT166" s="91"/>
      <c r="CU166" s="105"/>
    </row>
    <row r="167" spans="1:99" ht="70" customHeight="1" thickBot="1" x14ac:dyDescent="0.4">
      <c r="A167" s="40" t="s">
        <v>202</v>
      </c>
      <c r="B167" s="40" t="s">
        <v>389</v>
      </c>
      <c r="C167" s="40" t="s">
        <v>575</v>
      </c>
      <c r="D167" s="135" t="s">
        <v>3784</v>
      </c>
      <c r="E167" s="314" t="s">
        <v>3855</v>
      </c>
      <c r="F167" s="315" t="s">
        <v>3376</v>
      </c>
      <c r="G167" s="315" t="s">
        <v>3856</v>
      </c>
      <c r="H167" s="142"/>
      <c r="I167" s="138"/>
      <c r="J167" s="136" t="s">
        <v>770</v>
      </c>
      <c r="K167" s="13" t="s">
        <v>15</v>
      </c>
      <c r="L167" s="82" t="s">
        <v>4</v>
      </c>
      <c r="M167" s="146" t="s">
        <v>3576</v>
      </c>
      <c r="N167" s="91"/>
      <c r="O167" s="87" t="s">
        <v>3828</v>
      </c>
      <c r="P167" s="49" t="s">
        <v>968</v>
      </c>
      <c r="Q167" s="13" t="s">
        <v>15</v>
      </c>
      <c r="R167" s="82" t="s">
        <v>4</v>
      </c>
      <c r="S167" s="91" t="s">
        <v>3576</v>
      </c>
      <c r="T167" s="91"/>
      <c r="U167" s="87"/>
      <c r="V167" s="52" t="s">
        <v>1167</v>
      </c>
      <c r="W167" s="13" t="s">
        <v>15</v>
      </c>
      <c r="X167" s="82" t="s">
        <v>4</v>
      </c>
      <c r="Y167" s="91" t="s">
        <v>3576</v>
      </c>
      <c r="Z167" s="91"/>
      <c r="AA167" s="87"/>
      <c r="AB167" s="19" t="s">
        <v>1366</v>
      </c>
      <c r="AC167" s="13" t="s">
        <v>15</v>
      </c>
      <c r="AD167" s="82" t="s">
        <v>4</v>
      </c>
      <c r="AE167" s="91" t="s">
        <v>3576</v>
      </c>
      <c r="AF167" s="91"/>
      <c r="AG167" s="87"/>
      <c r="AH167" s="56" t="s">
        <v>1564</v>
      </c>
      <c r="AI167" s="13" t="s">
        <v>15</v>
      </c>
      <c r="AJ167" s="82" t="s">
        <v>4</v>
      </c>
      <c r="AK167" s="91" t="s">
        <v>3576</v>
      </c>
      <c r="AL167" s="91"/>
      <c r="AM167" s="105"/>
      <c r="AN167" s="23" t="s">
        <v>1763</v>
      </c>
      <c r="AO167" s="13" t="s">
        <v>15</v>
      </c>
      <c r="AP167" s="82" t="s">
        <v>4</v>
      </c>
      <c r="AQ167" s="91" t="s">
        <v>3576</v>
      </c>
      <c r="AR167" s="91"/>
      <c r="AS167" s="87"/>
      <c r="AT167" s="21" t="s">
        <v>1960</v>
      </c>
      <c r="AU167" s="13" t="s">
        <v>15</v>
      </c>
      <c r="AV167" s="82" t="s">
        <v>4</v>
      </c>
      <c r="AW167" s="91" t="s">
        <v>3576</v>
      </c>
      <c r="AX167" s="91"/>
      <c r="AY167" s="87"/>
      <c r="AZ167" s="22" t="s">
        <v>2156</v>
      </c>
      <c r="BA167" s="13" t="s">
        <v>15</v>
      </c>
      <c r="BB167" s="82" t="s">
        <v>4</v>
      </c>
      <c r="BC167" s="91" t="s">
        <v>3576</v>
      </c>
      <c r="BD167" s="91"/>
      <c r="BE167" s="87"/>
      <c r="BF167" s="24" t="s">
        <v>2347</v>
      </c>
      <c r="BG167" s="13" t="s">
        <v>15</v>
      </c>
      <c r="BH167" s="82" t="s">
        <v>4</v>
      </c>
      <c r="BI167" s="91" t="s">
        <v>3576</v>
      </c>
      <c r="BJ167" s="91"/>
      <c r="BK167" s="87"/>
      <c r="BL167" s="27" t="s">
        <v>2539</v>
      </c>
      <c r="BM167" s="13" t="s">
        <v>15</v>
      </c>
      <c r="BN167" s="82" t="s">
        <v>4</v>
      </c>
      <c r="BO167" s="91" t="s">
        <v>3576</v>
      </c>
      <c r="BP167" s="91"/>
      <c r="BQ167" s="105"/>
      <c r="BR167" s="72" t="s">
        <v>2737</v>
      </c>
      <c r="BS167" s="13" t="s">
        <v>15</v>
      </c>
      <c r="BT167" s="82" t="s">
        <v>4</v>
      </c>
      <c r="BU167" s="91" t="s">
        <v>3576</v>
      </c>
      <c r="BV167" s="91"/>
      <c r="BW167" s="87"/>
      <c r="BX167" s="49" t="s">
        <v>2914</v>
      </c>
      <c r="BY167" s="13" t="s">
        <v>15</v>
      </c>
      <c r="BZ167" s="82" t="s">
        <v>4</v>
      </c>
      <c r="CA167" s="91" t="s">
        <v>3576</v>
      </c>
      <c r="CB167" s="91"/>
      <c r="CC167" s="87"/>
      <c r="CD167" s="52" t="s">
        <v>3088</v>
      </c>
      <c r="CE167" s="13" t="s">
        <v>15</v>
      </c>
      <c r="CF167" s="82" t="s">
        <v>4</v>
      </c>
      <c r="CG167" s="91" t="s">
        <v>3576</v>
      </c>
      <c r="CH167" s="91"/>
      <c r="CI167" s="87"/>
      <c r="CJ167" s="19" t="s">
        <v>3233</v>
      </c>
      <c r="CK167" s="13" t="s">
        <v>15</v>
      </c>
      <c r="CL167" s="82" t="s">
        <v>4</v>
      </c>
      <c r="CM167" s="91" t="s">
        <v>3576</v>
      </c>
      <c r="CN167" s="91"/>
      <c r="CO167" s="87"/>
      <c r="CP167" s="56" t="s">
        <v>3349</v>
      </c>
      <c r="CQ167" s="13" t="s">
        <v>15</v>
      </c>
      <c r="CR167" s="82" t="s">
        <v>4</v>
      </c>
      <c r="CS167" s="91" t="s">
        <v>3576</v>
      </c>
      <c r="CT167" s="91"/>
      <c r="CU167" s="105"/>
    </row>
    <row r="168" spans="1:99" ht="42" customHeight="1" thickBot="1" x14ac:dyDescent="0.4">
      <c r="A168" s="40" t="s">
        <v>132</v>
      </c>
      <c r="B168" s="40" t="s">
        <v>295</v>
      </c>
      <c r="C168" s="40" t="s">
        <v>496</v>
      </c>
      <c r="D168" s="135" t="s">
        <v>3442</v>
      </c>
      <c r="E168" s="314" t="s">
        <v>3855</v>
      </c>
      <c r="F168" s="315" t="s">
        <v>3423</v>
      </c>
      <c r="G168" s="315" t="s">
        <v>3865</v>
      </c>
      <c r="H168" s="142"/>
      <c r="I168" s="138"/>
      <c r="J168" s="136" t="s">
        <v>676</v>
      </c>
      <c r="K168" s="13" t="s">
        <v>0</v>
      </c>
      <c r="L168" s="82" t="s">
        <v>1</v>
      </c>
      <c r="M168" s="146" t="s">
        <v>3576</v>
      </c>
      <c r="N168" s="91"/>
      <c r="O168" s="87"/>
      <c r="P168" s="49" t="s">
        <v>875</v>
      </c>
      <c r="Q168" s="13" t="s">
        <v>0</v>
      </c>
      <c r="R168" s="82" t="s">
        <v>1</v>
      </c>
      <c r="S168" s="91" t="s">
        <v>3576</v>
      </c>
      <c r="T168" s="91"/>
      <c r="U168" s="87"/>
      <c r="V168" s="52" t="s">
        <v>1074</v>
      </c>
      <c r="W168" s="13" t="s">
        <v>0</v>
      </c>
      <c r="X168" s="82" t="s">
        <v>1</v>
      </c>
      <c r="Y168" s="91" t="s">
        <v>3576</v>
      </c>
      <c r="Z168" s="91"/>
      <c r="AA168" s="87"/>
      <c r="AB168" s="19" t="s">
        <v>1275</v>
      </c>
      <c r="AC168" s="13" t="s">
        <v>0</v>
      </c>
      <c r="AD168" s="82" t="s">
        <v>1</v>
      </c>
      <c r="AE168" s="91" t="s">
        <v>3576</v>
      </c>
      <c r="AF168" s="91"/>
      <c r="AG168" s="87"/>
      <c r="AH168" s="56" t="s">
        <v>1471</v>
      </c>
      <c r="AI168" s="13" t="s">
        <v>0</v>
      </c>
      <c r="AJ168" s="82" t="s">
        <v>1</v>
      </c>
      <c r="AK168" s="91" t="s">
        <v>3576</v>
      </c>
      <c r="AL168" s="91"/>
      <c r="AM168" s="105"/>
      <c r="AN168" s="23" t="s">
        <v>1671</v>
      </c>
      <c r="AO168" s="13" t="s">
        <v>0</v>
      </c>
      <c r="AP168" s="82" t="s">
        <v>1</v>
      </c>
      <c r="AQ168" s="91" t="s">
        <v>3576</v>
      </c>
      <c r="AR168" s="91"/>
      <c r="AS168" s="87"/>
      <c r="AT168" s="21" t="s">
        <v>1868</v>
      </c>
      <c r="AU168" s="13" t="s">
        <v>0</v>
      </c>
      <c r="AV168" s="82" t="s">
        <v>1</v>
      </c>
      <c r="AW168" s="91" t="s">
        <v>3576</v>
      </c>
      <c r="AX168" s="91"/>
      <c r="AY168" s="87"/>
      <c r="AZ168" s="22" t="s">
        <v>2065</v>
      </c>
      <c r="BA168" s="13" t="s">
        <v>0</v>
      </c>
      <c r="BB168" s="82" t="s">
        <v>1</v>
      </c>
      <c r="BC168" s="91" t="s">
        <v>3576</v>
      </c>
      <c r="BD168" s="91"/>
      <c r="BE168" s="87"/>
      <c r="BF168" s="24" t="s">
        <v>2260</v>
      </c>
      <c r="BG168" s="13" t="s">
        <v>0</v>
      </c>
      <c r="BH168" s="82" t="s">
        <v>1</v>
      </c>
      <c r="BI168" s="91" t="s">
        <v>3576</v>
      </c>
      <c r="BJ168" s="91"/>
      <c r="BK168" s="87"/>
      <c r="BL168" s="27" t="s">
        <v>2447</v>
      </c>
      <c r="BM168" s="13" t="s">
        <v>0</v>
      </c>
      <c r="BN168" s="82" t="s">
        <v>1</v>
      </c>
      <c r="BO168" s="91" t="s">
        <v>3576</v>
      </c>
      <c r="BP168" s="91"/>
      <c r="BQ168" s="105"/>
      <c r="BR168" s="72" t="s">
        <v>2645</v>
      </c>
      <c r="BS168" s="13" t="s">
        <v>0</v>
      </c>
      <c r="BT168" s="82" t="s">
        <v>1</v>
      </c>
      <c r="BU168" s="91" t="s">
        <v>3576</v>
      </c>
      <c r="BV168" s="91"/>
      <c r="BW168" s="87"/>
      <c r="BX168" s="49" t="s">
        <v>2645</v>
      </c>
      <c r="BY168" s="13" t="s">
        <v>0</v>
      </c>
      <c r="BZ168" s="82" t="s">
        <v>1</v>
      </c>
      <c r="CA168" s="91" t="s">
        <v>3576</v>
      </c>
      <c r="CB168" s="91"/>
      <c r="CC168" s="264"/>
      <c r="CD168" s="52" t="s">
        <v>3010</v>
      </c>
      <c r="CE168" s="13" t="s">
        <v>0</v>
      </c>
      <c r="CF168" s="82" t="s">
        <v>1</v>
      </c>
      <c r="CG168" s="91" t="s">
        <v>3576</v>
      </c>
      <c r="CH168" s="91"/>
      <c r="CI168" s="87"/>
      <c r="CJ168" s="19" t="s">
        <v>3171</v>
      </c>
      <c r="CK168" s="13" t="s">
        <v>0</v>
      </c>
      <c r="CL168" s="82" t="s">
        <v>1</v>
      </c>
      <c r="CM168" s="91" t="s">
        <v>3576</v>
      </c>
      <c r="CN168" s="91"/>
      <c r="CO168" s="87"/>
      <c r="CP168" s="56" t="s">
        <v>3171</v>
      </c>
      <c r="CQ168" s="13" t="s">
        <v>0</v>
      </c>
      <c r="CR168" s="82" t="s">
        <v>1</v>
      </c>
      <c r="CS168" s="91" t="s">
        <v>3576</v>
      </c>
      <c r="CT168" s="91"/>
      <c r="CU168" s="105"/>
    </row>
    <row r="169" spans="1:99" ht="42" customHeight="1" thickBot="1" x14ac:dyDescent="0.4">
      <c r="A169" s="40" t="s">
        <v>154</v>
      </c>
      <c r="B169" s="40" t="s">
        <v>324</v>
      </c>
      <c r="C169" s="40" t="s">
        <v>522</v>
      </c>
      <c r="D169" s="135" t="s">
        <v>3469</v>
      </c>
      <c r="E169" s="314" t="s">
        <v>3855</v>
      </c>
      <c r="F169" s="315" t="s">
        <v>3390</v>
      </c>
      <c r="G169" s="315" t="s">
        <v>3862</v>
      </c>
      <c r="H169" s="142"/>
      <c r="I169" s="138"/>
      <c r="J169" s="136" t="s">
        <v>705</v>
      </c>
      <c r="K169" s="13" t="s">
        <v>11</v>
      </c>
      <c r="L169" s="82"/>
      <c r="M169" s="146" t="s">
        <v>3576</v>
      </c>
      <c r="N169" s="91"/>
      <c r="O169" s="87"/>
      <c r="P169" s="49" t="s">
        <v>904</v>
      </c>
      <c r="Q169" s="13" t="s">
        <v>15</v>
      </c>
      <c r="R169" s="82" t="s">
        <v>19</v>
      </c>
      <c r="S169" s="91" t="s">
        <v>3577</v>
      </c>
      <c r="T169" s="91"/>
      <c r="U169" s="87"/>
      <c r="V169" s="52" t="s">
        <v>1103</v>
      </c>
      <c r="W169" s="13" t="s">
        <v>15</v>
      </c>
      <c r="X169" s="82" t="s">
        <v>19</v>
      </c>
      <c r="Y169" s="91" t="s">
        <v>3577</v>
      </c>
      <c r="Z169" s="91"/>
      <c r="AA169" s="87"/>
      <c r="AB169" s="19" t="s">
        <v>1303</v>
      </c>
      <c r="AC169" s="13" t="s">
        <v>11</v>
      </c>
      <c r="AD169" s="82"/>
      <c r="AE169" s="91" t="s">
        <v>3576</v>
      </c>
      <c r="AF169" s="91"/>
      <c r="AG169" s="87"/>
      <c r="AH169" s="56" t="s">
        <v>1500</v>
      </c>
      <c r="AI169" s="13" t="s">
        <v>11</v>
      </c>
      <c r="AJ169" s="82"/>
      <c r="AK169" s="91" t="s">
        <v>3576</v>
      </c>
      <c r="AL169" s="91"/>
      <c r="AM169" s="353" t="s">
        <v>3700</v>
      </c>
      <c r="AN169" s="23" t="s">
        <v>1698</v>
      </c>
      <c r="AO169" s="13" t="s">
        <v>15</v>
      </c>
      <c r="AP169" s="82" t="s">
        <v>19</v>
      </c>
      <c r="AQ169" s="91" t="s">
        <v>3577</v>
      </c>
      <c r="AR169" s="91"/>
      <c r="AS169" s="87"/>
      <c r="AT169" s="21" t="s">
        <v>1897</v>
      </c>
      <c r="AU169" s="13" t="s">
        <v>15</v>
      </c>
      <c r="AV169" s="82" t="s">
        <v>19</v>
      </c>
      <c r="AW169" s="91" t="s">
        <v>3577</v>
      </c>
      <c r="AX169" s="91"/>
      <c r="AY169" s="87"/>
      <c r="AZ169" s="22" t="s">
        <v>2093</v>
      </c>
      <c r="BA169" s="13" t="s">
        <v>11</v>
      </c>
      <c r="BB169" s="82"/>
      <c r="BC169" s="91" t="s">
        <v>3576</v>
      </c>
      <c r="BD169" s="91"/>
      <c r="BE169" s="87"/>
      <c r="BF169" s="24" t="s">
        <v>2285</v>
      </c>
      <c r="BG169" s="13" t="s">
        <v>15</v>
      </c>
      <c r="BH169" s="82" t="s">
        <v>19</v>
      </c>
      <c r="BI169" s="91" t="s">
        <v>3577</v>
      </c>
      <c r="BJ169" s="91"/>
      <c r="BK169" s="87"/>
      <c r="BL169" s="27" t="s">
        <v>2475</v>
      </c>
      <c r="BM169" s="13" t="s">
        <v>15</v>
      </c>
      <c r="BN169" s="82" t="s">
        <v>19</v>
      </c>
      <c r="BO169" s="91" t="s">
        <v>3577</v>
      </c>
      <c r="BP169" s="91"/>
      <c r="BQ169" s="105"/>
      <c r="BR169" s="72" t="s">
        <v>2672</v>
      </c>
      <c r="BS169" s="13" t="s">
        <v>15</v>
      </c>
      <c r="BT169" s="82" t="s">
        <v>19</v>
      </c>
      <c r="BU169" s="91" t="s">
        <v>3577</v>
      </c>
      <c r="BV169" s="91"/>
      <c r="BW169" s="87"/>
      <c r="BX169" s="49" t="s">
        <v>2860</v>
      </c>
      <c r="BY169" s="13" t="s">
        <v>15</v>
      </c>
      <c r="BZ169" s="82" t="s">
        <v>19</v>
      </c>
      <c r="CA169" s="91" t="s">
        <v>3577</v>
      </c>
      <c r="CB169" s="91"/>
      <c r="CC169" s="87"/>
      <c r="CD169" s="52" t="s">
        <v>3036</v>
      </c>
      <c r="CE169" s="13" t="s">
        <v>15</v>
      </c>
      <c r="CF169" s="82" t="s">
        <v>19</v>
      </c>
      <c r="CG169" s="91" t="s">
        <v>3577</v>
      </c>
      <c r="CH169" s="91"/>
      <c r="CI169" s="87"/>
      <c r="CJ169" s="19" t="s">
        <v>3190</v>
      </c>
      <c r="CK169" s="13" t="s">
        <v>15</v>
      </c>
      <c r="CL169" s="82" t="s">
        <v>19</v>
      </c>
      <c r="CM169" s="91" t="s">
        <v>3577</v>
      </c>
      <c r="CN169" s="91"/>
      <c r="CO169" s="87"/>
      <c r="CP169" s="56" t="s">
        <v>3317</v>
      </c>
      <c r="CQ169" s="13" t="s">
        <v>15</v>
      </c>
      <c r="CR169" s="82" t="s">
        <v>19</v>
      </c>
      <c r="CS169" s="91" t="s">
        <v>3577</v>
      </c>
      <c r="CT169" s="91"/>
      <c r="CU169" s="105"/>
    </row>
    <row r="170" spans="1:99" ht="42" customHeight="1" thickBot="1" x14ac:dyDescent="0.4">
      <c r="A170" s="40" t="s">
        <v>70</v>
      </c>
      <c r="B170" s="40" t="s">
        <v>231</v>
      </c>
      <c r="C170" s="40" t="s">
        <v>430</v>
      </c>
      <c r="D170" s="135" t="s">
        <v>3374</v>
      </c>
      <c r="E170" s="314" t="s">
        <v>3855</v>
      </c>
      <c r="F170" s="315" t="s">
        <v>3371</v>
      </c>
      <c r="G170" s="315" t="s">
        <v>3859</v>
      </c>
      <c r="H170" s="339" t="s">
        <v>3581</v>
      </c>
      <c r="I170" s="342" t="s">
        <v>3559</v>
      </c>
      <c r="J170" s="136" t="s">
        <v>611</v>
      </c>
      <c r="K170" s="13" t="s">
        <v>15</v>
      </c>
      <c r="L170" s="82" t="s">
        <v>4</v>
      </c>
      <c r="M170" s="146" t="s">
        <v>3576</v>
      </c>
      <c r="N170" s="91"/>
      <c r="O170" s="87"/>
      <c r="P170" s="49" t="s">
        <v>811</v>
      </c>
      <c r="Q170" s="13" t="s">
        <v>15</v>
      </c>
      <c r="R170" s="82" t="s">
        <v>4</v>
      </c>
      <c r="S170" s="91" t="s">
        <v>3576</v>
      </c>
      <c r="T170" s="91"/>
      <c r="U170" s="87"/>
      <c r="V170" s="52" t="s">
        <v>1008</v>
      </c>
      <c r="W170" s="13" t="s">
        <v>15</v>
      </c>
      <c r="X170" s="82" t="s">
        <v>4</v>
      </c>
      <c r="Y170" s="91" t="s">
        <v>3576</v>
      </c>
      <c r="Z170" s="91"/>
      <c r="AA170" s="87"/>
      <c r="AB170" s="19" t="s">
        <v>1208</v>
      </c>
      <c r="AC170" s="13" t="s">
        <v>15</v>
      </c>
      <c r="AD170" s="82" t="s">
        <v>4</v>
      </c>
      <c r="AE170" s="91" t="s">
        <v>3576</v>
      </c>
      <c r="AF170" s="91"/>
      <c r="AG170" s="87"/>
      <c r="AH170" s="56" t="s">
        <v>1407</v>
      </c>
      <c r="AI170" s="13" t="s">
        <v>15</v>
      </c>
      <c r="AJ170" s="82" t="s">
        <v>4</v>
      </c>
      <c r="AK170" s="91" t="s">
        <v>3576</v>
      </c>
      <c r="AL170" s="91"/>
      <c r="AM170" s="105"/>
      <c r="AN170" s="23" t="s">
        <v>1605</v>
      </c>
      <c r="AO170" s="13" t="s">
        <v>15</v>
      </c>
      <c r="AP170" s="82" t="s">
        <v>4</v>
      </c>
      <c r="AQ170" s="91" t="s">
        <v>3576</v>
      </c>
      <c r="AR170" s="91"/>
      <c r="AS170" s="87"/>
      <c r="AT170" s="21" t="s">
        <v>1804</v>
      </c>
      <c r="AU170" s="13" t="s">
        <v>15</v>
      </c>
      <c r="AV170" s="82" t="s">
        <v>20</v>
      </c>
      <c r="AW170" s="91" t="s">
        <v>3577</v>
      </c>
      <c r="AX170" s="91"/>
      <c r="AY170" s="87" t="s">
        <v>3555</v>
      </c>
      <c r="AZ170" s="22" t="s">
        <v>2001</v>
      </c>
      <c r="BA170" s="13" t="s">
        <v>15</v>
      </c>
      <c r="BB170" s="82" t="s">
        <v>4</v>
      </c>
      <c r="BC170" s="91" t="s">
        <v>3576</v>
      </c>
      <c r="BD170" s="91"/>
      <c r="BE170" s="87"/>
      <c r="BF170" s="24" t="s">
        <v>2197</v>
      </c>
      <c r="BG170" s="13" t="s">
        <v>0</v>
      </c>
      <c r="BH170" s="82" t="s">
        <v>1</v>
      </c>
      <c r="BI170" s="91" t="s">
        <v>3576</v>
      </c>
      <c r="BJ170" s="91"/>
      <c r="BK170" s="87"/>
      <c r="BL170" s="27" t="s">
        <v>2385</v>
      </c>
      <c r="BM170" s="13" t="s">
        <v>15</v>
      </c>
      <c r="BN170" s="82" t="s">
        <v>4</v>
      </c>
      <c r="BO170" s="91" t="s">
        <v>3576</v>
      </c>
      <c r="BP170" s="91"/>
      <c r="BQ170" s="105"/>
      <c r="BR170" s="72" t="s">
        <v>2584</v>
      </c>
      <c r="BS170" s="13" t="s">
        <v>15</v>
      </c>
      <c r="BT170" s="82" t="s">
        <v>4</v>
      </c>
      <c r="BU170" s="91" t="s">
        <v>3576</v>
      </c>
      <c r="BV170" s="91"/>
      <c r="BW170" s="87"/>
      <c r="BX170" s="49" t="s">
        <v>2778</v>
      </c>
      <c r="BY170" s="13" t="s">
        <v>15</v>
      </c>
      <c r="BZ170" s="82" t="s">
        <v>4</v>
      </c>
      <c r="CA170" s="91" t="s">
        <v>3576</v>
      </c>
      <c r="CB170" s="91"/>
      <c r="CC170" s="264"/>
      <c r="CD170" s="52" t="s">
        <v>2950</v>
      </c>
      <c r="CE170" s="13" t="s">
        <v>15</v>
      </c>
      <c r="CF170" s="82" t="s">
        <v>4</v>
      </c>
      <c r="CG170" s="91" t="s">
        <v>3576</v>
      </c>
      <c r="CH170" s="91"/>
      <c r="CI170" s="87"/>
      <c r="CJ170" s="19" t="s">
        <v>3125</v>
      </c>
      <c r="CK170" s="13" t="s">
        <v>15</v>
      </c>
      <c r="CL170" s="82" t="s">
        <v>4</v>
      </c>
      <c r="CM170" s="91" t="s">
        <v>3576</v>
      </c>
      <c r="CN170" s="91"/>
      <c r="CO170" s="87"/>
      <c r="CP170" s="56" t="s">
        <v>3263</v>
      </c>
      <c r="CQ170" s="13" t="s">
        <v>15</v>
      </c>
      <c r="CR170" s="82" t="s">
        <v>4</v>
      </c>
      <c r="CS170" s="91" t="s">
        <v>3576</v>
      </c>
      <c r="CT170" s="91"/>
      <c r="CU170" s="105"/>
    </row>
    <row r="171" spans="1:99" ht="42" customHeight="1" thickBot="1" x14ac:dyDescent="0.4">
      <c r="A171" s="40" t="s">
        <v>187</v>
      </c>
      <c r="B171" s="40" t="s">
        <v>371</v>
      </c>
      <c r="C171" s="40" t="s">
        <v>561</v>
      </c>
      <c r="D171" s="135" t="s">
        <v>3507</v>
      </c>
      <c r="E171" s="314" t="s">
        <v>3855</v>
      </c>
      <c r="F171" s="315" t="s">
        <v>3423</v>
      </c>
      <c r="G171" s="315" t="s">
        <v>3865</v>
      </c>
      <c r="H171" s="142" t="s">
        <v>3766</v>
      </c>
      <c r="I171" s="138" t="s">
        <v>3559</v>
      </c>
      <c r="J171" s="136" t="s">
        <v>752</v>
      </c>
      <c r="K171" s="13" t="s">
        <v>15</v>
      </c>
      <c r="L171" s="82" t="s">
        <v>19</v>
      </c>
      <c r="M171" s="146" t="s">
        <v>3577</v>
      </c>
      <c r="N171" s="91"/>
      <c r="O171" s="87"/>
      <c r="P171" s="49" t="s">
        <v>951</v>
      </c>
      <c r="Q171" s="13" t="s">
        <v>15</v>
      </c>
      <c r="R171" s="82" t="s">
        <v>19</v>
      </c>
      <c r="S171" s="91" t="s">
        <v>3577</v>
      </c>
      <c r="T171" s="91"/>
      <c r="U171" s="87"/>
      <c r="V171" s="52" t="s">
        <v>1149</v>
      </c>
      <c r="W171" s="13" t="s">
        <v>15</v>
      </c>
      <c r="X171" s="82" t="s">
        <v>19</v>
      </c>
      <c r="Y171" s="91" t="s">
        <v>3577</v>
      </c>
      <c r="Z171" s="91"/>
      <c r="AA171" s="87"/>
      <c r="AB171" s="19" t="s">
        <v>1348</v>
      </c>
      <c r="AC171" s="13" t="s">
        <v>15</v>
      </c>
      <c r="AD171" s="82" t="s">
        <v>19</v>
      </c>
      <c r="AE171" s="91" t="s">
        <v>3577</v>
      </c>
      <c r="AF171" s="91"/>
      <c r="AG171" s="87"/>
      <c r="AH171" s="56" t="s">
        <v>1546</v>
      </c>
      <c r="AI171" s="13" t="s">
        <v>15</v>
      </c>
      <c r="AJ171" s="82" t="s">
        <v>19</v>
      </c>
      <c r="AK171" s="91" t="s">
        <v>3577</v>
      </c>
      <c r="AL171" s="91"/>
      <c r="AM171" s="105"/>
      <c r="AN171" s="23" t="s">
        <v>1745</v>
      </c>
      <c r="AO171" s="13" t="s">
        <v>0</v>
      </c>
      <c r="AP171" s="82" t="s">
        <v>1</v>
      </c>
      <c r="AQ171" s="91" t="s">
        <v>3576</v>
      </c>
      <c r="AR171" s="91"/>
      <c r="AS171" s="87"/>
      <c r="AT171" s="21" t="s">
        <v>1942</v>
      </c>
      <c r="AU171" s="13" t="s">
        <v>15</v>
      </c>
      <c r="AV171" s="82" t="s">
        <v>19</v>
      </c>
      <c r="AW171" s="91" t="s">
        <v>3577</v>
      </c>
      <c r="AX171" s="91"/>
      <c r="AY171" s="87"/>
      <c r="AZ171" s="22" t="s">
        <v>2138</v>
      </c>
      <c r="BA171" s="13" t="s">
        <v>15</v>
      </c>
      <c r="BB171" s="82" t="s">
        <v>19</v>
      </c>
      <c r="BC171" s="91" t="s">
        <v>3577</v>
      </c>
      <c r="BD171" s="91"/>
      <c r="BE171" s="87"/>
      <c r="BF171" s="24" t="s">
        <v>2330</v>
      </c>
      <c r="BG171" s="13" t="s">
        <v>0</v>
      </c>
      <c r="BH171" s="82" t="s">
        <v>1</v>
      </c>
      <c r="BI171" s="91" t="s">
        <v>3576</v>
      </c>
      <c r="BJ171" s="91"/>
      <c r="BK171" s="87"/>
      <c r="BL171" s="27" t="s">
        <v>2521</v>
      </c>
      <c r="BM171" s="13" t="s">
        <v>0</v>
      </c>
      <c r="BN171" s="82" t="s">
        <v>1</v>
      </c>
      <c r="BO171" s="91" t="s">
        <v>3576</v>
      </c>
      <c r="BP171" s="91"/>
      <c r="BQ171" s="105"/>
      <c r="BR171" s="72" t="s">
        <v>2719</v>
      </c>
      <c r="BS171" s="13" t="s">
        <v>0</v>
      </c>
      <c r="BT171" s="82" t="s">
        <v>1</v>
      </c>
      <c r="BU171" s="91" t="s">
        <v>3576</v>
      </c>
      <c r="BV171" s="91"/>
      <c r="BW171" s="87"/>
      <c r="BX171" s="49" t="s">
        <v>2719</v>
      </c>
      <c r="BY171" s="13" t="s">
        <v>0</v>
      </c>
      <c r="BZ171" s="82" t="s">
        <v>1</v>
      </c>
      <c r="CA171" s="91" t="s">
        <v>3576</v>
      </c>
      <c r="CB171" s="91"/>
      <c r="CC171" s="87"/>
      <c r="CD171" s="52" t="s">
        <v>371</v>
      </c>
      <c r="CE171" s="13" t="s">
        <v>0</v>
      </c>
      <c r="CF171" s="82" t="s">
        <v>1</v>
      </c>
      <c r="CG171" s="91" t="s">
        <v>3576</v>
      </c>
      <c r="CH171" s="91"/>
      <c r="CI171" s="87"/>
      <c r="CJ171" s="19" t="s">
        <v>3220</v>
      </c>
      <c r="CK171" s="13" t="s">
        <v>15</v>
      </c>
      <c r="CL171" s="82" t="s">
        <v>19</v>
      </c>
      <c r="CM171" s="91" t="s">
        <v>3577</v>
      </c>
      <c r="CN171" s="91"/>
      <c r="CO171" s="87"/>
      <c r="CP171" s="56" t="s">
        <v>3341</v>
      </c>
      <c r="CQ171" s="13" t="s">
        <v>15</v>
      </c>
      <c r="CR171" s="82" t="s">
        <v>19</v>
      </c>
      <c r="CS171" s="91" t="s">
        <v>3577</v>
      </c>
      <c r="CT171" s="91"/>
      <c r="CU171" s="105"/>
    </row>
    <row r="172" spans="1:99" ht="42" customHeight="1" thickBot="1" x14ac:dyDescent="0.4">
      <c r="A172" s="40" t="s">
        <v>152</v>
      </c>
      <c r="B172" s="40" t="s">
        <v>322</v>
      </c>
      <c r="C172" s="40" t="s">
        <v>520</v>
      </c>
      <c r="D172" s="135" t="s">
        <v>3467</v>
      </c>
      <c r="E172" s="314" t="s">
        <v>3855</v>
      </c>
      <c r="F172" s="315" t="s">
        <v>3445</v>
      </c>
      <c r="G172" s="315" t="s">
        <v>3860</v>
      </c>
      <c r="H172" s="142" t="s">
        <v>3698</v>
      </c>
      <c r="I172" s="138" t="s">
        <v>3559</v>
      </c>
      <c r="J172" s="136" t="s">
        <v>703</v>
      </c>
      <c r="K172" s="13" t="s">
        <v>15</v>
      </c>
      <c r="L172" s="82" t="s">
        <v>19</v>
      </c>
      <c r="M172" s="146" t="s">
        <v>3577</v>
      </c>
      <c r="N172" s="91"/>
      <c r="O172" s="87"/>
      <c r="P172" s="49" t="s">
        <v>902</v>
      </c>
      <c r="Q172" s="13" t="s">
        <v>15</v>
      </c>
      <c r="R172" s="82" t="s">
        <v>19</v>
      </c>
      <c r="S172" s="91" t="s">
        <v>3577</v>
      </c>
      <c r="T172" s="91"/>
      <c r="U172" s="87"/>
      <c r="V172" s="52" t="s">
        <v>1101</v>
      </c>
      <c r="W172" s="13" t="s">
        <v>15</v>
      </c>
      <c r="X172" s="82" t="s">
        <v>19</v>
      </c>
      <c r="Y172" s="91" t="s">
        <v>3577</v>
      </c>
      <c r="Z172" s="91"/>
      <c r="AA172" s="87"/>
      <c r="AB172" s="19" t="s">
        <v>1301</v>
      </c>
      <c r="AC172" s="13" t="s">
        <v>15</v>
      </c>
      <c r="AD172" s="82" t="s">
        <v>19</v>
      </c>
      <c r="AE172" s="91" t="s">
        <v>3577</v>
      </c>
      <c r="AF172" s="91"/>
      <c r="AG172" s="87"/>
      <c r="AH172" s="56" t="s">
        <v>1498</v>
      </c>
      <c r="AI172" s="13" t="s">
        <v>15</v>
      </c>
      <c r="AJ172" s="82" t="s">
        <v>19</v>
      </c>
      <c r="AK172" s="91" t="s">
        <v>3577</v>
      </c>
      <c r="AL172" s="91"/>
      <c r="AM172" s="105"/>
      <c r="AN172" s="23" t="s">
        <v>1696</v>
      </c>
      <c r="AO172" s="13" t="s">
        <v>15</v>
      </c>
      <c r="AP172" s="82" t="s">
        <v>19</v>
      </c>
      <c r="AQ172" s="91" t="s">
        <v>3577</v>
      </c>
      <c r="AR172" s="91"/>
      <c r="AS172" s="87"/>
      <c r="AT172" s="21" t="s">
        <v>1895</v>
      </c>
      <c r="AU172" s="13" t="s">
        <v>15</v>
      </c>
      <c r="AV172" s="82" t="s">
        <v>19</v>
      </c>
      <c r="AW172" s="91" t="s">
        <v>3577</v>
      </c>
      <c r="AX172" s="91"/>
      <c r="AY172" s="87"/>
      <c r="AZ172" s="22" t="s">
        <v>2091</v>
      </c>
      <c r="BA172" s="13" t="s">
        <v>15</v>
      </c>
      <c r="BB172" s="82" t="s">
        <v>19</v>
      </c>
      <c r="BC172" s="91" t="s">
        <v>3577</v>
      </c>
      <c r="BD172" s="91"/>
      <c r="BE172" s="87"/>
      <c r="BF172" s="24" t="s">
        <v>2284</v>
      </c>
      <c r="BG172" s="13" t="s">
        <v>15</v>
      </c>
      <c r="BH172" s="82" t="s">
        <v>19</v>
      </c>
      <c r="BI172" s="91" t="s">
        <v>3577</v>
      </c>
      <c r="BJ172" s="91"/>
      <c r="BK172" s="87"/>
      <c r="BL172" s="27" t="s">
        <v>2473</v>
      </c>
      <c r="BM172" s="13" t="s">
        <v>15</v>
      </c>
      <c r="BN172" s="82" t="s">
        <v>19</v>
      </c>
      <c r="BO172" s="91" t="s">
        <v>3577</v>
      </c>
      <c r="BP172" s="91"/>
      <c r="BQ172" s="105"/>
      <c r="BR172" s="72" t="s">
        <v>2670</v>
      </c>
      <c r="BS172" s="13" t="s">
        <v>15</v>
      </c>
      <c r="BT172" s="82" t="s">
        <v>19</v>
      </c>
      <c r="BU172" s="91" t="s">
        <v>3577</v>
      </c>
      <c r="BV172" s="91"/>
      <c r="BW172" s="87"/>
      <c r="BX172" s="49" t="s">
        <v>2858</v>
      </c>
      <c r="BY172" s="13" t="s">
        <v>15</v>
      </c>
      <c r="BZ172" s="82" t="s">
        <v>19</v>
      </c>
      <c r="CA172" s="91" t="s">
        <v>3577</v>
      </c>
      <c r="CB172" s="91"/>
      <c r="CC172" s="87"/>
      <c r="CD172" s="52" t="s">
        <v>3034</v>
      </c>
      <c r="CE172" s="13" t="s">
        <v>15</v>
      </c>
      <c r="CF172" s="82" t="s">
        <v>19</v>
      </c>
      <c r="CG172" s="91" t="s">
        <v>3577</v>
      </c>
      <c r="CH172" s="91"/>
      <c r="CI172" s="87"/>
      <c r="CJ172" s="19" t="s">
        <v>3188</v>
      </c>
      <c r="CK172" s="13" t="s">
        <v>15</v>
      </c>
      <c r="CL172" s="82" t="s">
        <v>19</v>
      </c>
      <c r="CM172" s="91" t="s">
        <v>3577</v>
      </c>
      <c r="CN172" s="91"/>
      <c r="CO172" s="87"/>
      <c r="CP172" s="56" t="s">
        <v>3315</v>
      </c>
      <c r="CQ172" s="13" t="s">
        <v>15</v>
      </c>
      <c r="CR172" s="82" t="s">
        <v>19</v>
      </c>
      <c r="CS172" s="91" t="s">
        <v>3577</v>
      </c>
      <c r="CT172" s="91"/>
      <c r="CU172" s="105"/>
    </row>
    <row r="173" spans="1:99" ht="104.5" customHeight="1" thickBot="1" x14ac:dyDescent="0.4">
      <c r="A173" s="40" t="s">
        <v>97</v>
      </c>
      <c r="B173" s="40" t="s">
        <v>259</v>
      </c>
      <c r="C173" s="40" t="s">
        <v>458</v>
      </c>
      <c r="D173" s="135" t="s">
        <v>3573</v>
      </c>
      <c r="E173" s="323" t="s">
        <v>3869</v>
      </c>
      <c r="F173" s="324" t="s">
        <v>3392</v>
      </c>
      <c r="G173" s="324" t="s">
        <v>3870</v>
      </c>
      <c r="H173" s="142" t="s">
        <v>3614</v>
      </c>
      <c r="I173" s="138" t="s">
        <v>3559</v>
      </c>
      <c r="J173" s="136" t="s">
        <v>638</v>
      </c>
      <c r="K173" s="13" t="s">
        <v>15</v>
      </c>
      <c r="L173" s="82" t="s">
        <v>20</v>
      </c>
      <c r="M173" s="146" t="s">
        <v>3577</v>
      </c>
      <c r="N173" s="91"/>
      <c r="O173" s="87"/>
      <c r="P173" s="49" t="s">
        <v>839</v>
      </c>
      <c r="Q173" s="13" t="s">
        <v>15</v>
      </c>
      <c r="R173" s="82" t="s">
        <v>20</v>
      </c>
      <c r="S173" s="91" t="s">
        <v>3577</v>
      </c>
      <c r="T173" s="91"/>
      <c r="U173" s="87"/>
      <c r="V173" s="52" t="s">
        <v>1037</v>
      </c>
      <c r="W173" s="13" t="s">
        <v>15</v>
      </c>
      <c r="X173" s="82" t="s">
        <v>20</v>
      </c>
      <c r="Y173" s="91" t="s">
        <v>3577</v>
      </c>
      <c r="Z173" s="91"/>
      <c r="AA173" s="351" t="s">
        <v>3716</v>
      </c>
      <c r="AB173" s="19" t="s">
        <v>1237</v>
      </c>
      <c r="AC173" s="13" t="s">
        <v>15</v>
      </c>
      <c r="AD173" s="82" t="s">
        <v>20</v>
      </c>
      <c r="AE173" s="91" t="s">
        <v>3577</v>
      </c>
      <c r="AF173" s="91"/>
      <c r="AG173" s="87"/>
      <c r="AH173" s="56" t="s">
        <v>1436</v>
      </c>
      <c r="AI173" s="13" t="s">
        <v>15</v>
      </c>
      <c r="AJ173" s="82" t="s">
        <v>20</v>
      </c>
      <c r="AK173" s="91" t="s">
        <v>3577</v>
      </c>
      <c r="AL173" s="91"/>
      <c r="AM173" s="105"/>
      <c r="AN173" s="23" t="s">
        <v>1633</v>
      </c>
      <c r="AO173" s="13" t="s">
        <v>15</v>
      </c>
      <c r="AP173" s="82" t="s">
        <v>20</v>
      </c>
      <c r="AQ173" s="91" t="s">
        <v>3577</v>
      </c>
      <c r="AR173" s="91"/>
      <c r="AS173" s="87"/>
      <c r="AT173" s="21" t="s">
        <v>1832</v>
      </c>
      <c r="AU173" s="13" t="s">
        <v>15</v>
      </c>
      <c r="AV173" s="82" t="s">
        <v>20</v>
      </c>
      <c r="AW173" s="91" t="s">
        <v>3577</v>
      </c>
      <c r="AX173" s="91"/>
      <c r="AY173" s="87"/>
      <c r="AZ173" s="22" t="s">
        <v>2029</v>
      </c>
      <c r="BA173" s="13" t="s">
        <v>15</v>
      </c>
      <c r="BB173" s="82" t="s">
        <v>20</v>
      </c>
      <c r="BC173" s="91" t="s">
        <v>3577</v>
      </c>
      <c r="BD173" s="91"/>
      <c r="BE173" s="87"/>
      <c r="BF173" s="24" t="s">
        <v>2226</v>
      </c>
      <c r="BG173" s="13" t="s">
        <v>15</v>
      </c>
      <c r="BH173" s="82" t="s">
        <v>20</v>
      </c>
      <c r="BI173" s="91" t="s">
        <v>3577</v>
      </c>
      <c r="BJ173" s="91"/>
      <c r="BK173" s="87"/>
      <c r="BL173" s="27" t="s">
        <v>2414</v>
      </c>
      <c r="BM173" s="13" t="s">
        <v>15</v>
      </c>
      <c r="BN173" s="82" t="s">
        <v>20</v>
      </c>
      <c r="BO173" s="91" t="s">
        <v>3577</v>
      </c>
      <c r="BP173" s="91"/>
      <c r="BQ173" s="105"/>
      <c r="BR173" s="72" t="s">
        <v>2610</v>
      </c>
      <c r="BS173" s="13" t="s">
        <v>0</v>
      </c>
      <c r="BT173" s="82" t="s">
        <v>12</v>
      </c>
      <c r="BU173" s="91" t="s">
        <v>3577</v>
      </c>
      <c r="BV173" s="91"/>
      <c r="BW173" s="87"/>
      <c r="BX173" s="49" t="s">
        <v>2803</v>
      </c>
      <c r="BY173" s="13" t="s">
        <v>6</v>
      </c>
      <c r="BZ173" s="82" t="s">
        <v>8</v>
      </c>
      <c r="CA173" s="91" t="s">
        <v>3576</v>
      </c>
      <c r="CB173" s="91"/>
      <c r="CC173" s="264"/>
      <c r="CD173" s="52" t="s">
        <v>2977</v>
      </c>
      <c r="CE173" s="13" t="s">
        <v>15</v>
      </c>
      <c r="CF173" s="82" t="s">
        <v>20</v>
      </c>
      <c r="CG173" s="91" t="s">
        <v>3577</v>
      </c>
      <c r="CH173" s="91"/>
      <c r="CI173" s="87"/>
      <c r="CJ173" s="19" t="s">
        <v>3147</v>
      </c>
      <c r="CK173" s="13" t="s">
        <v>6</v>
      </c>
      <c r="CL173" s="82" t="s">
        <v>8</v>
      </c>
      <c r="CM173" s="91" t="s">
        <v>3576</v>
      </c>
      <c r="CN173" s="91"/>
      <c r="CO173" s="87"/>
      <c r="CP173" s="56" t="s">
        <v>3283</v>
      </c>
      <c r="CQ173" s="13" t="s">
        <v>6</v>
      </c>
      <c r="CR173" s="82" t="s">
        <v>8</v>
      </c>
      <c r="CS173" s="91" t="s">
        <v>3576</v>
      </c>
      <c r="CT173" s="91"/>
      <c r="CU173" s="105"/>
    </row>
    <row r="174" spans="1:99" ht="42" customHeight="1" thickBot="1" x14ac:dyDescent="0.4">
      <c r="A174" s="40" t="s">
        <v>116</v>
      </c>
      <c r="B174" s="40" t="s">
        <v>280</v>
      </c>
      <c r="C174" s="40" t="s">
        <v>480</v>
      </c>
      <c r="D174" s="135" t="s">
        <v>3427</v>
      </c>
      <c r="E174" s="323" t="s">
        <v>3869</v>
      </c>
      <c r="F174" s="324" t="s">
        <v>3392</v>
      </c>
      <c r="G174" s="324" t="s">
        <v>3870</v>
      </c>
      <c r="H174" s="142"/>
      <c r="I174" s="138"/>
      <c r="J174" s="136" t="s">
        <v>660</v>
      </c>
      <c r="K174" s="13" t="s">
        <v>15</v>
      </c>
      <c r="L174" s="82" t="s">
        <v>4</v>
      </c>
      <c r="M174" s="146" t="s">
        <v>3577</v>
      </c>
      <c r="N174" s="91"/>
      <c r="O174" s="87"/>
      <c r="P174" s="49" t="s">
        <v>859</v>
      </c>
      <c r="Q174" s="13" t="s">
        <v>0</v>
      </c>
      <c r="R174" s="82" t="s">
        <v>12</v>
      </c>
      <c r="S174" s="91" t="s">
        <v>3577</v>
      </c>
      <c r="T174" s="91"/>
      <c r="U174" s="87"/>
      <c r="V174" s="52" t="s">
        <v>1058</v>
      </c>
      <c r="W174" s="13" t="s">
        <v>0</v>
      </c>
      <c r="X174" s="82" t="s">
        <v>12</v>
      </c>
      <c r="Y174" s="91" t="s">
        <v>3577</v>
      </c>
      <c r="Z174" s="91"/>
      <c r="AA174" s="87"/>
      <c r="AB174" s="19" t="s">
        <v>1259</v>
      </c>
      <c r="AC174" s="13" t="s">
        <v>15</v>
      </c>
      <c r="AD174" s="82" t="s">
        <v>4</v>
      </c>
      <c r="AE174" s="91" t="s">
        <v>3576</v>
      </c>
      <c r="AF174" s="91"/>
      <c r="AG174" s="87"/>
      <c r="AH174" s="56" t="s">
        <v>1456</v>
      </c>
      <c r="AI174" s="13" t="s">
        <v>15</v>
      </c>
      <c r="AJ174" s="82" t="s">
        <v>20</v>
      </c>
      <c r="AK174" s="91" t="s">
        <v>3577</v>
      </c>
      <c r="AL174" s="91"/>
      <c r="AM174" s="105"/>
      <c r="AN174" s="23" t="s">
        <v>1655</v>
      </c>
      <c r="AO174" s="13" t="s">
        <v>15</v>
      </c>
      <c r="AP174" s="82" t="s">
        <v>20</v>
      </c>
      <c r="AQ174" s="91" t="s">
        <v>3577</v>
      </c>
      <c r="AR174" s="91"/>
      <c r="AS174" s="87"/>
      <c r="AT174" s="21" t="s">
        <v>1852</v>
      </c>
      <c r="AU174" s="13" t="s">
        <v>0</v>
      </c>
      <c r="AV174" s="82" t="s">
        <v>12</v>
      </c>
      <c r="AW174" s="91" t="s">
        <v>3577</v>
      </c>
      <c r="AX174" s="91"/>
      <c r="AY174" s="87"/>
      <c r="AZ174" s="22" t="s">
        <v>2050</v>
      </c>
      <c r="BA174" s="13" t="s">
        <v>15</v>
      </c>
      <c r="BB174" s="82" t="s">
        <v>20</v>
      </c>
      <c r="BC174" s="91" t="s">
        <v>3577</v>
      </c>
      <c r="BD174" s="91"/>
      <c r="BE174" s="87"/>
      <c r="BF174" s="24" t="s">
        <v>2244</v>
      </c>
      <c r="BG174" s="13" t="s">
        <v>15</v>
      </c>
      <c r="BH174" s="82" t="s">
        <v>20</v>
      </c>
      <c r="BI174" s="91" t="s">
        <v>3577</v>
      </c>
      <c r="BJ174" s="91"/>
      <c r="BK174" s="87"/>
      <c r="BL174" s="27" t="s">
        <v>2433</v>
      </c>
      <c r="BM174" s="13" t="s">
        <v>15</v>
      </c>
      <c r="BN174" s="82" t="s">
        <v>20</v>
      </c>
      <c r="BO174" s="91" t="s">
        <v>3577</v>
      </c>
      <c r="BP174" s="91"/>
      <c r="BQ174" s="105"/>
      <c r="BR174" s="72" t="s">
        <v>2629</v>
      </c>
      <c r="BS174" s="13" t="s">
        <v>15</v>
      </c>
      <c r="BT174" s="82" t="s">
        <v>20</v>
      </c>
      <c r="BU174" s="91" t="s">
        <v>3577</v>
      </c>
      <c r="BV174" s="91"/>
      <c r="BW174" s="87"/>
      <c r="BX174" s="49" t="s">
        <v>2824</v>
      </c>
      <c r="BY174" s="13" t="s">
        <v>15</v>
      </c>
      <c r="BZ174" s="82" t="s">
        <v>20</v>
      </c>
      <c r="CA174" s="91" t="s">
        <v>3577</v>
      </c>
      <c r="CB174" s="91"/>
      <c r="CC174" s="264"/>
      <c r="CD174" s="52" t="s">
        <v>2996</v>
      </c>
      <c r="CE174" s="13" t="s">
        <v>0</v>
      </c>
      <c r="CF174" s="82" t="s">
        <v>12</v>
      </c>
      <c r="CG174" s="91" t="s">
        <v>3577</v>
      </c>
      <c r="CH174" s="91"/>
      <c r="CI174" s="87"/>
      <c r="CJ174" s="19" t="s">
        <v>3158</v>
      </c>
      <c r="CK174" s="13" t="s">
        <v>15</v>
      </c>
      <c r="CL174" s="82" t="s">
        <v>20</v>
      </c>
      <c r="CM174" s="91" t="s">
        <v>3577</v>
      </c>
      <c r="CN174" s="91"/>
      <c r="CO174" s="87"/>
      <c r="CP174" s="56" t="s">
        <v>3158</v>
      </c>
      <c r="CQ174" s="13" t="s">
        <v>15</v>
      </c>
      <c r="CR174" s="82" t="s">
        <v>20</v>
      </c>
      <c r="CS174" s="91" t="s">
        <v>3577</v>
      </c>
      <c r="CT174" s="91"/>
      <c r="CU174" s="105"/>
    </row>
    <row r="175" spans="1:99" ht="42" customHeight="1" thickBot="1" x14ac:dyDescent="0.4">
      <c r="A175" s="40" t="s">
        <v>158</v>
      </c>
      <c r="B175" s="40" t="s">
        <v>331</v>
      </c>
      <c r="C175" s="40" t="s">
        <v>529</v>
      </c>
      <c r="D175" s="135" t="s">
        <v>3475</v>
      </c>
      <c r="E175" s="314" t="s">
        <v>3855</v>
      </c>
      <c r="F175" s="315" t="s">
        <v>3371</v>
      </c>
      <c r="G175" s="315" t="s">
        <v>3859</v>
      </c>
      <c r="H175" s="142" t="s">
        <v>3728</v>
      </c>
      <c r="I175" s="138" t="s">
        <v>3559</v>
      </c>
      <c r="J175" s="136" t="s">
        <v>712</v>
      </c>
      <c r="K175" s="13" t="s">
        <v>15</v>
      </c>
      <c r="L175" s="82" t="s">
        <v>4</v>
      </c>
      <c r="M175" s="146" t="s">
        <v>3576</v>
      </c>
      <c r="N175" s="91"/>
      <c r="O175" s="87"/>
      <c r="P175" s="49" t="s">
        <v>911</v>
      </c>
      <c r="Q175" s="13" t="s">
        <v>15</v>
      </c>
      <c r="R175" s="82" t="s">
        <v>4</v>
      </c>
      <c r="S175" s="91" t="s">
        <v>3576</v>
      </c>
      <c r="T175" s="91"/>
      <c r="U175" s="87"/>
      <c r="V175" s="52" t="s">
        <v>1110</v>
      </c>
      <c r="W175" s="13" t="s">
        <v>15</v>
      </c>
      <c r="X175" s="82" t="s">
        <v>4</v>
      </c>
      <c r="Y175" s="91" t="s">
        <v>3576</v>
      </c>
      <c r="Z175" s="91"/>
      <c r="AA175" s="87"/>
      <c r="AB175" s="19" t="s">
        <v>1309</v>
      </c>
      <c r="AC175" s="13" t="s">
        <v>15</v>
      </c>
      <c r="AD175" s="82" t="s">
        <v>4</v>
      </c>
      <c r="AE175" s="91" t="s">
        <v>3576</v>
      </c>
      <c r="AF175" s="91"/>
      <c r="AG175" s="87"/>
      <c r="AH175" s="56" t="s">
        <v>1506</v>
      </c>
      <c r="AI175" s="13" t="s">
        <v>15</v>
      </c>
      <c r="AJ175" s="82" t="s">
        <v>4</v>
      </c>
      <c r="AK175" s="91" t="s">
        <v>3576</v>
      </c>
      <c r="AL175" s="91"/>
      <c r="AM175" s="105"/>
      <c r="AN175" s="23" t="s">
        <v>1705</v>
      </c>
      <c r="AO175" s="13" t="s">
        <v>15</v>
      </c>
      <c r="AP175" s="82" t="s">
        <v>4</v>
      </c>
      <c r="AQ175" s="91" t="s">
        <v>3576</v>
      </c>
      <c r="AR175" s="91"/>
      <c r="AS175" s="87"/>
      <c r="AT175" s="21" t="s">
        <v>1904</v>
      </c>
      <c r="AU175" s="13" t="s">
        <v>15</v>
      </c>
      <c r="AV175" s="82" t="s">
        <v>4</v>
      </c>
      <c r="AW175" s="91" t="s">
        <v>3576</v>
      </c>
      <c r="AX175" s="91"/>
      <c r="AY175" s="87"/>
      <c r="AZ175" s="22" t="s">
        <v>2099</v>
      </c>
      <c r="BA175" s="13" t="s">
        <v>15</v>
      </c>
      <c r="BB175" s="82" t="s">
        <v>4</v>
      </c>
      <c r="BC175" s="91" t="s">
        <v>3576</v>
      </c>
      <c r="BD175" s="91"/>
      <c r="BE175" s="87"/>
      <c r="BF175" s="24" t="s">
        <v>2291</v>
      </c>
      <c r="BG175" s="13" t="s">
        <v>15</v>
      </c>
      <c r="BH175" s="82" t="s">
        <v>4</v>
      </c>
      <c r="BI175" s="91" t="s">
        <v>3576</v>
      </c>
      <c r="BJ175" s="91"/>
      <c r="BK175" s="87"/>
      <c r="BL175" s="27" t="s">
        <v>2481</v>
      </c>
      <c r="BM175" s="13" t="s">
        <v>15</v>
      </c>
      <c r="BN175" s="82" t="s">
        <v>4</v>
      </c>
      <c r="BO175" s="91" t="s">
        <v>3576</v>
      </c>
      <c r="BP175" s="91"/>
      <c r="BQ175" s="105"/>
      <c r="BR175" s="72" t="s">
        <v>2679</v>
      </c>
      <c r="BS175" s="13" t="s">
        <v>15</v>
      </c>
      <c r="BT175" s="82" t="s">
        <v>4</v>
      </c>
      <c r="BU175" s="91" t="s">
        <v>3576</v>
      </c>
      <c r="BV175" s="91"/>
      <c r="BW175" s="87"/>
      <c r="BX175" s="49" t="s">
        <v>2679</v>
      </c>
      <c r="BY175" s="13" t="s">
        <v>15</v>
      </c>
      <c r="BZ175" s="82" t="s">
        <v>4</v>
      </c>
      <c r="CA175" s="91" t="s">
        <v>3576</v>
      </c>
      <c r="CB175" s="91"/>
      <c r="CC175" s="87"/>
      <c r="CD175" s="52" t="s">
        <v>3041</v>
      </c>
      <c r="CE175" s="13" t="s">
        <v>15</v>
      </c>
      <c r="CF175" s="82" t="s">
        <v>4</v>
      </c>
      <c r="CG175" s="91" t="s">
        <v>3576</v>
      </c>
      <c r="CH175" s="91"/>
      <c r="CI175" s="87"/>
      <c r="CJ175" s="19" t="s">
        <v>2679</v>
      </c>
      <c r="CK175" s="13" t="s">
        <v>15</v>
      </c>
      <c r="CL175" s="82" t="s">
        <v>4</v>
      </c>
      <c r="CM175" s="91" t="s">
        <v>3576</v>
      </c>
      <c r="CN175" s="91"/>
      <c r="CO175" s="87"/>
      <c r="CP175" s="56" t="s">
        <v>2679</v>
      </c>
      <c r="CQ175" s="13" t="s">
        <v>15</v>
      </c>
      <c r="CR175" s="82" t="s">
        <v>4</v>
      </c>
      <c r="CS175" s="91" t="s">
        <v>3576</v>
      </c>
      <c r="CT175" s="91"/>
      <c r="CU175" s="105"/>
    </row>
    <row r="176" spans="1:99" ht="42" customHeight="1" thickBot="1" x14ac:dyDescent="0.4">
      <c r="A176" s="40" t="s">
        <v>90</v>
      </c>
      <c r="B176" s="40" t="s">
        <v>251</v>
      </c>
      <c r="C176" s="40" t="s">
        <v>451</v>
      </c>
      <c r="D176" s="135" t="s">
        <v>3399</v>
      </c>
      <c r="E176" s="314" t="s">
        <v>3855</v>
      </c>
      <c r="F176" s="315" t="s">
        <v>3376</v>
      </c>
      <c r="G176" s="315" t="s">
        <v>3856</v>
      </c>
      <c r="H176" s="142" t="s">
        <v>3605</v>
      </c>
      <c r="I176" s="138" t="s">
        <v>3559</v>
      </c>
      <c r="J176" s="136" t="s">
        <v>630</v>
      </c>
      <c r="K176" s="13" t="s">
        <v>11</v>
      </c>
      <c r="L176" s="82"/>
      <c r="M176" s="146" t="s">
        <v>3576</v>
      </c>
      <c r="N176" s="91"/>
      <c r="O176" s="87"/>
      <c r="P176" s="49" t="s">
        <v>831</v>
      </c>
      <c r="Q176" s="13" t="s">
        <v>15</v>
      </c>
      <c r="R176" s="82" t="s">
        <v>9</v>
      </c>
      <c r="S176" s="91" t="s">
        <v>3576</v>
      </c>
      <c r="T176" s="91"/>
      <c r="U176" s="87"/>
      <c r="V176" s="52" t="s">
        <v>1029</v>
      </c>
      <c r="W176" s="13" t="s">
        <v>15</v>
      </c>
      <c r="X176" s="82" t="s">
        <v>9</v>
      </c>
      <c r="Y176" s="91" t="s">
        <v>3576</v>
      </c>
      <c r="Z176" s="91"/>
      <c r="AA176" s="87"/>
      <c r="AB176" s="19" t="s">
        <v>1229</v>
      </c>
      <c r="AC176" s="13" t="s">
        <v>15</v>
      </c>
      <c r="AD176" s="82" t="s">
        <v>9</v>
      </c>
      <c r="AE176" s="91" t="s">
        <v>3576</v>
      </c>
      <c r="AF176" s="91"/>
      <c r="AG176" s="87"/>
      <c r="AH176" s="56" t="s">
        <v>1428</v>
      </c>
      <c r="AI176" s="13" t="s">
        <v>15</v>
      </c>
      <c r="AJ176" s="82" t="s">
        <v>9</v>
      </c>
      <c r="AK176" s="91" t="s">
        <v>3576</v>
      </c>
      <c r="AL176" s="91"/>
      <c r="AM176" s="105"/>
      <c r="AN176" s="23" t="s">
        <v>1626</v>
      </c>
      <c r="AO176" s="13" t="s">
        <v>0</v>
      </c>
      <c r="AP176" s="82" t="s">
        <v>12</v>
      </c>
      <c r="AQ176" s="91" t="s">
        <v>3576</v>
      </c>
      <c r="AR176" s="91"/>
      <c r="AS176" s="87"/>
      <c r="AT176" s="21" t="s">
        <v>1824</v>
      </c>
      <c r="AU176" s="13" t="s">
        <v>0</v>
      </c>
      <c r="AV176" s="82" t="s">
        <v>12</v>
      </c>
      <c r="AW176" s="91" t="s">
        <v>3576</v>
      </c>
      <c r="AX176" s="91"/>
      <c r="AY176" s="87"/>
      <c r="AZ176" s="22" t="s">
        <v>2021</v>
      </c>
      <c r="BA176" s="13" t="s">
        <v>0</v>
      </c>
      <c r="BB176" s="82" t="s">
        <v>12</v>
      </c>
      <c r="BC176" s="91" t="s">
        <v>3576</v>
      </c>
      <c r="BD176" s="91"/>
      <c r="BE176" s="87"/>
      <c r="BF176" s="24" t="s">
        <v>2218</v>
      </c>
      <c r="BG176" s="13" t="s">
        <v>0</v>
      </c>
      <c r="BH176" s="82" t="s">
        <v>12</v>
      </c>
      <c r="BI176" s="91" t="s">
        <v>3576</v>
      </c>
      <c r="BJ176" s="91"/>
      <c r="BK176" s="87"/>
      <c r="BL176" s="27" t="s">
        <v>2406</v>
      </c>
      <c r="BM176" s="13" t="s">
        <v>11</v>
      </c>
      <c r="BN176" s="82"/>
      <c r="BO176" s="91" t="s">
        <v>3576</v>
      </c>
      <c r="BP176" s="91"/>
      <c r="BQ176" s="105"/>
      <c r="BR176" s="72" t="s">
        <v>2603</v>
      </c>
      <c r="BS176" s="13" t="s">
        <v>11</v>
      </c>
      <c r="BT176" s="82"/>
      <c r="BU176" s="91" t="s">
        <v>3576</v>
      </c>
      <c r="BV176" s="91"/>
      <c r="BW176" s="87"/>
      <c r="BX176" s="49" t="s">
        <v>2795</v>
      </c>
      <c r="BY176" s="13" t="s">
        <v>0</v>
      </c>
      <c r="BZ176" s="82" t="s">
        <v>12</v>
      </c>
      <c r="CA176" s="91" t="s">
        <v>3576</v>
      </c>
      <c r="CB176" s="91"/>
      <c r="CC176" s="264"/>
      <c r="CD176" s="52" t="s">
        <v>2970</v>
      </c>
      <c r="CE176" s="13" t="s">
        <v>0</v>
      </c>
      <c r="CF176" s="82" t="s">
        <v>12</v>
      </c>
      <c r="CG176" s="91" t="s">
        <v>3576</v>
      </c>
      <c r="CH176" s="91"/>
      <c r="CI176" s="87"/>
      <c r="CJ176" s="19" t="s">
        <v>3140</v>
      </c>
      <c r="CK176" s="13" t="s">
        <v>0</v>
      </c>
      <c r="CL176" s="82" t="s">
        <v>12</v>
      </c>
      <c r="CM176" s="91" t="s">
        <v>3576</v>
      </c>
      <c r="CN176" s="91"/>
      <c r="CO176" s="87"/>
      <c r="CP176" s="56" t="s">
        <v>3140</v>
      </c>
      <c r="CQ176" s="13" t="s">
        <v>0</v>
      </c>
      <c r="CR176" s="82" t="s">
        <v>12</v>
      </c>
      <c r="CS176" s="91" t="s">
        <v>3576</v>
      </c>
      <c r="CT176" s="91"/>
      <c r="CU176" s="105"/>
    </row>
    <row r="177" spans="1:99" ht="42" customHeight="1" thickBot="1" x14ac:dyDescent="0.4">
      <c r="A177" s="40" t="s">
        <v>159</v>
      </c>
      <c r="B177" s="40" t="s">
        <v>332</v>
      </c>
      <c r="C177" s="40" t="s">
        <v>530</v>
      </c>
      <c r="D177" s="135" t="s">
        <v>3476</v>
      </c>
      <c r="E177" s="314" t="s">
        <v>3855</v>
      </c>
      <c r="F177" s="315" t="s">
        <v>3387</v>
      </c>
      <c r="G177" s="315" t="s">
        <v>3861</v>
      </c>
      <c r="H177" s="142" t="s">
        <v>3729</v>
      </c>
      <c r="I177" s="138"/>
      <c r="J177" s="136" t="s">
        <v>713</v>
      </c>
      <c r="K177" s="13" t="s">
        <v>15</v>
      </c>
      <c r="L177" s="82" t="s">
        <v>9</v>
      </c>
      <c r="M177" s="146" t="s">
        <v>3576</v>
      </c>
      <c r="N177" s="91"/>
      <c r="O177" s="87"/>
      <c r="P177" s="49" t="s">
        <v>912</v>
      </c>
      <c r="Q177" s="13" t="s">
        <v>15</v>
      </c>
      <c r="R177" s="82" t="s">
        <v>9</v>
      </c>
      <c r="S177" s="91" t="s">
        <v>3576</v>
      </c>
      <c r="T177" s="91"/>
      <c r="U177" s="87"/>
      <c r="V177" s="52" t="s">
        <v>1111</v>
      </c>
      <c r="W177" s="13" t="s">
        <v>15</v>
      </c>
      <c r="X177" s="82" t="s">
        <v>9</v>
      </c>
      <c r="Y177" s="91" t="s">
        <v>3576</v>
      </c>
      <c r="Z177" s="91"/>
      <c r="AA177" s="87"/>
      <c r="AB177" s="19" t="s">
        <v>1310</v>
      </c>
      <c r="AC177" s="13" t="s">
        <v>15</v>
      </c>
      <c r="AD177" s="82" t="s">
        <v>9</v>
      </c>
      <c r="AE177" s="91" t="s">
        <v>3576</v>
      </c>
      <c r="AF177" s="91"/>
      <c r="AG177" s="87"/>
      <c r="AH177" s="56" t="s">
        <v>1507</v>
      </c>
      <c r="AI177" s="13" t="s">
        <v>15</v>
      </c>
      <c r="AJ177" s="82" t="s">
        <v>9</v>
      </c>
      <c r="AK177" s="91" t="s">
        <v>3576</v>
      </c>
      <c r="AL177" s="91"/>
      <c r="AM177" s="105"/>
      <c r="AN177" s="23" t="s">
        <v>1706</v>
      </c>
      <c r="AO177" s="13" t="s">
        <v>11</v>
      </c>
      <c r="AP177" s="82"/>
      <c r="AQ177" s="91" t="s">
        <v>3576</v>
      </c>
      <c r="AR177" s="91"/>
      <c r="AS177" s="87"/>
      <c r="AT177" s="21" t="s">
        <v>1905</v>
      </c>
      <c r="AU177" s="13" t="s">
        <v>15</v>
      </c>
      <c r="AV177" s="82" t="s">
        <v>9</v>
      </c>
      <c r="AW177" s="91" t="s">
        <v>3576</v>
      </c>
      <c r="AX177" s="91"/>
      <c r="AY177" s="87"/>
      <c r="AZ177" s="22" t="s">
        <v>2100</v>
      </c>
      <c r="BA177" s="13" t="s">
        <v>15</v>
      </c>
      <c r="BB177" s="82" t="s">
        <v>9</v>
      </c>
      <c r="BC177" s="91" t="s">
        <v>3576</v>
      </c>
      <c r="BD177" s="91"/>
      <c r="BE177" s="87"/>
      <c r="BF177" s="24" t="s">
        <v>2292</v>
      </c>
      <c r="BG177" s="13" t="s">
        <v>15</v>
      </c>
      <c r="BH177" s="82" t="s">
        <v>9</v>
      </c>
      <c r="BI177" s="91" t="s">
        <v>3576</v>
      </c>
      <c r="BJ177" s="91"/>
      <c r="BK177" s="87"/>
      <c r="BL177" s="27" t="s">
        <v>2482</v>
      </c>
      <c r="BM177" s="13" t="s">
        <v>15</v>
      </c>
      <c r="BN177" s="82" t="s">
        <v>9</v>
      </c>
      <c r="BO177" s="91" t="s">
        <v>3576</v>
      </c>
      <c r="BP177" s="91"/>
      <c r="BQ177" s="105"/>
      <c r="BR177" s="72" t="s">
        <v>2680</v>
      </c>
      <c r="BS177" s="13" t="s">
        <v>15</v>
      </c>
      <c r="BT177" s="82" t="s">
        <v>19</v>
      </c>
      <c r="BU177" s="91" t="s">
        <v>3577</v>
      </c>
      <c r="BV177" s="91"/>
      <c r="BW177" s="87"/>
      <c r="BX177" s="49" t="s">
        <v>2867</v>
      </c>
      <c r="BY177" s="13" t="s">
        <v>0</v>
      </c>
      <c r="BZ177" s="82" t="s">
        <v>12</v>
      </c>
      <c r="CA177" s="91" t="s">
        <v>3576</v>
      </c>
      <c r="CB177" s="91"/>
      <c r="CC177" s="87"/>
      <c r="CD177" s="52" t="s">
        <v>3042</v>
      </c>
      <c r="CE177" s="13" t="s">
        <v>0</v>
      </c>
      <c r="CF177" s="82" t="s">
        <v>12</v>
      </c>
      <c r="CG177" s="91" t="s">
        <v>3576</v>
      </c>
      <c r="CH177" s="91"/>
      <c r="CI177" s="87"/>
      <c r="CJ177" s="19" t="s">
        <v>2680</v>
      </c>
      <c r="CK177" s="13" t="s">
        <v>15</v>
      </c>
      <c r="CL177" s="82" t="s">
        <v>4</v>
      </c>
      <c r="CM177" s="91" t="s">
        <v>3576</v>
      </c>
      <c r="CN177" s="91"/>
      <c r="CO177" s="87"/>
      <c r="CP177" s="56" t="s">
        <v>2680</v>
      </c>
      <c r="CQ177" s="13" t="s">
        <v>15</v>
      </c>
      <c r="CR177" s="82" t="s">
        <v>19</v>
      </c>
      <c r="CS177" s="91" t="s">
        <v>3577</v>
      </c>
      <c r="CT177" s="91"/>
      <c r="CU177" s="105"/>
    </row>
    <row r="178" spans="1:99" ht="42" customHeight="1" thickBot="1" x14ac:dyDescent="0.4">
      <c r="A178" s="40" t="s">
        <v>109</v>
      </c>
      <c r="B178" s="40" t="s">
        <v>270</v>
      </c>
      <c r="C178" s="40" t="s">
        <v>470</v>
      </c>
      <c r="D178" s="135" t="s">
        <v>3417</v>
      </c>
      <c r="E178" s="323" t="s">
        <v>3869</v>
      </c>
      <c r="F178" s="324" t="s">
        <v>3392</v>
      </c>
      <c r="G178" s="324" t="s">
        <v>3870</v>
      </c>
      <c r="H178" s="142" t="s">
        <v>3630</v>
      </c>
      <c r="I178" s="138" t="s">
        <v>3568</v>
      </c>
      <c r="J178" s="136" t="s">
        <v>650</v>
      </c>
      <c r="K178" s="13" t="s">
        <v>15</v>
      </c>
      <c r="L178" s="82" t="s">
        <v>20</v>
      </c>
      <c r="M178" s="146" t="s">
        <v>3577</v>
      </c>
      <c r="N178" s="91"/>
      <c r="O178" s="87"/>
      <c r="P178" s="49" t="s">
        <v>851</v>
      </c>
      <c r="Q178" s="13" t="s">
        <v>15</v>
      </c>
      <c r="R178" s="82" t="s">
        <v>19</v>
      </c>
      <c r="S178" s="91" t="s">
        <v>3577</v>
      </c>
      <c r="T178" s="91"/>
      <c r="U178" s="87"/>
      <c r="V178" s="52" t="s">
        <v>1049</v>
      </c>
      <c r="W178" s="13" t="s">
        <v>15</v>
      </c>
      <c r="X178" s="82" t="s">
        <v>19</v>
      </c>
      <c r="Y178" s="91" t="s">
        <v>3577</v>
      </c>
      <c r="Z178" s="91"/>
      <c r="AA178" s="87"/>
      <c r="AB178" s="19" t="s">
        <v>1249</v>
      </c>
      <c r="AC178" s="13" t="s">
        <v>15</v>
      </c>
      <c r="AD178" s="82" t="s">
        <v>19</v>
      </c>
      <c r="AE178" s="91" t="s">
        <v>3577</v>
      </c>
      <c r="AF178" s="91"/>
      <c r="AG178" s="87"/>
      <c r="AH178" s="56" t="s">
        <v>1448</v>
      </c>
      <c r="AI178" s="13" t="s">
        <v>15</v>
      </c>
      <c r="AJ178" s="82" t="s">
        <v>19</v>
      </c>
      <c r="AK178" s="91" t="s">
        <v>3577</v>
      </c>
      <c r="AL178" s="91"/>
      <c r="AM178" s="105"/>
      <c r="AN178" s="23" t="s">
        <v>1645</v>
      </c>
      <c r="AO178" s="13" t="s">
        <v>15</v>
      </c>
      <c r="AP178" s="82" t="s">
        <v>20</v>
      </c>
      <c r="AQ178" s="91" t="s">
        <v>3577</v>
      </c>
      <c r="AR178" s="91"/>
      <c r="AS178" s="87"/>
      <c r="AT178" s="21" t="s">
        <v>1843</v>
      </c>
      <c r="AU178" s="13" t="s">
        <v>15</v>
      </c>
      <c r="AV178" s="82" t="s">
        <v>20</v>
      </c>
      <c r="AW178" s="91" t="s">
        <v>3577</v>
      </c>
      <c r="AX178" s="91"/>
      <c r="AY178" s="87"/>
      <c r="AZ178" s="22" t="s">
        <v>2041</v>
      </c>
      <c r="BA178" s="13" t="s">
        <v>15</v>
      </c>
      <c r="BB178" s="82" t="s">
        <v>20</v>
      </c>
      <c r="BC178" s="91" t="s">
        <v>3577</v>
      </c>
      <c r="BD178" s="91"/>
      <c r="BE178" s="87"/>
      <c r="BF178" s="24" t="s">
        <v>2236</v>
      </c>
      <c r="BG178" s="13" t="s">
        <v>15</v>
      </c>
      <c r="BH178" s="82" t="s">
        <v>20</v>
      </c>
      <c r="BI178" s="91" t="s">
        <v>3577</v>
      </c>
      <c r="BJ178" s="91"/>
      <c r="BK178" s="87"/>
      <c r="BL178" s="27" t="s">
        <v>2424</v>
      </c>
      <c r="BM178" s="13" t="s">
        <v>15</v>
      </c>
      <c r="BN178" s="82" t="s">
        <v>20</v>
      </c>
      <c r="BO178" s="91" t="s">
        <v>3577</v>
      </c>
      <c r="BP178" s="91"/>
      <c r="BQ178" s="105"/>
      <c r="BR178" s="72" t="s">
        <v>2620</v>
      </c>
      <c r="BS178" s="13" t="s">
        <v>15</v>
      </c>
      <c r="BT178" s="82" t="s">
        <v>20</v>
      </c>
      <c r="BU178" s="91" t="s">
        <v>3577</v>
      </c>
      <c r="BV178" s="91"/>
      <c r="BW178" s="87"/>
      <c r="BX178" s="49" t="s">
        <v>2814</v>
      </c>
      <c r="BY178" s="13" t="s">
        <v>6</v>
      </c>
      <c r="BZ178" s="82" t="s">
        <v>8</v>
      </c>
      <c r="CA178" s="91" t="s">
        <v>3576</v>
      </c>
      <c r="CB178" s="91"/>
      <c r="CC178" s="264"/>
      <c r="CD178" s="52" t="s">
        <v>2988</v>
      </c>
      <c r="CE178" s="13" t="s">
        <v>15</v>
      </c>
      <c r="CF178" s="82" t="s">
        <v>20</v>
      </c>
      <c r="CG178" s="91" t="s">
        <v>3577</v>
      </c>
      <c r="CH178" s="91"/>
      <c r="CI178" s="87"/>
      <c r="CJ178" s="19" t="s">
        <v>2620</v>
      </c>
      <c r="CK178" s="13" t="s">
        <v>15</v>
      </c>
      <c r="CL178" s="82" t="s">
        <v>20</v>
      </c>
      <c r="CM178" s="91" t="s">
        <v>3577</v>
      </c>
      <c r="CN178" s="91"/>
      <c r="CO178" s="87"/>
      <c r="CP178" s="56" t="s">
        <v>3289</v>
      </c>
      <c r="CQ178" s="13" t="s">
        <v>15</v>
      </c>
      <c r="CR178" s="82" t="s">
        <v>20</v>
      </c>
      <c r="CS178" s="91" t="s">
        <v>3577</v>
      </c>
      <c r="CT178" s="91"/>
      <c r="CU178" s="105"/>
    </row>
    <row r="179" spans="1:99" ht="52" customHeight="1" thickBot="1" x14ac:dyDescent="0.4">
      <c r="A179" s="40" t="s">
        <v>99</v>
      </c>
      <c r="B179" s="40" t="s">
        <v>261</v>
      </c>
      <c r="C179" s="40" t="s">
        <v>460</v>
      </c>
      <c r="D179" s="135" t="s">
        <v>3408</v>
      </c>
      <c r="E179" s="317" t="s">
        <v>3866</v>
      </c>
      <c r="F179" s="318" t="s">
        <v>3382</v>
      </c>
      <c r="G179" s="319" t="s">
        <v>3867</v>
      </c>
      <c r="H179" s="142" t="s">
        <v>3617</v>
      </c>
      <c r="I179" s="138" t="s">
        <v>3559</v>
      </c>
      <c r="J179" s="136" t="s">
        <v>640</v>
      </c>
      <c r="K179" s="13"/>
      <c r="L179" s="82"/>
      <c r="M179" s="146"/>
      <c r="N179" s="91"/>
      <c r="O179" s="87"/>
      <c r="P179" s="49" t="s">
        <v>841</v>
      </c>
      <c r="Q179" s="13"/>
      <c r="R179" s="82"/>
      <c r="S179" s="91"/>
      <c r="T179" s="91"/>
      <c r="U179" s="87"/>
      <c r="V179" s="52" t="s">
        <v>1039</v>
      </c>
      <c r="W179" s="13"/>
      <c r="X179" s="82"/>
      <c r="Y179" s="91"/>
      <c r="Z179" s="91"/>
      <c r="AA179" s="87"/>
      <c r="AB179" s="19" t="s">
        <v>1239</v>
      </c>
      <c r="AC179" s="13"/>
      <c r="AD179" s="82"/>
      <c r="AE179" s="91"/>
      <c r="AF179" s="91"/>
      <c r="AG179" s="87"/>
      <c r="AH179" s="56" t="s">
        <v>1438</v>
      </c>
      <c r="AI179" s="13"/>
      <c r="AJ179" s="82"/>
      <c r="AK179" s="91"/>
      <c r="AL179" s="91"/>
      <c r="AM179" s="105"/>
      <c r="AN179" s="23" t="s">
        <v>1635</v>
      </c>
      <c r="AO179" s="13"/>
      <c r="AP179" s="82"/>
      <c r="AQ179" s="91"/>
      <c r="AR179" s="91"/>
      <c r="AS179" s="87"/>
      <c r="AT179" s="21" t="s">
        <v>1834</v>
      </c>
      <c r="AU179" s="13"/>
      <c r="AV179" s="82"/>
      <c r="AW179" s="91"/>
      <c r="AX179" s="91"/>
      <c r="AY179" s="87"/>
      <c r="AZ179" s="22" t="s">
        <v>2031</v>
      </c>
      <c r="BA179" s="13"/>
      <c r="BB179" s="82"/>
      <c r="BC179" s="91"/>
      <c r="BD179" s="91"/>
      <c r="BE179" s="87"/>
      <c r="BF179" s="24" t="s">
        <v>2228</v>
      </c>
      <c r="BG179" s="13"/>
      <c r="BH179" s="82"/>
      <c r="BI179" s="91"/>
      <c r="BJ179" s="91"/>
      <c r="BK179" s="87"/>
      <c r="BL179" s="27" t="s">
        <v>2416</v>
      </c>
      <c r="BM179" s="13"/>
      <c r="BN179" s="82"/>
      <c r="BO179" s="91"/>
      <c r="BP179" s="91"/>
      <c r="BQ179" s="105"/>
      <c r="BR179" s="72" t="s">
        <v>2612</v>
      </c>
      <c r="BS179" s="13"/>
      <c r="BT179" s="82"/>
      <c r="BU179" s="91"/>
      <c r="BV179" s="91"/>
      <c r="BW179" s="87"/>
      <c r="BX179" s="49" t="s">
        <v>2804</v>
      </c>
      <c r="BY179" s="13"/>
      <c r="BZ179" s="82"/>
      <c r="CA179" s="91"/>
      <c r="CB179" s="91"/>
      <c r="CC179" s="264"/>
      <c r="CD179" s="52" t="s">
        <v>2979</v>
      </c>
      <c r="CE179" s="13"/>
      <c r="CF179" s="82"/>
      <c r="CG179" s="91"/>
      <c r="CH179" s="91"/>
      <c r="CI179" s="87"/>
      <c r="CJ179" s="19" t="s">
        <v>2612</v>
      </c>
      <c r="CK179" s="13"/>
      <c r="CL179" s="82"/>
      <c r="CM179" s="91"/>
      <c r="CN179" s="91"/>
      <c r="CO179" s="87"/>
      <c r="CP179" s="56" t="s">
        <v>3285</v>
      </c>
      <c r="CQ179" s="13"/>
      <c r="CR179" s="82"/>
      <c r="CS179" s="91"/>
      <c r="CT179" s="91"/>
      <c r="CU179" s="105"/>
    </row>
    <row r="180" spans="1:99" ht="42" customHeight="1" thickBot="1" x14ac:dyDescent="0.4">
      <c r="A180" s="40" t="s">
        <v>118</v>
      </c>
      <c r="B180" s="40" t="s">
        <v>119</v>
      </c>
      <c r="C180" s="40" t="s">
        <v>482</v>
      </c>
      <c r="D180" s="135" t="s">
        <v>3429</v>
      </c>
      <c r="E180" s="314" t="s">
        <v>3855</v>
      </c>
      <c r="F180" s="315" t="s">
        <v>3371</v>
      </c>
      <c r="G180" s="315" t="s">
        <v>3859</v>
      </c>
      <c r="H180" s="142" t="s">
        <v>3641</v>
      </c>
      <c r="I180" s="138" t="s">
        <v>3642</v>
      </c>
      <c r="J180" s="136" t="s">
        <v>662</v>
      </c>
      <c r="K180" s="13" t="s">
        <v>15</v>
      </c>
      <c r="L180" s="82" t="s">
        <v>9</v>
      </c>
      <c r="M180" s="146" t="s">
        <v>3576</v>
      </c>
      <c r="N180" s="91"/>
      <c r="O180" s="87"/>
      <c r="P180" s="49" t="s">
        <v>861</v>
      </c>
      <c r="Q180" s="13" t="s">
        <v>15</v>
      </c>
      <c r="R180" s="82" t="s">
        <v>9</v>
      </c>
      <c r="S180" s="91" t="s">
        <v>3576</v>
      </c>
      <c r="T180" s="91"/>
      <c r="U180" s="87"/>
      <c r="V180" s="52" t="s">
        <v>1060</v>
      </c>
      <c r="W180" s="13" t="s">
        <v>15</v>
      </c>
      <c r="X180" s="82" t="s">
        <v>9</v>
      </c>
      <c r="Y180" s="91" t="s">
        <v>3576</v>
      </c>
      <c r="Z180" s="91"/>
      <c r="AA180" s="87"/>
      <c r="AB180" s="19" t="s">
        <v>1261</v>
      </c>
      <c r="AC180" s="13" t="s">
        <v>15</v>
      </c>
      <c r="AD180" s="82" t="s">
        <v>9</v>
      </c>
      <c r="AE180" s="91" t="s">
        <v>3576</v>
      </c>
      <c r="AF180" s="91"/>
      <c r="AG180" s="87"/>
      <c r="AH180" s="56" t="s">
        <v>1458</v>
      </c>
      <c r="AI180" s="13" t="s">
        <v>15</v>
      </c>
      <c r="AJ180" s="82" t="s">
        <v>9</v>
      </c>
      <c r="AK180" s="91" t="s">
        <v>3576</v>
      </c>
      <c r="AL180" s="91"/>
      <c r="AM180" s="105"/>
      <c r="AN180" s="23" t="s">
        <v>1657</v>
      </c>
      <c r="AO180" s="13" t="s">
        <v>15</v>
      </c>
      <c r="AP180" s="82" t="s">
        <v>9</v>
      </c>
      <c r="AQ180" s="91" t="s">
        <v>3576</v>
      </c>
      <c r="AR180" s="91"/>
      <c r="AS180" s="87"/>
      <c r="AT180" s="21" t="s">
        <v>1854</v>
      </c>
      <c r="AU180" s="13" t="s">
        <v>15</v>
      </c>
      <c r="AV180" s="82" t="s">
        <v>4</v>
      </c>
      <c r="AW180" s="91" t="s">
        <v>3577</v>
      </c>
      <c r="AX180" s="91"/>
      <c r="AY180" s="87"/>
      <c r="AZ180" s="22" t="s">
        <v>2052</v>
      </c>
      <c r="BA180" s="13" t="s">
        <v>15</v>
      </c>
      <c r="BB180" s="82" t="s">
        <v>9</v>
      </c>
      <c r="BC180" s="91" t="s">
        <v>3576</v>
      </c>
      <c r="BD180" s="91"/>
      <c r="BE180" s="87"/>
      <c r="BF180" s="24" t="s">
        <v>2246</v>
      </c>
      <c r="BG180" s="13" t="s">
        <v>15</v>
      </c>
      <c r="BH180" s="82" t="s">
        <v>9</v>
      </c>
      <c r="BI180" s="91" t="s">
        <v>3576</v>
      </c>
      <c r="BJ180" s="91"/>
      <c r="BK180" s="87"/>
      <c r="BL180" s="27" t="s">
        <v>2435</v>
      </c>
      <c r="BM180" s="13" t="s">
        <v>15</v>
      </c>
      <c r="BN180" s="82" t="s">
        <v>9</v>
      </c>
      <c r="BO180" s="91" t="s">
        <v>3576</v>
      </c>
      <c r="BP180" s="91"/>
      <c r="BQ180" s="105"/>
      <c r="BR180" s="72" t="s">
        <v>2631</v>
      </c>
      <c r="BS180" s="13" t="s">
        <v>0</v>
      </c>
      <c r="BT180" s="82" t="s">
        <v>12</v>
      </c>
      <c r="BU180" s="91" t="s">
        <v>3577</v>
      </c>
      <c r="BV180" s="91"/>
      <c r="BW180" s="87"/>
      <c r="BX180" s="49" t="s">
        <v>2826</v>
      </c>
      <c r="BY180" s="13" t="s">
        <v>0</v>
      </c>
      <c r="BZ180" s="82" t="s">
        <v>12</v>
      </c>
      <c r="CA180" s="91" t="s">
        <v>3577</v>
      </c>
      <c r="CB180" s="91"/>
      <c r="CC180" s="264"/>
      <c r="CD180" s="52" t="s">
        <v>2997</v>
      </c>
      <c r="CE180" s="13" t="s">
        <v>0</v>
      </c>
      <c r="CF180" s="82" t="s">
        <v>12</v>
      </c>
      <c r="CG180" s="91" t="s">
        <v>3577</v>
      </c>
      <c r="CH180" s="91"/>
      <c r="CI180" s="87"/>
      <c r="CJ180" s="19" t="s">
        <v>3159</v>
      </c>
      <c r="CK180" s="13" t="s">
        <v>0</v>
      </c>
      <c r="CL180" s="82" t="s">
        <v>12</v>
      </c>
      <c r="CM180" s="91" t="s">
        <v>3577</v>
      </c>
      <c r="CN180" s="91"/>
      <c r="CO180" s="87"/>
      <c r="CP180" s="56" t="s">
        <v>3159</v>
      </c>
      <c r="CQ180" s="13" t="s">
        <v>0</v>
      </c>
      <c r="CR180" s="82" t="s">
        <v>12</v>
      </c>
      <c r="CS180" s="91" t="s">
        <v>3577</v>
      </c>
      <c r="CT180" s="91"/>
      <c r="CU180" s="105"/>
    </row>
    <row r="181" spans="1:99" ht="42" customHeight="1" thickBot="1" x14ac:dyDescent="0.4">
      <c r="A181" s="40" t="s">
        <v>221</v>
      </c>
      <c r="B181" s="40" t="s">
        <v>414</v>
      </c>
      <c r="C181" s="40" t="s">
        <v>595</v>
      </c>
      <c r="D181" s="135" t="s">
        <v>3541</v>
      </c>
      <c r="E181" s="314" t="s">
        <v>3855</v>
      </c>
      <c r="F181" s="315" t="s">
        <v>3376</v>
      </c>
      <c r="G181" s="315" t="s">
        <v>3856</v>
      </c>
      <c r="H181" s="142" t="s">
        <v>3810</v>
      </c>
      <c r="I181" s="138" t="s">
        <v>3811</v>
      </c>
      <c r="J181" s="136" t="s">
        <v>795</v>
      </c>
      <c r="K181" s="13" t="s">
        <v>15</v>
      </c>
      <c r="L181" s="82" t="s">
        <v>20</v>
      </c>
      <c r="M181" s="146" t="s">
        <v>3577</v>
      </c>
      <c r="N181" s="91"/>
      <c r="O181" s="87" t="s">
        <v>3829</v>
      </c>
      <c r="P181" s="49" t="s">
        <v>993</v>
      </c>
      <c r="Q181" s="13" t="s">
        <v>15</v>
      </c>
      <c r="R181" s="82" t="s">
        <v>20</v>
      </c>
      <c r="S181" s="91" t="s">
        <v>3577</v>
      </c>
      <c r="T181" s="91"/>
      <c r="U181" s="87"/>
      <c r="V181" s="52" t="s">
        <v>1192</v>
      </c>
      <c r="W181" s="13" t="s">
        <v>15</v>
      </c>
      <c r="X181" s="82" t="s">
        <v>20</v>
      </c>
      <c r="Y181" s="91" t="s">
        <v>3577</v>
      </c>
      <c r="Z181" s="91"/>
      <c r="AA181" s="87"/>
      <c r="AB181" s="19" t="s">
        <v>1391</v>
      </c>
      <c r="AC181" s="13" t="s">
        <v>15</v>
      </c>
      <c r="AD181" s="82" t="s">
        <v>20</v>
      </c>
      <c r="AE181" s="91" t="s">
        <v>3577</v>
      </c>
      <c r="AF181" s="91"/>
      <c r="AG181" s="87"/>
      <c r="AH181" s="56" t="s">
        <v>1589</v>
      </c>
      <c r="AI181" s="13" t="s">
        <v>15</v>
      </c>
      <c r="AJ181" s="82" t="s">
        <v>20</v>
      </c>
      <c r="AK181" s="91" t="s">
        <v>3577</v>
      </c>
      <c r="AL181" s="91"/>
      <c r="AM181" s="105"/>
      <c r="AN181" s="23" t="s">
        <v>1788</v>
      </c>
      <c r="AO181" s="13" t="s">
        <v>15</v>
      </c>
      <c r="AP181" s="82" t="s">
        <v>20</v>
      </c>
      <c r="AQ181" s="91" t="s">
        <v>3576</v>
      </c>
      <c r="AR181" s="91"/>
      <c r="AS181" s="87"/>
      <c r="AT181" s="21" t="s">
        <v>1985</v>
      </c>
      <c r="AU181" s="13" t="s">
        <v>15</v>
      </c>
      <c r="AV181" s="82" t="s">
        <v>20</v>
      </c>
      <c r="AW181" s="91" t="s">
        <v>3576</v>
      </c>
      <c r="AX181" s="91"/>
      <c r="AY181" s="87"/>
      <c r="AZ181" s="22" t="s">
        <v>2181</v>
      </c>
      <c r="BA181" s="13" t="s">
        <v>15</v>
      </c>
      <c r="BB181" s="82" t="s">
        <v>20</v>
      </c>
      <c r="BC181" s="91" t="s">
        <v>3576</v>
      </c>
      <c r="BD181" s="91"/>
      <c r="BE181" s="87"/>
      <c r="BF181" s="24" t="s">
        <v>2370</v>
      </c>
      <c r="BG181" s="13" t="s">
        <v>15</v>
      </c>
      <c r="BH181" s="82" t="s">
        <v>20</v>
      </c>
      <c r="BI181" s="91" t="s">
        <v>3576</v>
      </c>
      <c r="BJ181" s="91"/>
      <c r="BK181" s="87"/>
      <c r="BL181" s="27" t="s">
        <v>2563</v>
      </c>
      <c r="BM181" s="13" t="s">
        <v>15</v>
      </c>
      <c r="BN181" s="82" t="s">
        <v>20</v>
      </c>
      <c r="BO181" s="91" t="s">
        <v>3576</v>
      </c>
      <c r="BP181" s="91"/>
      <c r="BQ181" s="105"/>
      <c r="BR181" s="72" t="s">
        <v>2762</v>
      </c>
      <c r="BS181" s="13" t="s">
        <v>15</v>
      </c>
      <c r="BT181" s="82" t="s">
        <v>20</v>
      </c>
      <c r="BU181" s="91" t="s">
        <v>3576</v>
      </c>
      <c r="BV181" s="91"/>
      <c r="BW181" s="87"/>
      <c r="BX181" s="49" t="s">
        <v>2936</v>
      </c>
      <c r="BY181" s="13" t="s">
        <v>0</v>
      </c>
      <c r="BZ181" s="82" t="s">
        <v>12</v>
      </c>
      <c r="CA181" s="91" t="s">
        <v>3576</v>
      </c>
      <c r="CB181" s="91"/>
      <c r="CC181" s="87"/>
      <c r="CD181" s="52" t="s">
        <v>3111</v>
      </c>
      <c r="CE181" s="13" t="s">
        <v>15</v>
      </c>
      <c r="CF181" s="82" t="s">
        <v>20</v>
      </c>
      <c r="CG181" s="91" t="s">
        <v>3576</v>
      </c>
      <c r="CH181" s="91"/>
      <c r="CI181" s="87"/>
      <c r="CJ181" s="19" t="s">
        <v>3111</v>
      </c>
      <c r="CK181" s="13" t="s">
        <v>15</v>
      </c>
      <c r="CL181" s="82" t="s">
        <v>20</v>
      </c>
      <c r="CM181" s="91" t="s">
        <v>3576</v>
      </c>
      <c r="CN181" s="91"/>
      <c r="CO181" s="87"/>
      <c r="CP181" s="56" t="s">
        <v>3111</v>
      </c>
      <c r="CQ181" s="13" t="s">
        <v>15</v>
      </c>
      <c r="CR181" s="82" t="s">
        <v>20</v>
      </c>
      <c r="CS181" s="91" t="s">
        <v>3576</v>
      </c>
      <c r="CT181" s="91"/>
      <c r="CU181" s="105"/>
    </row>
    <row r="182" spans="1:99" ht="73.5" customHeight="1" thickBot="1" x14ac:dyDescent="0.4">
      <c r="A182" s="40" t="s">
        <v>212</v>
      </c>
      <c r="B182" s="40" t="s">
        <v>402</v>
      </c>
      <c r="C182" s="40" t="s">
        <v>585</v>
      </c>
      <c r="D182" s="135" t="s">
        <v>3531</v>
      </c>
      <c r="E182" s="314" t="s">
        <v>3855</v>
      </c>
      <c r="F182" s="315" t="s">
        <v>3371</v>
      </c>
      <c r="G182" s="315" t="s">
        <v>3859</v>
      </c>
      <c r="H182" s="142" t="s">
        <v>3795</v>
      </c>
      <c r="I182" s="138" t="s">
        <v>3566</v>
      </c>
      <c r="J182" s="136" t="s">
        <v>783</v>
      </c>
      <c r="K182" s="13" t="s">
        <v>15</v>
      </c>
      <c r="L182" s="82" t="s">
        <v>9</v>
      </c>
      <c r="M182" s="146" t="s">
        <v>3576</v>
      </c>
      <c r="N182" s="91"/>
      <c r="O182" s="87"/>
      <c r="P182" s="49" t="s">
        <v>981</v>
      </c>
      <c r="Q182" s="13" t="s">
        <v>0</v>
      </c>
      <c r="R182" s="82" t="s">
        <v>12</v>
      </c>
      <c r="S182" s="91" t="s">
        <v>3577</v>
      </c>
      <c r="T182" s="91"/>
      <c r="U182" s="87"/>
      <c r="V182" s="52" t="s">
        <v>1180</v>
      </c>
      <c r="W182" s="13" t="s">
        <v>0</v>
      </c>
      <c r="X182" s="82" t="s">
        <v>12</v>
      </c>
      <c r="Y182" s="91" t="s">
        <v>3577</v>
      </c>
      <c r="Z182" s="91"/>
      <c r="AA182" s="87"/>
      <c r="AB182" s="19" t="s">
        <v>1379</v>
      </c>
      <c r="AC182" s="13" t="s">
        <v>15</v>
      </c>
      <c r="AD182" s="82" t="s">
        <v>9</v>
      </c>
      <c r="AE182" s="91" t="s">
        <v>3576</v>
      </c>
      <c r="AF182" s="91"/>
      <c r="AG182" s="87"/>
      <c r="AH182" s="56" t="s">
        <v>1577</v>
      </c>
      <c r="AI182" s="13" t="s">
        <v>0</v>
      </c>
      <c r="AJ182" s="82" t="s">
        <v>12</v>
      </c>
      <c r="AK182" s="91" t="s">
        <v>3577</v>
      </c>
      <c r="AL182" s="91"/>
      <c r="AM182" s="105"/>
      <c r="AN182" s="23" t="s">
        <v>1776</v>
      </c>
      <c r="AO182" s="13" t="s">
        <v>0</v>
      </c>
      <c r="AP182" s="82" t="s">
        <v>12</v>
      </c>
      <c r="AQ182" s="91" t="s">
        <v>3577</v>
      </c>
      <c r="AR182" s="91"/>
      <c r="AS182" s="87"/>
      <c r="AT182" s="21" t="s">
        <v>1973</v>
      </c>
      <c r="AU182" s="13" t="s">
        <v>15</v>
      </c>
      <c r="AV182" s="82" t="s">
        <v>20</v>
      </c>
      <c r="AW182" s="91" t="s">
        <v>3577</v>
      </c>
      <c r="AX182" s="91"/>
      <c r="AY182" s="87"/>
      <c r="AZ182" s="22" t="s">
        <v>2169</v>
      </c>
      <c r="BA182" s="13" t="s">
        <v>15</v>
      </c>
      <c r="BB182" s="82" t="s">
        <v>20</v>
      </c>
      <c r="BC182" s="91" t="s">
        <v>3577</v>
      </c>
      <c r="BD182" s="91"/>
      <c r="BE182" s="87"/>
      <c r="BF182" s="24" t="s">
        <v>2360</v>
      </c>
      <c r="BG182" s="13" t="s">
        <v>0</v>
      </c>
      <c r="BH182" s="82" t="s">
        <v>12</v>
      </c>
      <c r="BI182" s="91" t="s">
        <v>3577</v>
      </c>
      <c r="BJ182" s="91"/>
      <c r="BK182" s="87"/>
      <c r="BL182" s="27" t="s">
        <v>2552</v>
      </c>
      <c r="BM182" s="13" t="s">
        <v>0</v>
      </c>
      <c r="BN182" s="82" t="s">
        <v>12</v>
      </c>
      <c r="BO182" s="91" t="s">
        <v>3577</v>
      </c>
      <c r="BP182" s="91"/>
      <c r="BQ182" s="105"/>
      <c r="BR182" s="72" t="s">
        <v>2750</v>
      </c>
      <c r="BS182" s="13" t="s">
        <v>0</v>
      </c>
      <c r="BT182" s="82" t="s">
        <v>12</v>
      </c>
      <c r="BU182" s="91" t="s">
        <v>3577</v>
      </c>
      <c r="BV182" s="91"/>
      <c r="BW182" s="87"/>
      <c r="BX182" s="49" t="s">
        <v>2924</v>
      </c>
      <c r="BY182" s="13" t="s">
        <v>0</v>
      </c>
      <c r="BZ182" s="82" t="s">
        <v>12</v>
      </c>
      <c r="CA182" s="91" t="s">
        <v>3577</v>
      </c>
      <c r="CB182" s="91"/>
      <c r="CC182" s="87"/>
      <c r="CD182" s="52" t="s">
        <v>3099</v>
      </c>
      <c r="CE182" s="13" t="s">
        <v>0</v>
      </c>
      <c r="CF182" s="82" t="s">
        <v>12</v>
      </c>
      <c r="CG182" s="91" t="s">
        <v>3577</v>
      </c>
      <c r="CH182" s="91"/>
      <c r="CI182" s="87"/>
      <c r="CJ182" s="19" t="s">
        <v>2750</v>
      </c>
      <c r="CK182" s="13" t="s">
        <v>0</v>
      </c>
      <c r="CL182" s="82" t="s">
        <v>12</v>
      </c>
      <c r="CM182" s="91" t="s">
        <v>3577</v>
      </c>
      <c r="CN182" s="91"/>
      <c r="CO182" s="87"/>
      <c r="CP182" s="56" t="s">
        <v>2924</v>
      </c>
      <c r="CQ182" s="13" t="s">
        <v>0</v>
      </c>
      <c r="CR182" s="82" t="s">
        <v>12</v>
      </c>
      <c r="CS182" s="91" t="s">
        <v>3577</v>
      </c>
      <c r="CT182" s="91"/>
      <c r="CU182" s="105"/>
    </row>
    <row r="183" spans="1:99" ht="54.5" customHeight="1" thickBot="1" x14ac:dyDescent="0.4">
      <c r="A183" s="40" t="s">
        <v>177</v>
      </c>
      <c r="B183" s="40" t="s">
        <v>356</v>
      </c>
      <c r="C183" s="40" t="s">
        <v>548</v>
      </c>
      <c r="D183" s="135" t="s">
        <v>3496</v>
      </c>
      <c r="E183" s="314" t="s">
        <v>3855</v>
      </c>
      <c r="F183" s="315" t="s">
        <v>3387</v>
      </c>
      <c r="G183" s="315" t="s">
        <v>3861</v>
      </c>
      <c r="H183" s="142" t="s">
        <v>3750</v>
      </c>
      <c r="I183" s="138" t="s">
        <v>3751</v>
      </c>
      <c r="J183" s="136" t="s">
        <v>737</v>
      </c>
      <c r="K183" s="13" t="s">
        <v>15</v>
      </c>
      <c r="L183" s="82" t="s">
        <v>9</v>
      </c>
      <c r="M183" s="146" t="s">
        <v>3576</v>
      </c>
      <c r="N183" s="91"/>
      <c r="O183" s="87"/>
      <c r="P183" s="49" t="s">
        <v>936</v>
      </c>
      <c r="Q183" s="13" t="s">
        <v>15</v>
      </c>
      <c r="R183" s="82" t="s">
        <v>9</v>
      </c>
      <c r="S183" s="91" t="s">
        <v>3576</v>
      </c>
      <c r="T183" s="91"/>
      <c r="U183" s="87"/>
      <c r="V183" s="52" t="s">
        <v>1134</v>
      </c>
      <c r="W183" s="13" t="s">
        <v>15</v>
      </c>
      <c r="X183" s="82" t="s">
        <v>9</v>
      </c>
      <c r="Y183" s="91" t="s">
        <v>3576</v>
      </c>
      <c r="Z183" s="91"/>
      <c r="AA183" s="87"/>
      <c r="AB183" s="19" t="s">
        <v>1333</v>
      </c>
      <c r="AC183" s="13" t="s">
        <v>15</v>
      </c>
      <c r="AD183" s="82" t="s">
        <v>9</v>
      </c>
      <c r="AE183" s="91" t="s">
        <v>3576</v>
      </c>
      <c r="AF183" s="91"/>
      <c r="AG183" s="87"/>
      <c r="AH183" s="56" t="s">
        <v>1531</v>
      </c>
      <c r="AI183" s="13" t="s">
        <v>15</v>
      </c>
      <c r="AJ183" s="82" t="s">
        <v>20</v>
      </c>
      <c r="AK183" s="91" t="s">
        <v>3577</v>
      </c>
      <c r="AL183" s="91"/>
      <c r="AM183" s="105"/>
      <c r="AN183" s="23" t="s">
        <v>1730</v>
      </c>
      <c r="AO183" s="13" t="s">
        <v>15</v>
      </c>
      <c r="AP183" s="82" t="s">
        <v>19</v>
      </c>
      <c r="AQ183" s="91" t="s">
        <v>3577</v>
      </c>
      <c r="AR183" s="91"/>
      <c r="AS183" s="87"/>
      <c r="AT183" s="21" t="s">
        <v>1928</v>
      </c>
      <c r="AU183" s="13" t="s">
        <v>15</v>
      </c>
      <c r="AV183" s="82" t="s">
        <v>19</v>
      </c>
      <c r="AW183" s="91" t="s">
        <v>3577</v>
      </c>
      <c r="AX183" s="91"/>
      <c r="AY183" s="87"/>
      <c r="AZ183" s="22" t="s">
        <v>2124</v>
      </c>
      <c r="BA183" s="13" t="s">
        <v>15</v>
      </c>
      <c r="BB183" s="82" t="s">
        <v>19</v>
      </c>
      <c r="BC183" s="91" t="s">
        <v>3577</v>
      </c>
      <c r="BD183" s="91"/>
      <c r="BE183" s="87"/>
      <c r="BF183" s="24" t="s">
        <v>2315</v>
      </c>
      <c r="BG183" s="13" t="s">
        <v>15</v>
      </c>
      <c r="BH183" s="82" t="s">
        <v>9</v>
      </c>
      <c r="BI183" s="91" t="s">
        <v>3576</v>
      </c>
      <c r="BJ183" s="91"/>
      <c r="BK183" s="87"/>
      <c r="BL183" s="27" t="s">
        <v>2506</v>
      </c>
      <c r="BM183" s="13" t="s">
        <v>15</v>
      </c>
      <c r="BN183" s="82" t="s">
        <v>9</v>
      </c>
      <c r="BO183" s="91" t="s">
        <v>3576</v>
      </c>
      <c r="BP183" s="91"/>
      <c r="BQ183" s="105"/>
      <c r="BR183" s="72" t="s">
        <v>2704</v>
      </c>
      <c r="BS183" s="13" t="s">
        <v>15</v>
      </c>
      <c r="BT183" s="82" t="s">
        <v>9</v>
      </c>
      <c r="BU183" s="91" t="s">
        <v>3576</v>
      </c>
      <c r="BV183" s="91"/>
      <c r="BW183" s="87"/>
      <c r="BX183" s="49" t="s">
        <v>2887</v>
      </c>
      <c r="BY183" s="13" t="s">
        <v>15</v>
      </c>
      <c r="BZ183" s="82" t="s">
        <v>9</v>
      </c>
      <c r="CA183" s="91" t="s">
        <v>3576</v>
      </c>
      <c r="CB183" s="91"/>
      <c r="CC183" s="87"/>
      <c r="CD183" s="52" t="s">
        <v>3060</v>
      </c>
      <c r="CE183" s="13" t="s">
        <v>15</v>
      </c>
      <c r="CF183" s="82" t="s">
        <v>9</v>
      </c>
      <c r="CG183" s="91" t="s">
        <v>3576</v>
      </c>
      <c r="CH183" s="91"/>
      <c r="CI183" s="87"/>
      <c r="CJ183" s="19" t="s">
        <v>3209</v>
      </c>
      <c r="CK183" s="13" t="s">
        <v>15</v>
      </c>
      <c r="CL183" s="82" t="s">
        <v>9</v>
      </c>
      <c r="CM183" s="91" t="s">
        <v>3576</v>
      </c>
      <c r="CN183" s="91"/>
      <c r="CO183" s="87"/>
      <c r="CP183" s="56" t="s">
        <v>3209</v>
      </c>
      <c r="CQ183" s="13" t="s">
        <v>15</v>
      </c>
      <c r="CR183" s="82" t="s">
        <v>9</v>
      </c>
      <c r="CS183" s="91" t="s">
        <v>3576</v>
      </c>
      <c r="CT183" s="91"/>
      <c r="CU183" s="105"/>
    </row>
    <row r="184" spans="1:99" ht="79.5" customHeight="1" thickBot="1" x14ac:dyDescent="0.4">
      <c r="A184" s="40" t="s">
        <v>81</v>
      </c>
      <c r="B184" s="40" t="s">
        <v>242</v>
      </c>
      <c r="C184" s="40" t="s">
        <v>442</v>
      </c>
      <c r="D184" s="135" t="s">
        <v>3389</v>
      </c>
      <c r="E184" s="314" t="s">
        <v>3855</v>
      </c>
      <c r="F184" s="315" t="s">
        <v>3371</v>
      </c>
      <c r="G184" s="315" t="s">
        <v>3859</v>
      </c>
      <c r="H184" s="142" t="s">
        <v>3594</v>
      </c>
      <c r="I184" s="138" t="s">
        <v>3566</v>
      </c>
      <c r="J184" s="136" t="s">
        <v>621</v>
      </c>
      <c r="K184" s="13" t="s">
        <v>15</v>
      </c>
      <c r="L184" s="82" t="s">
        <v>19</v>
      </c>
      <c r="M184" s="146" t="s">
        <v>3577</v>
      </c>
      <c r="N184" s="91"/>
      <c r="O184" s="87" t="s">
        <v>3566</v>
      </c>
      <c r="P184" s="49" t="s">
        <v>822</v>
      </c>
      <c r="Q184" s="13" t="s">
        <v>15</v>
      </c>
      <c r="R184" s="82" t="s">
        <v>4</v>
      </c>
      <c r="S184" s="91" t="s">
        <v>3576</v>
      </c>
      <c r="T184" s="91"/>
      <c r="U184" s="87"/>
      <c r="V184" s="52" t="s">
        <v>1020</v>
      </c>
      <c r="W184" s="13" t="s">
        <v>15</v>
      </c>
      <c r="X184" s="82" t="s">
        <v>19</v>
      </c>
      <c r="Y184" s="91" t="s">
        <v>3577</v>
      </c>
      <c r="Z184" s="91"/>
      <c r="AA184" s="87" t="s">
        <v>3566</v>
      </c>
      <c r="AB184" s="19" t="s">
        <v>1220</v>
      </c>
      <c r="AC184" s="13" t="s">
        <v>15</v>
      </c>
      <c r="AD184" s="82" t="s">
        <v>19</v>
      </c>
      <c r="AE184" s="91" t="s">
        <v>3577</v>
      </c>
      <c r="AF184" s="91"/>
      <c r="AG184" s="87" t="s">
        <v>3566</v>
      </c>
      <c r="AH184" s="56" t="s">
        <v>1419</v>
      </c>
      <c r="AI184" s="13" t="s">
        <v>15</v>
      </c>
      <c r="AJ184" s="82" t="s">
        <v>19</v>
      </c>
      <c r="AK184" s="91" t="s">
        <v>3577</v>
      </c>
      <c r="AL184" s="91"/>
      <c r="AM184" s="105" t="s">
        <v>3566</v>
      </c>
      <c r="AN184" s="23" t="s">
        <v>1617</v>
      </c>
      <c r="AO184" s="13" t="s">
        <v>15</v>
      </c>
      <c r="AP184" s="82" t="s">
        <v>19</v>
      </c>
      <c r="AQ184" s="91" t="s">
        <v>3577</v>
      </c>
      <c r="AR184" s="91"/>
      <c r="AS184" s="87" t="s">
        <v>3566</v>
      </c>
      <c r="AT184" s="21" t="s">
        <v>1816</v>
      </c>
      <c r="AU184" s="13" t="s">
        <v>15</v>
      </c>
      <c r="AV184" s="82" t="s">
        <v>19</v>
      </c>
      <c r="AW184" s="91" t="s">
        <v>3577</v>
      </c>
      <c r="AX184" s="91"/>
      <c r="AY184" s="87" t="s">
        <v>3695</v>
      </c>
      <c r="AZ184" s="22" t="s">
        <v>2013</v>
      </c>
      <c r="BA184" s="13" t="s">
        <v>15</v>
      </c>
      <c r="BB184" s="82" t="s">
        <v>19</v>
      </c>
      <c r="BC184" s="91" t="s">
        <v>3577</v>
      </c>
      <c r="BD184" s="91"/>
      <c r="BE184" s="351" t="s">
        <v>3695</v>
      </c>
      <c r="BF184" s="24" t="s">
        <v>2209</v>
      </c>
      <c r="BG184" s="13" t="s">
        <v>15</v>
      </c>
      <c r="BH184" s="82" t="s">
        <v>19</v>
      </c>
      <c r="BI184" s="91" t="s">
        <v>3577</v>
      </c>
      <c r="BJ184" s="91"/>
      <c r="BK184" s="351" t="s">
        <v>3695</v>
      </c>
      <c r="BL184" s="27" t="s">
        <v>2397</v>
      </c>
      <c r="BM184" s="13" t="s">
        <v>15</v>
      </c>
      <c r="BN184" s="82" t="s">
        <v>19</v>
      </c>
      <c r="BO184" s="91" t="s">
        <v>3577</v>
      </c>
      <c r="BP184" s="91"/>
      <c r="BQ184" s="105"/>
      <c r="BR184" s="72" t="s">
        <v>2595</v>
      </c>
      <c r="BS184" s="13" t="s">
        <v>15</v>
      </c>
      <c r="BT184" s="82" t="s">
        <v>4</v>
      </c>
      <c r="BU184" s="91" t="s">
        <v>3576</v>
      </c>
      <c r="BV184" s="91"/>
      <c r="BW184" s="87"/>
      <c r="BX184" s="49" t="s">
        <v>2787</v>
      </c>
      <c r="BY184" s="13" t="s">
        <v>15</v>
      </c>
      <c r="BZ184" s="82" t="s">
        <v>4</v>
      </c>
      <c r="CA184" s="91" t="s">
        <v>3576</v>
      </c>
      <c r="CB184" s="91"/>
      <c r="CC184" s="264"/>
      <c r="CD184" s="52" t="s">
        <v>2961</v>
      </c>
      <c r="CE184" s="13" t="s">
        <v>15</v>
      </c>
      <c r="CF184" s="82" t="s">
        <v>4</v>
      </c>
      <c r="CG184" s="91" t="s">
        <v>3577</v>
      </c>
      <c r="CH184" s="91"/>
      <c r="CI184" s="87"/>
      <c r="CJ184" s="19" t="s">
        <v>2595</v>
      </c>
      <c r="CK184" s="13" t="s">
        <v>15</v>
      </c>
      <c r="CL184" s="82" t="s">
        <v>4</v>
      </c>
      <c r="CM184" s="91" t="s">
        <v>3576</v>
      </c>
      <c r="CN184" s="91"/>
      <c r="CO184" s="87"/>
      <c r="CP184" s="56" t="s">
        <v>2595</v>
      </c>
      <c r="CQ184" s="13" t="s">
        <v>15</v>
      </c>
      <c r="CR184" s="82" t="s">
        <v>20</v>
      </c>
      <c r="CS184" s="91" t="s">
        <v>3576</v>
      </c>
      <c r="CT184" s="91"/>
      <c r="CU184" s="105"/>
    </row>
    <row r="185" spans="1:99" ht="42" customHeight="1" thickBot="1" x14ac:dyDescent="0.4">
      <c r="A185" s="40" t="s">
        <v>115</v>
      </c>
      <c r="B185" s="40" t="s">
        <v>279</v>
      </c>
      <c r="C185" s="40" t="s">
        <v>479</v>
      </c>
      <c r="D185" s="135" t="s">
        <v>3636</v>
      </c>
      <c r="E185" s="314" t="s">
        <v>3855</v>
      </c>
      <c r="F185" s="315" t="s">
        <v>3390</v>
      </c>
      <c r="G185" s="315" t="s">
        <v>3862</v>
      </c>
      <c r="H185" s="142" t="s">
        <v>3637</v>
      </c>
      <c r="I185" s="138" t="s">
        <v>3638</v>
      </c>
      <c r="J185" s="136" t="s">
        <v>659</v>
      </c>
      <c r="K185" s="13" t="s">
        <v>15</v>
      </c>
      <c r="L185" s="82" t="s">
        <v>20</v>
      </c>
      <c r="M185" s="146" t="s">
        <v>3576</v>
      </c>
      <c r="N185" s="91"/>
      <c r="O185" s="87"/>
      <c r="P185" s="49" t="s">
        <v>858</v>
      </c>
      <c r="Q185" s="13" t="s">
        <v>15</v>
      </c>
      <c r="R185" s="82" t="s">
        <v>20</v>
      </c>
      <c r="S185" s="91" t="s">
        <v>3576</v>
      </c>
      <c r="T185" s="91"/>
      <c r="U185" s="87"/>
      <c r="V185" s="52" t="s">
        <v>1057</v>
      </c>
      <c r="W185" s="13" t="s">
        <v>15</v>
      </c>
      <c r="X185" s="82" t="s">
        <v>20</v>
      </c>
      <c r="Y185" s="91" t="s">
        <v>3576</v>
      </c>
      <c r="Z185" s="91"/>
      <c r="AA185" s="87"/>
      <c r="AB185" s="19" t="s">
        <v>1258</v>
      </c>
      <c r="AC185" s="13" t="s">
        <v>15</v>
      </c>
      <c r="AD185" s="82" t="s">
        <v>20</v>
      </c>
      <c r="AE185" s="91" t="s">
        <v>3576</v>
      </c>
      <c r="AF185" s="91"/>
      <c r="AG185" s="87"/>
      <c r="AH185" s="56" t="s">
        <v>1455</v>
      </c>
      <c r="AI185" s="13" t="s">
        <v>15</v>
      </c>
      <c r="AJ185" s="82" t="s">
        <v>20</v>
      </c>
      <c r="AK185" s="91" t="s">
        <v>3576</v>
      </c>
      <c r="AL185" s="91"/>
      <c r="AM185" s="105"/>
      <c r="AN185" s="23" t="s">
        <v>1654</v>
      </c>
      <c r="AO185" s="13" t="s">
        <v>15</v>
      </c>
      <c r="AP185" s="82" t="s">
        <v>19</v>
      </c>
      <c r="AQ185" s="91" t="s">
        <v>3577</v>
      </c>
      <c r="AR185" s="91"/>
      <c r="AS185" s="87"/>
      <c r="AT185" s="21" t="s">
        <v>1851</v>
      </c>
      <c r="AU185" s="13" t="s">
        <v>15</v>
      </c>
      <c r="AV185" s="82" t="s">
        <v>4</v>
      </c>
      <c r="AW185" s="91" t="s">
        <v>3576</v>
      </c>
      <c r="AX185" s="91"/>
      <c r="AY185" s="87"/>
      <c r="AZ185" s="22" t="s">
        <v>2049</v>
      </c>
      <c r="BA185" s="13" t="s">
        <v>11</v>
      </c>
      <c r="BB185" s="82"/>
      <c r="BC185" s="91" t="s">
        <v>3576</v>
      </c>
      <c r="BD185" s="91"/>
      <c r="BE185" s="87"/>
      <c r="BF185" s="24" t="s">
        <v>2243</v>
      </c>
      <c r="BG185" s="13" t="s">
        <v>15</v>
      </c>
      <c r="BH185" s="82" t="s">
        <v>4</v>
      </c>
      <c r="BI185" s="91" t="s">
        <v>3576</v>
      </c>
      <c r="BJ185" s="91"/>
      <c r="BK185" s="87"/>
      <c r="BL185" s="27" t="s">
        <v>2432</v>
      </c>
      <c r="BM185" s="13" t="s">
        <v>11</v>
      </c>
      <c r="BN185" s="82"/>
      <c r="BO185" s="91" t="s">
        <v>3576</v>
      </c>
      <c r="BP185" s="91"/>
      <c r="BQ185" s="105"/>
      <c r="BR185" s="72" t="s">
        <v>2628</v>
      </c>
      <c r="BS185" s="13" t="s">
        <v>0</v>
      </c>
      <c r="BT185" s="82" t="s">
        <v>12</v>
      </c>
      <c r="BU185" s="91" t="s">
        <v>3577</v>
      </c>
      <c r="BV185" s="91"/>
      <c r="BW185" s="87"/>
      <c r="BX185" s="49" t="s">
        <v>2823</v>
      </c>
      <c r="BY185" s="13" t="s">
        <v>0</v>
      </c>
      <c r="BZ185" s="82" t="s">
        <v>12</v>
      </c>
      <c r="CA185" s="91" t="s">
        <v>3577</v>
      </c>
      <c r="CB185" s="91"/>
      <c r="CC185" s="264"/>
      <c r="CD185" s="52" t="s">
        <v>2995</v>
      </c>
      <c r="CE185" s="13" t="s">
        <v>15</v>
      </c>
      <c r="CF185" s="82" t="s">
        <v>20</v>
      </c>
      <c r="CG185" s="91" t="s">
        <v>3577</v>
      </c>
      <c r="CH185" s="91"/>
      <c r="CI185" s="87"/>
      <c r="CJ185" s="19" t="s">
        <v>3157</v>
      </c>
      <c r="CK185" s="13" t="s">
        <v>0</v>
      </c>
      <c r="CL185" s="82" t="s">
        <v>12</v>
      </c>
      <c r="CM185" s="91" t="s">
        <v>3577</v>
      </c>
      <c r="CN185" s="91"/>
      <c r="CO185" s="87"/>
      <c r="CP185" s="56" t="s">
        <v>2823</v>
      </c>
      <c r="CQ185" s="13" t="s">
        <v>0</v>
      </c>
      <c r="CR185" s="82" t="s">
        <v>12</v>
      </c>
      <c r="CS185" s="91" t="s">
        <v>3577</v>
      </c>
      <c r="CT185" s="91"/>
      <c r="CU185" s="105"/>
    </row>
    <row r="186" spans="1:99" ht="42" customHeight="1" thickBot="1" x14ac:dyDescent="0.4">
      <c r="A186" s="40" t="s">
        <v>174</v>
      </c>
      <c r="B186" s="40" t="s">
        <v>350</v>
      </c>
      <c r="C186" s="40" t="s">
        <v>543</v>
      </c>
      <c r="D186" s="135" t="s">
        <v>3490</v>
      </c>
      <c r="E186" s="323" t="s">
        <v>3869</v>
      </c>
      <c r="F186" s="324" t="s">
        <v>3392</v>
      </c>
      <c r="G186" s="324" t="s">
        <v>3870</v>
      </c>
      <c r="H186" s="142"/>
      <c r="I186" s="138"/>
      <c r="J186" s="136" t="s">
        <v>731</v>
      </c>
      <c r="K186" s="13" t="s">
        <v>15</v>
      </c>
      <c r="L186" s="82" t="s">
        <v>20</v>
      </c>
      <c r="M186" s="146" t="s">
        <v>3577</v>
      </c>
      <c r="N186" s="91"/>
      <c r="O186" s="87"/>
      <c r="P186" s="49" t="s">
        <v>930</v>
      </c>
      <c r="Q186" s="13" t="s">
        <v>15</v>
      </c>
      <c r="R186" s="82" t="s">
        <v>20</v>
      </c>
      <c r="S186" s="91" t="s">
        <v>3577</v>
      </c>
      <c r="T186" s="91"/>
      <c r="U186" s="87"/>
      <c r="V186" s="52" t="s">
        <v>1128</v>
      </c>
      <c r="W186" s="13" t="s">
        <v>0</v>
      </c>
      <c r="X186" s="82" t="s">
        <v>12</v>
      </c>
      <c r="Y186" s="91" t="s">
        <v>3576</v>
      </c>
      <c r="Z186" s="91"/>
      <c r="AA186" s="87"/>
      <c r="AB186" s="19" t="s">
        <v>1327</v>
      </c>
      <c r="AC186" s="13" t="s">
        <v>15</v>
      </c>
      <c r="AD186" s="82" t="s">
        <v>20</v>
      </c>
      <c r="AE186" s="91" t="s">
        <v>3577</v>
      </c>
      <c r="AF186" s="91"/>
      <c r="AG186" s="87"/>
      <c r="AH186" s="56" t="s">
        <v>1525</v>
      </c>
      <c r="AI186" s="13" t="s">
        <v>15</v>
      </c>
      <c r="AJ186" s="82" t="s">
        <v>20</v>
      </c>
      <c r="AK186" s="91" t="s">
        <v>3577</v>
      </c>
      <c r="AL186" s="91"/>
      <c r="AM186" s="105"/>
      <c r="AN186" s="23" t="s">
        <v>1724</v>
      </c>
      <c r="AO186" s="13" t="s">
        <v>0</v>
      </c>
      <c r="AP186" s="82" t="s">
        <v>12</v>
      </c>
      <c r="AQ186" s="91" t="s">
        <v>3576</v>
      </c>
      <c r="AR186" s="91"/>
      <c r="AS186" s="87"/>
      <c r="AT186" s="21" t="s">
        <v>1923</v>
      </c>
      <c r="AU186" s="13" t="s">
        <v>0</v>
      </c>
      <c r="AV186" s="82" t="s">
        <v>12</v>
      </c>
      <c r="AW186" s="91" t="s">
        <v>3576</v>
      </c>
      <c r="AX186" s="91"/>
      <c r="AY186" s="87"/>
      <c r="AZ186" s="22" t="s">
        <v>2118</v>
      </c>
      <c r="BA186" s="13" t="s">
        <v>0</v>
      </c>
      <c r="BB186" s="82" t="s">
        <v>12</v>
      </c>
      <c r="BC186" s="91" t="s">
        <v>3576</v>
      </c>
      <c r="BD186" s="91"/>
      <c r="BE186" s="87"/>
      <c r="BF186" s="24" t="s">
        <v>2310</v>
      </c>
      <c r="BG186" s="13" t="s">
        <v>0</v>
      </c>
      <c r="BH186" s="82" t="s">
        <v>12</v>
      </c>
      <c r="BI186" s="91" t="s">
        <v>3576</v>
      </c>
      <c r="BJ186" s="91"/>
      <c r="BK186" s="87"/>
      <c r="BL186" s="27" t="s">
        <v>2500</v>
      </c>
      <c r="BM186" s="13" t="s">
        <v>0</v>
      </c>
      <c r="BN186" s="82" t="s">
        <v>12</v>
      </c>
      <c r="BO186" s="91" t="s">
        <v>3576</v>
      </c>
      <c r="BP186" s="91"/>
      <c r="BQ186" s="105"/>
      <c r="BR186" s="72" t="s">
        <v>2698</v>
      </c>
      <c r="BS186" s="13" t="s">
        <v>15</v>
      </c>
      <c r="BT186" s="82" t="s">
        <v>20</v>
      </c>
      <c r="BU186" s="91" t="s">
        <v>3577</v>
      </c>
      <c r="BV186" s="91"/>
      <c r="BW186" s="87"/>
      <c r="BX186" s="49" t="s">
        <v>2882</v>
      </c>
      <c r="BY186" s="13" t="s">
        <v>0</v>
      </c>
      <c r="BZ186" s="82" t="s">
        <v>12</v>
      </c>
      <c r="CA186" s="91" t="s">
        <v>3576</v>
      </c>
      <c r="CB186" s="91"/>
      <c r="CC186" s="87"/>
      <c r="CD186" s="52" t="s">
        <v>2882</v>
      </c>
      <c r="CE186" s="13" t="s">
        <v>0</v>
      </c>
      <c r="CF186" s="82" t="s">
        <v>12</v>
      </c>
      <c r="CG186" s="91" t="s">
        <v>3576</v>
      </c>
      <c r="CH186" s="91"/>
      <c r="CI186" s="87"/>
      <c r="CJ186" s="19" t="s">
        <v>3204</v>
      </c>
      <c r="CK186" s="13" t="s">
        <v>15</v>
      </c>
      <c r="CL186" s="82" t="s">
        <v>20</v>
      </c>
      <c r="CM186" s="91" t="s">
        <v>3577</v>
      </c>
      <c r="CN186" s="91"/>
      <c r="CO186" s="87"/>
      <c r="CP186" s="56" t="s">
        <v>3331</v>
      </c>
      <c r="CQ186" s="13" t="s">
        <v>15</v>
      </c>
      <c r="CR186" s="82" t="s">
        <v>20</v>
      </c>
      <c r="CS186" s="91" t="s">
        <v>3577</v>
      </c>
      <c r="CT186" s="91"/>
      <c r="CU186" s="311"/>
    </row>
    <row r="187" spans="1:99" ht="68.5" customHeight="1" thickBot="1" x14ac:dyDescent="0.4">
      <c r="A187" s="40" t="s">
        <v>100</v>
      </c>
      <c r="B187" s="40" t="s">
        <v>262</v>
      </c>
      <c r="C187" s="40" t="s">
        <v>461</v>
      </c>
      <c r="D187" s="135" t="s">
        <v>3409</v>
      </c>
      <c r="E187" s="317" t="s">
        <v>3866</v>
      </c>
      <c r="F187" s="318" t="s">
        <v>3382</v>
      </c>
      <c r="G187" s="319" t="s">
        <v>3867</v>
      </c>
      <c r="H187" s="142" t="s">
        <v>3618</v>
      </c>
      <c r="I187" s="138" t="s">
        <v>3559</v>
      </c>
      <c r="J187" s="136" t="s">
        <v>641</v>
      </c>
      <c r="K187" s="13"/>
      <c r="L187" s="82"/>
      <c r="M187" s="146"/>
      <c r="N187" s="91"/>
      <c r="O187" s="87"/>
      <c r="P187" s="49" t="s">
        <v>842</v>
      </c>
      <c r="Q187" s="13"/>
      <c r="R187" s="82"/>
      <c r="S187" s="91"/>
      <c r="T187" s="91"/>
      <c r="U187" s="87"/>
      <c r="V187" s="52" t="s">
        <v>1040</v>
      </c>
      <c r="W187" s="13"/>
      <c r="X187" s="82"/>
      <c r="Y187" s="91"/>
      <c r="Z187" s="91"/>
      <c r="AA187" s="87"/>
      <c r="AB187" s="19" t="s">
        <v>1240</v>
      </c>
      <c r="AC187" s="13"/>
      <c r="AD187" s="82"/>
      <c r="AE187" s="91"/>
      <c r="AF187" s="91"/>
      <c r="AG187" s="87"/>
      <c r="AH187" s="56" t="s">
        <v>1439</v>
      </c>
      <c r="AI187" s="13"/>
      <c r="AJ187" s="82"/>
      <c r="AK187" s="91"/>
      <c r="AL187" s="91"/>
      <c r="AM187" s="105"/>
      <c r="AN187" s="23" t="s">
        <v>1636</v>
      </c>
      <c r="AO187" s="13"/>
      <c r="AP187" s="82"/>
      <c r="AQ187" s="91"/>
      <c r="AR187" s="91"/>
      <c r="AS187" s="87"/>
      <c r="AT187" s="21" t="s">
        <v>1835</v>
      </c>
      <c r="AU187" s="13"/>
      <c r="AV187" s="82"/>
      <c r="AW187" s="91"/>
      <c r="AX187" s="91"/>
      <c r="AY187" s="87"/>
      <c r="AZ187" s="22" t="s">
        <v>2032</v>
      </c>
      <c r="BA187" s="13"/>
      <c r="BB187" s="82"/>
      <c r="BC187" s="91"/>
      <c r="BD187" s="91"/>
      <c r="BE187" s="87"/>
      <c r="BF187" s="24" t="s">
        <v>2229</v>
      </c>
      <c r="BG187" s="13"/>
      <c r="BH187" s="82"/>
      <c r="BI187" s="91"/>
      <c r="BJ187" s="91"/>
      <c r="BK187" s="87"/>
      <c r="BL187" s="27" t="s">
        <v>2417</v>
      </c>
      <c r="BM187" s="13"/>
      <c r="BN187" s="82"/>
      <c r="BO187" s="91"/>
      <c r="BP187" s="91"/>
      <c r="BQ187" s="105"/>
      <c r="BR187" s="72" t="s">
        <v>2613</v>
      </c>
      <c r="BS187" s="13"/>
      <c r="BT187" s="82"/>
      <c r="BU187" s="91"/>
      <c r="BV187" s="91"/>
      <c r="BW187" s="87"/>
      <c r="BX187" s="49" t="s">
        <v>2805</v>
      </c>
      <c r="BY187" s="13"/>
      <c r="BZ187" s="82"/>
      <c r="CA187" s="91"/>
      <c r="CB187" s="91"/>
      <c r="CC187" s="264"/>
      <c r="CD187" s="52" t="s">
        <v>2980</v>
      </c>
      <c r="CE187" s="13"/>
      <c r="CF187" s="82"/>
      <c r="CG187" s="91"/>
      <c r="CH187" s="91"/>
      <c r="CI187" s="87"/>
      <c r="CJ187" s="19" t="s">
        <v>3148</v>
      </c>
      <c r="CK187" s="13"/>
      <c r="CL187" s="82"/>
      <c r="CM187" s="91"/>
      <c r="CN187" s="91"/>
      <c r="CO187" s="87"/>
      <c r="CP187" s="56" t="s">
        <v>3286</v>
      </c>
      <c r="CQ187" s="13"/>
      <c r="CR187" s="82"/>
      <c r="CS187" s="91"/>
      <c r="CT187" s="91"/>
      <c r="CU187" s="105"/>
    </row>
    <row r="188" spans="1:99" ht="42" customHeight="1" thickBot="1" x14ac:dyDescent="0.4">
      <c r="A188" s="40" t="s">
        <v>79</v>
      </c>
      <c r="B188" s="40" t="s">
        <v>240</v>
      </c>
      <c r="C188" s="40" t="s">
        <v>440</v>
      </c>
      <c r="D188" s="135" t="s">
        <v>3564</v>
      </c>
      <c r="E188" s="314" t="s">
        <v>3855</v>
      </c>
      <c r="F188" s="315" t="s">
        <v>3387</v>
      </c>
      <c r="G188" s="315" t="s">
        <v>3861</v>
      </c>
      <c r="H188" s="142" t="s">
        <v>3688</v>
      </c>
      <c r="I188" s="138" t="s">
        <v>3559</v>
      </c>
      <c r="J188" s="136" t="s">
        <v>619</v>
      </c>
      <c r="K188" s="13" t="s">
        <v>15</v>
      </c>
      <c r="L188" s="82" t="s">
        <v>9</v>
      </c>
      <c r="M188" s="146" t="s">
        <v>3577</v>
      </c>
      <c r="N188" s="91"/>
      <c r="O188" s="347" t="s">
        <v>3843</v>
      </c>
      <c r="P188" s="49" t="s">
        <v>820</v>
      </c>
      <c r="Q188" s="13" t="s">
        <v>15</v>
      </c>
      <c r="R188" s="82" t="s">
        <v>4</v>
      </c>
      <c r="S188" s="91" t="s">
        <v>3576</v>
      </c>
      <c r="T188" s="91"/>
      <c r="U188" s="87"/>
      <c r="V188" s="52" t="s">
        <v>1018</v>
      </c>
      <c r="W188" s="13" t="s">
        <v>15</v>
      </c>
      <c r="X188" s="82" t="s">
        <v>4</v>
      </c>
      <c r="Y188" s="91" t="s">
        <v>3576</v>
      </c>
      <c r="Z188" s="91"/>
      <c r="AA188" s="87"/>
      <c r="AB188" s="19" t="s">
        <v>1218</v>
      </c>
      <c r="AC188" s="13" t="s">
        <v>15</v>
      </c>
      <c r="AD188" s="82" t="s">
        <v>9</v>
      </c>
      <c r="AE188" s="91" t="s">
        <v>3577</v>
      </c>
      <c r="AF188" s="91"/>
      <c r="AG188" s="87"/>
      <c r="AH188" s="56" t="s">
        <v>1417</v>
      </c>
      <c r="AI188" s="13" t="s">
        <v>15</v>
      </c>
      <c r="AJ188" s="82" t="s">
        <v>9</v>
      </c>
      <c r="AK188" s="91" t="s">
        <v>3577</v>
      </c>
      <c r="AL188" s="91"/>
      <c r="AM188" s="105"/>
      <c r="AN188" s="23" t="s">
        <v>1615</v>
      </c>
      <c r="AO188" s="13" t="s">
        <v>15</v>
      </c>
      <c r="AP188" s="82" t="s">
        <v>9</v>
      </c>
      <c r="AQ188" s="91" t="s">
        <v>3577</v>
      </c>
      <c r="AR188" s="91"/>
      <c r="AS188" s="87" t="s">
        <v>3559</v>
      </c>
      <c r="AT188" s="21" t="s">
        <v>1814</v>
      </c>
      <c r="AU188" s="13" t="s">
        <v>15</v>
      </c>
      <c r="AV188" s="82" t="s">
        <v>9</v>
      </c>
      <c r="AW188" s="91" t="s">
        <v>3577</v>
      </c>
      <c r="AX188" s="91"/>
      <c r="AY188" s="87" t="s">
        <v>3559</v>
      </c>
      <c r="AZ188" s="22" t="s">
        <v>2011</v>
      </c>
      <c r="BA188" s="13" t="s">
        <v>15</v>
      </c>
      <c r="BB188" s="82" t="s">
        <v>9</v>
      </c>
      <c r="BC188" s="91" t="s">
        <v>3577</v>
      </c>
      <c r="BD188" s="91"/>
      <c r="BE188" s="87" t="s">
        <v>3692</v>
      </c>
      <c r="BF188" s="24" t="s">
        <v>2207</v>
      </c>
      <c r="BG188" s="13" t="s">
        <v>15</v>
      </c>
      <c r="BH188" s="82" t="s">
        <v>9</v>
      </c>
      <c r="BI188" s="91" t="s">
        <v>3577</v>
      </c>
      <c r="BJ188" s="91"/>
      <c r="BK188" s="87"/>
      <c r="BL188" s="27" t="s">
        <v>2395</v>
      </c>
      <c r="BM188" s="13" t="s">
        <v>15</v>
      </c>
      <c r="BN188" s="82" t="s">
        <v>9</v>
      </c>
      <c r="BO188" s="91" t="s">
        <v>3577</v>
      </c>
      <c r="BP188" s="91"/>
      <c r="BQ188" s="105" t="s">
        <v>3559</v>
      </c>
      <c r="BR188" s="72" t="s">
        <v>2593</v>
      </c>
      <c r="BS188" s="13" t="s">
        <v>15</v>
      </c>
      <c r="BT188" s="82" t="s">
        <v>9</v>
      </c>
      <c r="BU188" s="91" t="s">
        <v>3577</v>
      </c>
      <c r="BV188" s="91"/>
      <c r="BW188" s="87" t="s">
        <v>3562</v>
      </c>
      <c r="BX188" s="49" t="s">
        <v>2785</v>
      </c>
      <c r="BY188" s="13" t="s">
        <v>15</v>
      </c>
      <c r="BZ188" s="82" t="s">
        <v>9</v>
      </c>
      <c r="CA188" s="91" t="s">
        <v>3576</v>
      </c>
      <c r="CB188" s="91"/>
      <c r="CC188" s="264"/>
      <c r="CD188" s="75" t="s">
        <v>2785</v>
      </c>
      <c r="CE188" s="13" t="s">
        <v>15</v>
      </c>
      <c r="CF188" s="82" t="s">
        <v>9</v>
      </c>
      <c r="CG188" s="91" t="s">
        <v>3577</v>
      </c>
      <c r="CH188" s="91"/>
      <c r="CI188" s="87"/>
      <c r="CJ188" s="19" t="s">
        <v>3133</v>
      </c>
      <c r="CK188" s="13" t="s">
        <v>15</v>
      </c>
      <c r="CL188" s="82" t="s">
        <v>9</v>
      </c>
      <c r="CM188" s="91" t="s">
        <v>3577</v>
      </c>
      <c r="CN188" s="91"/>
      <c r="CO188" s="87"/>
      <c r="CP188" s="56" t="s">
        <v>3272</v>
      </c>
      <c r="CQ188" s="13" t="s">
        <v>15</v>
      </c>
      <c r="CR188" s="82" t="s">
        <v>9</v>
      </c>
      <c r="CS188" s="91" t="s">
        <v>3577</v>
      </c>
      <c r="CT188" s="91"/>
      <c r="CU188" s="105" t="s">
        <v>3559</v>
      </c>
    </row>
    <row r="189" spans="1:99" ht="60" customHeight="1" thickBot="1" x14ac:dyDescent="0.4">
      <c r="A189" s="40" t="s">
        <v>77</v>
      </c>
      <c r="B189" s="40" t="s">
        <v>239</v>
      </c>
      <c r="C189" s="40" t="s">
        <v>438</v>
      </c>
      <c r="D189" s="135" t="s">
        <v>3385</v>
      </c>
      <c r="E189" s="314" t="s">
        <v>3855</v>
      </c>
      <c r="F189" s="315" t="s">
        <v>3383</v>
      </c>
      <c r="G189" s="315" t="s">
        <v>3863</v>
      </c>
      <c r="H189" s="256" t="s">
        <v>3592</v>
      </c>
      <c r="I189" s="139" t="s">
        <v>3559</v>
      </c>
      <c r="J189" s="136" t="s">
        <v>618</v>
      </c>
      <c r="K189" s="13" t="s">
        <v>11</v>
      </c>
      <c r="L189" s="82"/>
      <c r="M189" s="146" t="s">
        <v>3576</v>
      </c>
      <c r="N189" s="91"/>
      <c r="O189" s="87"/>
      <c r="P189" s="49" t="s">
        <v>818</v>
      </c>
      <c r="Q189" s="13" t="s">
        <v>11</v>
      </c>
      <c r="R189" s="82"/>
      <c r="S189" s="91" t="s">
        <v>3576</v>
      </c>
      <c r="T189" s="91"/>
      <c r="U189" s="87"/>
      <c r="V189" s="52" t="s">
        <v>1016</v>
      </c>
      <c r="W189" s="13" t="s">
        <v>11</v>
      </c>
      <c r="X189" s="82"/>
      <c r="Y189" s="91" t="s">
        <v>3576</v>
      </c>
      <c r="Z189" s="91"/>
      <c r="AA189" s="87"/>
      <c r="AB189" s="19" t="s">
        <v>1216</v>
      </c>
      <c r="AC189" s="13" t="s">
        <v>11</v>
      </c>
      <c r="AD189" s="82"/>
      <c r="AE189" s="91" t="s">
        <v>3576</v>
      </c>
      <c r="AF189" s="91"/>
      <c r="AG189" s="87"/>
      <c r="AH189" s="56" t="s">
        <v>1415</v>
      </c>
      <c r="AI189" s="13" t="s">
        <v>11</v>
      </c>
      <c r="AJ189" s="82"/>
      <c r="AK189" s="91" t="s">
        <v>3576</v>
      </c>
      <c r="AL189" s="91"/>
      <c r="AM189" s="105"/>
      <c r="AN189" s="23" t="s">
        <v>1613</v>
      </c>
      <c r="AO189" s="13" t="s">
        <v>15</v>
      </c>
      <c r="AP189" s="82" t="s">
        <v>9</v>
      </c>
      <c r="AQ189" s="91" t="s">
        <v>3576</v>
      </c>
      <c r="AR189" s="91"/>
      <c r="AS189" s="351" t="s">
        <v>3686</v>
      </c>
      <c r="AT189" s="21" t="s">
        <v>1812</v>
      </c>
      <c r="AU189" s="13" t="s">
        <v>15</v>
      </c>
      <c r="AV189" s="82" t="s">
        <v>20</v>
      </c>
      <c r="AW189" s="91" t="s">
        <v>3577</v>
      </c>
      <c r="AX189" s="91"/>
      <c r="AY189" s="351" t="s">
        <v>3687</v>
      </c>
      <c r="AZ189" s="22" t="s">
        <v>2009</v>
      </c>
      <c r="BA189" s="13" t="s">
        <v>15</v>
      </c>
      <c r="BB189" s="82" t="s">
        <v>20</v>
      </c>
      <c r="BC189" s="91" t="s">
        <v>3577</v>
      </c>
      <c r="BD189" s="91"/>
      <c r="BE189" s="351" t="s">
        <v>3687</v>
      </c>
      <c r="BF189" s="24" t="s">
        <v>2205</v>
      </c>
      <c r="BG189" s="13" t="s">
        <v>15</v>
      </c>
      <c r="BH189" s="82" t="s">
        <v>9</v>
      </c>
      <c r="BI189" s="91" t="s">
        <v>3576</v>
      </c>
      <c r="BJ189" s="91"/>
      <c r="BK189" s="87"/>
      <c r="BL189" s="27" t="s">
        <v>2393</v>
      </c>
      <c r="BM189" s="13" t="s">
        <v>15</v>
      </c>
      <c r="BN189" s="82" t="s">
        <v>9</v>
      </c>
      <c r="BO189" s="91" t="s">
        <v>3576</v>
      </c>
      <c r="BP189" s="91"/>
      <c r="BQ189" s="105"/>
      <c r="BR189" s="72" t="s">
        <v>2591</v>
      </c>
      <c r="BS189" s="13" t="s">
        <v>0</v>
      </c>
      <c r="BT189" s="82" t="s">
        <v>12</v>
      </c>
      <c r="BU189" s="91" t="s">
        <v>3576</v>
      </c>
      <c r="BV189" s="91"/>
      <c r="BW189" s="87"/>
      <c r="BX189" s="49" t="s">
        <v>2591</v>
      </c>
      <c r="BY189" s="13" t="s">
        <v>0</v>
      </c>
      <c r="BZ189" s="82" t="s">
        <v>12</v>
      </c>
      <c r="CA189" s="91" t="s">
        <v>3576</v>
      </c>
      <c r="CB189" s="91"/>
      <c r="CC189" s="264"/>
      <c r="CD189" s="52" t="s">
        <v>2958</v>
      </c>
      <c r="CE189" s="13" t="s">
        <v>0</v>
      </c>
      <c r="CF189" s="82" t="s">
        <v>12</v>
      </c>
      <c r="CG189" s="91" t="s">
        <v>3576</v>
      </c>
      <c r="CH189" s="91"/>
      <c r="CI189" s="87"/>
      <c r="CJ189" s="19" t="s">
        <v>3132</v>
      </c>
      <c r="CK189" s="13" t="s">
        <v>11</v>
      </c>
      <c r="CL189" s="82"/>
      <c r="CM189" s="91" t="s">
        <v>3576</v>
      </c>
      <c r="CN189" s="91"/>
      <c r="CO189" s="87"/>
      <c r="CP189" s="56" t="s">
        <v>3270</v>
      </c>
      <c r="CQ189" s="13" t="s">
        <v>11</v>
      </c>
      <c r="CR189" s="82"/>
      <c r="CS189" s="91" t="s">
        <v>3576</v>
      </c>
      <c r="CT189" s="91"/>
      <c r="CU189" s="105" t="s">
        <v>3579</v>
      </c>
    </row>
    <row r="190" spans="1:99" ht="42" customHeight="1" thickBot="1" x14ac:dyDescent="0.4">
      <c r="A190" s="40" t="s">
        <v>178</v>
      </c>
      <c r="B190" s="40" t="s">
        <v>357</v>
      </c>
      <c r="C190" s="40" t="s">
        <v>549</v>
      </c>
      <c r="D190" s="135" t="s">
        <v>3497</v>
      </c>
      <c r="E190" s="314" t="s">
        <v>3855</v>
      </c>
      <c r="F190" s="315" t="s">
        <v>3387</v>
      </c>
      <c r="G190" s="315" t="s">
        <v>3861</v>
      </c>
      <c r="H190" s="142" t="s">
        <v>3752</v>
      </c>
      <c r="I190" s="138" t="s">
        <v>3566</v>
      </c>
      <c r="J190" s="136" t="s">
        <v>738</v>
      </c>
      <c r="K190" s="13" t="s">
        <v>15</v>
      </c>
      <c r="L190" s="82" t="s">
        <v>9</v>
      </c>
      <c r="M190" s="146" t="s">
        <v>3576</v>
      </c>
      <c r="N190" s="91"/>
      <c r="O190" s="87"/>
      <c r="P190" s="49" t="s">
        <v>937</v>
      </c>
      <c r="Q190" s="13" t="s">
        <v>15</v>
      </c>
      <c r="R190" s="82" t="s">
        <v>9</v>
      </c>
      <c r="S190" s="91" t="s">
        <v>3576</v>
      </c>
      <c r="T190" s="91"/>
      <c r="U190" s="87"/>
      <c r="V190" s="52" t="s">
        <v>1135</v>
      </c>
      <c r="W190" s="13" t="s">
        <v>15</v>
      </c>
      <c r="X190" s="82" t="s">
        <v>9</v>
      </c>
      <c r="Y190" s="91" t="s">
        <v>3576</v>
      </c>
      <c r="Z190" s="91"/>
      <c r="AA190" s="87"/>
      <c r="AB190" s="19" t="s">
        <v>1334</v>
      </c>
      <c r="AC190" s="13" t="s">
        <v>15</v>
      </c>
      <c r="AD190" s="82" t="s">
        <v>9</v>
      </c>
      <c r="AE190" s="91" t="s">
        <v>3576</v>
      </c>
      <c r="AF190" s="91"/>
      <c r="AG190" s="87"/>
      <c r="AH190" s="56" t="s">
        <v>1532</v>
      </c>
      <c r="AI190" s="13" t="s">
        <v>15</v>
      </c>
      <c r="AJ190" s="82" t="s">
        <v>9</v>
      </c>
      <c r="AK190" s="91" t="s">
        <v>3576</v>
      </c>
      <c r="AL190" s="91"/>
      <c r="AM190" s="105"/>
      <c r="AN190" s="23" t="s">
        <v>1731</v>
      </c>
      <c r="AO190" s="13" t="s">
        <v>15</v>
      </c>
      <c r="AP190" s="82" t="s">
        <v>9</v>
      </c>
      <c r="AQ190" s="91" t="s">
        <v>3576</v>
      </c>
      <c r="AR190" s="91"/>
      <c r="AS190" s="87"/>
      <c r="AT190" s="21" t="s">
        <v>1929</v>
      </c>
      <c r="AU190" s="13" t="s">
        <v>15</v>
      </c>
      <c r="AV190" s="82" t="s">
        <v>9</v>
      </c>
      <c r="AW190" s="91" t="s">
        <v>3576</v>
      </c>
      <c r="AX190" s="91"/>
      <c r="AY190" s="87"/>
      <c r="AZ190" s="22" t="s">
        <v>2125</v>
      </c>
      <c r="BA190" s="13" t="s">
        <v>15</v>
      </c>
      <c r="BB190" s="82" t="s">
        <v>9</v>
      </c>
      <c r="BC190" s="91" t="s">
        <v>3576</v>
      </c>
      <c r="BD190" s="91"/>
      <c r="BE190" s="87"/>
      <c r="BF190" s="24" t="s">
        <v>2316</v>
      </c>
      <c r="BG190" s="13" t="s">
        <v>15</v>
      </c>
      <c r="BH190" s="82" t="s">
        <v>9</v>
      </c>
      <c r="BI190" s="91" t="s">
        <v>3576</v>
      </c>
      <c r="BJ190" s="91"/>
      <c r="BK190" s="87"/>
      <c r="BL190" s="27" t="s">
        <v>2507</v>
      </c>
      <c r="BM190" s="13" t="s">
        <v>15</v>
      </c>
      <c r="BN190" s="82" t="s">
        <v>9</v>
      </c>
      <c r="BO190" s="91" t="s">
        <v>3576</v>
      </c>
      <c r="BP190" s="91"/>
      <c r="BQ190" s="105"/>
      <c r="BR190" s="72" t="s">
        <v>2705</v>
      </c>
      <c r="BS190" s="13" t="s">
        <v>15</v>
      </c>
      <c r="BT190" s="82" t="s">
        <v>9</v>
      </c>
      <c r="BU190" s="91" t="s">
        <v>3576</v>
      </c>
      <c r="BV190" s="91"/>
      <c r="BW190" s="87"/>
      <c r="BX190" s="49" t="s">
        <v>2888</v>
      </c>
      <c r="BY190" s="13" t="s">
        <v>15</v>
      </c>
      <c r="BZ190" s="82" t="s">
        <v>9</v>
      </c>
      <c r="CA190" s="91" t="s">
        <v>3576</v>
      </c>
      <c r="CB190" s="91"/>
      <c r="CC190" s="87"/>
      <c r="CD190" s="52" t="s">
        <v>3061</v>
      </c>
      <c r="CE190" s="13" t="s">
        <v>15</v>
      </c>
      <c r="CF190" s="82" t="s">
        <v>9</v>
      </c>
      <c r="CG190" s="91" t="s">
        <v>3576</v>
      </c>
      <c r="CH190" s="91"/>
      <c r="CI190" s="87"/>
      <c r="CJ190" s="19" t="s">
        <v>3210</v>
      </c>
      <c r="CK190" s="13" t="s">
        <v>15</v>
      </c>
      <c r="CL190" s="82" t="s">
        <v>9</v>
      </c>
      <c r="CM190" s="91" t="s">
        <v>3576</v>
      </c>
      <c r="CN190" s="91"/>
      <c r="CO190" s="87"/>
      <c r="CP190" s="56" t="s">
        <v>3334</v>
      </c>
      <c r="CQ190" s="13" t="s">
        <v>15</v>
      </c>
      <c r="CR190" s="82" t="s">
        <v>9</v>
      </c>
      <c r="CS190" s="91" t="s">
        <v>3576</v>
      </c>
      <c r="CT190" s="91"/>
      <c r="CU190" s="105"/>
    </row>
    <row r="191" spans="1:99" ht="42" customHeight="1" thickBot="1" x14ac:dyDescent="0.4">
      <c r="A191" s="40" t="s">
        <v>194</v>
      </c>
      <c r="B191" s="40" t="s">
        <v>379</v>
      </c>
      <c r="C191" s="40" t="s">
        <v>517</v>
      </c>
      <c r="D191" s="135" t="s">
        <v>3513</v>
      </c>
      <c r="E191" s="314" t="s">
        <v>3855</v>
      </c>
      <c r="F191" s="315" t="s">
        <v>3383</v>
      </c>
      <c r="G191" s="315" t="s">
        <v>3863</v>
      </c>
      <c r="H191" s="142"/>
      <c r="I191" s="138"/>
      <c r="J191" s="136" t="s">
        <v>760</v>
      </c>
      <c r="K191" s="13" t="s">
        <v>0</v>
      </c>
      <c r="L191" s="82" t="s">
        <v>1</v>
      </c>
      <c r="M191" s="146" t="s">
        <v>3576</v>
      </c>
      <c r="N191" s="91"/>
      <c r="O191" s="87" t="s">
        <v>3825</v>
      </c>
      <c r="P191" s="49" t="s">
        <v>959</v>
      </c>
      <c r="Q191" s="13" t="s">
        <v>0</v>
      </c>
      <c r="R191" s="82" t="s">
        <v>1</v>
      </c>
      <c r="S191" s="91" t="s">
        <v>3576</v>
      </c>
      <c r="T191" s="91"/>
      <c r="U191" s="87"/>
      <c r="V191" s="52" t="s">
        <v>1157</v>
      </c>
      <c r="W191" s="13" t="s">
        <v>0</v>
      </c>
      <c r="X191" s="82" t="s">
        <v>1</v>
      </c>
      <c r="Y191" s="91" t="s">
        <v>3576</v>
      </c>
      <c r="Z191" s="91"/>
      <c r="AA191" s="87"/>
      <c r="AB191" s="19" t="s">
        <v>1356</v>
      </c>
      <c r="AC191" s="13" t="s">
        <v>0</v>
      </c>
      <c r="AD191" s="82" t="s">
        <v>1</v>
      </c>
      <c r="AE191" s="91" t="s">
        <v>3576</v>
      </c>
      <c r="AF191" s="91"/>
      <c r="AG191" s="87"/>
      <c r="AH191" s="56" t="s">
        <v>1554</v>
      </c>
      <c r="AI191" s="13" t="s">
        <v>0</v>
      </c>
      <c r="AJ191" s="82" t="s">
        <v>1</v>
      </c>
      <c r="AK191" s="91" t="s">
        <v>3576</v>
      </c>
      <c r="AL191" s="91"/>
      <c r="AM191" s="105"/>
      <c r="AN191" s="23" t="s">
        <v>1753</v>
      </c>
      <c r="AO191" s="13" t="s">
        <v>0</v>
      </c>
      <c r="AP191" s="82" t="s">
        <v>1</v>
      </c>
      <c r="AQ191" s="91" t="s">
        <v>3576</v>
      </c>
      <c r="AR191" s="91"/>
      <c r="AS191" s="87"/>
      <c r="AT191" s="21" t="s">
        <v>1950</v>
      </c>
      <c r="AU191" s="13" t="s">
        <v>0</v>
      </c>
      <c r="AV191" s="82" t="s">
        <v>1</v>
      </c>
      <c r="AW191" s="91" t="s">
        <v>3576</v>
      </c>
      <c r="AX191" s="91"/>
      <c r="AY191" s="87"/>
      <c r="AZ191" s="22" t="s">
        <v>2146</v>
      </c>
      <c r="BA191" s="13" t="s">
        <v>0</v>
      </c>
      <c r="BB191" s="82" t="s">
        <v>1</v>
      </c>
      <c r="BC191" s="91" t="s">
        <v>3576</v>
      </c>
      <c r="BD191" s="91" t="s">
        <v>3775</v>
      </c>
      <c r="BE191" s="87"/>
      <c r="BF191" s="24" t="s">
        <v>2337</v>
      </c>
      <c r="BG191" s="13" t="s">
        <v>0</v>
      </c>
      <c r="BH191" s="82" t="s">
        <v>1</v>
      </c>
      <c r="BI191" s="91" t="s">
        <v>3576</v>
      </c>
      <c r="BJ191" s="91"/>
      <c r="BK191" s="87"/>
      <c r="BL191" s="27" t="s">
        <v>2529</v>
      </c>
      <c r="BM191" s="13" t="s">
        <v>0</v>
      </c>
      <c r="BN191" s="82" t="s">
        <v>1</v>
      </c>
      <c r="BO191" s="91" t="s">
        <v>3576</v>
      </c>
      <c r="BP191" s="91"/>
      <c r="BQ191" s="105"/>
      <c r="BR191" s="72" t="s">
        <v>2727</v>
      </c>
      <c r="BS191" s="13" t="s">
        <v>0</v>
      </c>
      <c r="BT191" s="82" t="s">
        <v>1</v>
      </c>
      <c r="BU191" s="91" t="s">
        <v>3576</v>
      </c>
      <c r="BV191" s="91"/>
      <c r="BW191" s="87"/>
      <c r="BX191" s="49" t="s">
        <v>2727</v>
      </c>
      <c r="BY191" s="13" t="s">
        <v>0</v>
      </c>
      <c r="BZ191" s="82" t="s">
        <v>1</v>
      </c>
      <c r="CA191" s="91" t="s">
        <v>3576</v>
      </c>
      <c r="CB191" s="91"/>
      <c r="CC191" s="87"/>
      <c r="CD191" s="52" t="s">
        <v>3079</v>
      </c>
      <c r="CE191" s="13" t="s">
        <v>0</v>
      </c>
      <c r="CF191" s="82" t="s">
        <v>1</v>
      </c>
      <c r="CG191" s="91" t="s">
        <v>3576</v>
      </c>
      <c r="CH191" s="91"/>
      <c r="CI191" s="87"/>
      <c r="CJ191" s="19" t="s">
        <v>3227</v>
      </c>
      <c r="CK191" s="13" t="s">
        <v>0</v>
      </c>
      <c r="CL191" s="82" t="s">
        <v>1</v>
      </c>
      <c r="CM191" s="91" t="s">
        <v>3576</v>
      </c>
      <c r="CN191" s="91"/>
      <c r="CO191" s="87"/>
      <c r="CP191" s="56" t="s">
        <v>3346</v>
      </c>
      <c r="CQ191" s="13" t="s">
        <v>0</v>
      </c>
      <c r="CR191" s="82" t="s">
        <v>1</v>
      </c>
      <c r="CS191" s="91" t="s">
        <v>3576</v>
      </c>
      <c r="CT191" s="91"/>
      <c r="CU191" s="105"/>
    </row>
    <row r="192" spans="1:99" ht="71" customHeight="1" thickBot="1" x14ac:dyDescent="0.4">
      <c r="A192" s="40" t="s">
        <v>119</v>
      </c>
      <c r="B192" s="40" t="s">
        <v>282</v>
      </c>
      <c r="C192" s="40" t="s">
        <v>483</v>
      </c>
      <c r="D192" s="135" t="s">
        <v>3430</v>
      </c>
      <c r="E192" s="314" t="s">
        <v>3855</v>
      </c>
      <c r="F192" s="315" t="s">
        <v>3371</v>
      </c>
      <c r="G192" s="315" t="s">
        <v>3859</v>
      </c>
      <c r="H192" s="142" t="s">
        <v>3643</v>
      </c>
      <c r="I192" s="138" t="s">
        <v>3644</v>
      </c>
      <c r="J192" s="136" t="s">
        <v>663</v>
      </c>
      <c r="K192" s="13" t="s">
        <v>15</v>
      </c>
      <c r="L192" s="82" t="s">
        <v>4</v>
      </c>
      <c r="M192" s="146" t="s">
        <v>3577</v>
      </c>
      <c r="N192" s="91"/>
      <c r="O192" s="87"/>
      <c r="P192" s="49" t="s">
        <v>862</v>
      </c>
      <c r="Q192" s="13" t="s">
        <v>15</v>
      </c>
      <c r="R192" s="82" t="s">
        <v>4</v>
      </c>
      <c r="S192" s="91" t="s">
        <v>3576</v>
      </c>
      <c r="T192" s="91"/>
      <c r="U192" s="87"/>
      <c r="V192" s="52" t="s">
        <v>1061</v>
      </c>
      <c r="W192" s="13" t="s">
        <v>15</v>
      </c>
      <c r="X192" s="82" t="s">
        <v>20</v>
      </c>
      <c r="Y192" s="91" t="s">
        <v>3577</v>
      </c>
      <c r="Z192" s="91"/>
      <c r="AA192" s="87"/>
      <c r="AB192" s="19" t="s">
        <v>1262</v>
      </c>
      <c r="AC192" s="13" t="s">
        <v>15</v>
      </c>
      <c r="AD192" s="82" t="s">
        <v>4</v>
      </c>
      <c r="AE192" s="91" t="s">
        <v>3577</v>
      </c>
      <c r="AF192" s="91"/>
      <c r="AG192" s="87"/>
      <c r="AH192" s="56" t="s">
        <v>1459</v>
      </c>
      <c r="AI192" s="13" t="s">
        <v>15</v>
      </c>
      <c r="AJ192" s="82" t="s">
        <v>4</v>
      </c>
      <c r="AK192" s="91" t="s">
        <v>3576</v>
      </c>
      <c r="AL192" s="91"/>
      <c r="AM192" s="105"/>
      <c r="AN192" s="23" t="s">
        <v>1658</v>
      </c>
      <c r="AO192" s="13" t="s">
        <v>15</v>
      </c>
      <c r="AP192" s="82" t="s">
        <v>20</v>
      </c>
      <c r="AQ192" s="91" t="s">
        <v>3577</v>
      </c>
      <c r="AR192" s="91"/>
      <c r="AS192" s="87"/>
      <c r="AT192" s="21" t="s">
        <v>1855</v>
      </c>
      <c r="AU192" s="13" t="s">
        <v>15</v>
      </c>
      <c r="AV192" s="82" t="s">
        <v>20</v>
      </c>
      <c r="AW192" s="91" t="s">
        <v>3577</v>
      </c>
      <c r="AX192" s="91"/>
      <c r="AY192" s="87"/>
      <c r="AZ192" s="22" t="s">
        <v>2053</v>
      </c>
      <c r="BA192" s="13" t="s">
        <v>15</v>
      </c>
      <c r="BB192" s="82" t="s">
        <v>20</v>
      </c>
      <c r="BC192" s="91" t="s">
        <v>3577</v>
      </c>
      <c r="BD192" s="91"/>
      <c r="BE192" s="87"/>
      <c r="BF192" s="24" t="s">
        <v>2247</v>
      </c>
      <c r="BG192" s="13" t="s">
        <v>15</v>
      </c>
      <c r="BH192" s="82" t="s">
        <v>20</v>
      </c>
      <c r="BI192" s="91" t="s">
        <v>3577</v>
      </c>
      <c r="BJ192" s="91"/>
      <c r="BK192" s="87"/>
      <c r="BL192" s="27" t="s">
        <v>2436</v>
      </c>
      <c r="BM192" s="13" t="s">
        <v>15</v>
      </c>
      <c r="BN192" s="82" t="s">
        <v>20</v>
      </c>
      <c r="BO192" s="91" t="s">
        <v>3577</v>
      </c>
      <c r="BP192" s="91"/>
      <c r="BQ192" s="105"/>
      <c r="BR192" s="72" t="s">
        <v>2632</v>
      </c>
      <c r="BS192" s="13" t="s">
        <v>0</v>
      </c>
      <c r="BT192" s="82" t="s">
        <v>1</v>
      </c>
      <c r="BU192" s="91" t="s">
        <v>3576</v>
      </c>
      <c r="BV192" s="91"/>
      <c r="BW192" s="87"/>
      <c r="BX192" s="49" t="s">
        <v>3645</v>
      </c>
      <c r="BY192" s="13" t="s">
        <v>15</v>
      </c>
      <c r="BZ192" s="82" t="s">
        <v>20</v>
      </c>
      <c r="CA192" s="91" t="s">
        <v>3577</v>
      </c>
      <c r="CB192" s="91"/>
      <c r="CC192" s="264"/>
      <c r="CD192" s="52" t="s">
        <v>2998</v>
      </c>
      <c r="CE192" s="13" t="s">
        <v>0</v>
      </c>
      <c r="CF192" s="82" t="s">
        <v>1</v>
      </c>
      <c r="CG192" s="91" t="s">
        <v>3576</v>
      </c>
      <c r="CH192" s="91"/>
      <c r="CI192" s="87"/>
      <c r="CJ192" s="19" t="s">
        <v>3160</v>
      </c>
      <c r="CK192" s="13" t="s">
        <v>0</v>
      </c>
      <c r="CL192" s="82" t="s">
        <v>1</v>
      </c>
      <c r="CM192" s="91" t="s">
        <v>3576</v>
      </c>
      <c r="CN192" s="91"/>
      <c r="CO192" s="87"/>
      <c r="CP192" s="56" t="s">
        <v>3292</v>
      </c>
      <c r="CQ192" s="13" t="s">
        <v>0</v>
      </c>
      <c r="CR192" s="82" t="s">
        <v>1</v>
      </c>
      <c r="CS192" s="91" t="s">
        <v>3576</v>
      </c>
      <c r="CT192" s="91"/>
      <c r="CU192" s="105"/>
    </row>
    <row r="193" spans="1:99" ht="64.5" customHeight="1" thickBot="1" x14ac:dyDescent="0.4">
      <c r="A193" s="40" t="s">
        <v>124</v>
      </c>
      <c r="B193" s="40" t="s">
        <v>287</v>
      </c>
      <c r="C193" s="40" t="s">
        <v>488</v>
      </c>
      <c r="D193" s="135" t="s">
        <v>3432</v>
      </c>
      <c r="E193" s="325" t="s">
        <v>3873</v>
      </c>
      <c r="F193" s="326" t="s">
        <v>3378</v>
      </c>
      <c r="G193" s="326" t="s">
        <v>3874</v>
      </c>
      <c r="H193" s="175"/>
      <c r="I193" s="175"/>
      <c r="J193" s="136" t="s">
        <v>668</v>
      </c>
      <c r="K193" s="13" t="s">
        <v>15</v>
      </c>
      <c r="L193" s="82" t="s">
        <v>20</v>
      </c>
      <c r="M193" s="146" t="s">
        <v>3577</v>
      </c>
      <c r="N193" s="91"/>
      <c r="O193" s="87"/>
      <c r="P193" s="49" t="s">
        <v>867</v>
      </c>
      <c r="Q193" s="13" t="s">
        <v>15</v>
      </c>
      <c r="R193" s="82" t="s">
        <v>20</v>
      </c>
      <c r="S193" s="91" t="s">
        <v>3577</v>
      </c>
      <c r="T193" s="91"/>
      <c r="U193" s="87"/>
      <c r="V193" s="52" t="s">
        <v>1066</v>
      </c>
      <c r="W193" s="13" t="s">
        <v>15</v>
      </c>
      <c r="X193" s="82" t="s">
        <v>20</v>
      </c>
      <c r="Y193" s="91" t="s">
        <v>3577</v>
      </c>
      <c r="Z193" s="91"/>
      <c r="AA193" s="87"/>
      <c r="AB193" s="19" t="s">
        <v>1267</v>
      </c>
      <c r="AC193" s="13" t="s">
        <v>15</v>
      </c>
      <c r="AD193" s="82" t="s">
        <v>20</v>
      </c>
      <c r="AE193" s="91" t="s">
        <v>3577</v>
      </c>
      <c r="AF193" s="91"/>
      <c r="AG193" s="87"/>
      <c r="AH193" s="56" t="s">
        <v>1464</v>
      </c>
      <c r="AI193" s="13" t="s">
        <v>15</v>
      </c>
      <c r="AJ193" s="82" t="s">
        <v>20</v>
      </c>
      <c r="AK193" s="91" t="s">
        <v>3577</v>
      </c>
      <c r="AL193" s="91"/>
      <c r="AM193" s="105"/>
      <c r="AN193" s="23" t="s">
        <v>1663</v>
      </c>
      <c r="AO193" s="13" t="s">
        <v>0</v>
      </c>
      <c r="AP193" s="82" t="s">
        <v>12</v>
      </c>
      <c r="AQ193" s="91" t="s">
        <v>3577</v>
      </c>
      <c r="AR193" s="91"/>
      <c r="AS193" s="87"/>
      <c r="AT193" s="21" t="s">
        <v>1860</v>
      </c>
      <c r="AU193" s="13" t="s">
        <v>0</v>
      </c>
      <c r="AV193" s="82" t="s">
        <v>12</v>
      </c>
      <c r="AW193" s="91" t="s">
        <v>3577</v>
      </c>
      <c r="AX193" s="91"/>
      <c r="AY193" s="87"/>
      <c r="AZ193" s="22" t="s">
        <v>2058</v>
      </c>
      <c r="BA193" s="13" t="s">
        <v>0</v>
      </c>
      <c r="BB193" s="82" t="s">
        <v>12</v>
      </c>
      <c r="BC193" s="91" t="s">
        <v>3577</v>
      </c>
      <c r="BD193" s="91"/>
      <c r="BE193" s="87"/>
      <c r="BF193" s="24" t="s">
        <v>2252</v>
      </c>
      <c r="BG193" s="13" t="s">
        <v>0</v>
      </c>
      <c r="BH193" s="82" t="s">
        <v>12</v>
      </c>
      <c r="BI193" s="91" t="s">
        <v>3577</v>
      </c>
      <c r="BJ193" s="91"/>
      <c r="BK193" s="87"/>
      <c r="BL193" s="27" t="s">
        <v>2440</v>
      </c>
      <c r="BM193" s="13" t="s">
        <v>0</v>
      </c>
      <c r="BN193" s="82" t="s">
        <v>12</v>
      </c>
      <c r="BO193" s="91" t="s">
        <v>3577</v>
      </c>
      <c r="BP193" s="91"/>
      <c r="BQ193" s="105"/>
      <c r="BR193" s="72" t="s">
        <v>2637</v>
      </c>
      <c r="BS193" s="13" t="s">
        <v>0</v>
      </c>
      <c r="BT193" s="82" t="s">
        <v>12</v>
      </c>
      <c r="BU193" s="91" t="s">
        <v>3577</v>
      </c>
      <c r="BV193" s="91"/>
      <c r="BW193" s="87"/>
      <c r="BX193" s="49" t="s">
        <v>2637</v>
      </c>
      <c r="BY193" s="13" t="s">
        <v>0</v>
      </c>
      <c r="BZ193" s="82" t="s">
        <v>12</v>
      </c>
      <c r="CA193" s="91" t="s">
        <v>3577</v>
      </c>
      <c r="CB193" s="91"/>
      <c r="CC193" s="264"/>
      <c r="CD193" s="52" t="s">
        <v>3003</v>
      </c>
      <c r="CE193" s="13" t="s">
        <v>0</v>
      </c>
      <c r="CF193" s="82" t="s">
        <v>12</v>
      </c>
      <c r="CG193" s="91" t="s">
        <v>3577</v>
      </c>
      <c r="CH193" s="91"/>
      <c r="CI193" s="87"/>
      <c r="CJ193" s="19" t="s">
        <v>3165</v>
      </c>
      <c r="CK193" s="13" t="s">
        <v>0</v>
      </c>
      <c r="CL193" s="82" t="s">
        <v>12</v>
      </c>
      <c r="CM193" s="91" t="s">
        <v>3577</v>
      </c>
      <c r="CN193" s="91"/>
      <c r="CO193" s="87"/>
      <c r="CP193" s="56" t="s">
        <v>3295</v>
      </c>
      <c r="CQ193" s="13" t="s">
        <v>0</v>
      </c>
      <c r="CR193" s="82" t="s">
        <v>12</v>
      </c>
      <c r="CS193" s="91" t="s">
        <v>3577</v>
      </c>
      <c r="CT193" s="91"/>
      <c r="CU193" s="105"/>
    </row>
    <row r="194" spans="1:99" ht="42" customHeight="1" thickBot="1" x14ac:dyDescent="0.4">
      <c r="A194" s="40" t="s">
        <v>114</v>
      </c>
      <c r="B194" s="40" t="s">
        <v>278</v>
      </c>
      <c r="C194" s="40" t="s">
        <v>478</v>
      </c>
      <c r="D194" s="135" t="s">
        <v>3426</v>
      </c>
      <c r="E194" s="314" t="s">
        <v>3855</v>
      </c>
      <c r="F194" s="315" t="s">
        <v>3383</v>
      </c>
      <c r="G194" s="315" t="s">
        <v>3863</v>
      </c>
      <c r="H194" s="142"/>
      <c r="I194" s="138"/>
      <c r="J194" s="136" t="s">
        <v>658</v>
      </c>
      <c r="K194" s="13" t="s">
        <v>0</v>
      </c>
      <c r="L194" s="82" t="s">
        <v>12</v>
      </c>
      <c r="M194" s="146" t="s">
        <v>3576</v>
      </c>
      <c r="N194" s="91"/>
      <c r="O194" s="87"/>
      <c r="P194" s="49" t="s">
        <v>857</v>
      </c>
      <c r="Q194" s="13" t="s">
        <v>15</v>
      </c>
      <c r="R194" s="82" t="s">
        <v>9</v>
      </c>
      <c r="S194" s="91" t="s">
        <v>3576</v>
      </c>
      <c r="T194" s="91"/>
      <c r="U194" s="87"/>
      <c r="V194" s="52" t="s">
        <v>1056</v>
      </c>
      <c r="W194" s="13" t="s">
        <v>0</v>
      </c>
      <c r="X194" s="82" t="s">
        <v>12</v>
      </c>
      <c r="Y194" s="91" t="s">
        <v>3576</v>
      </c>
      <c r="Z194" s="91"/>
      <c r="AA194" s="87"/>
      <c r="AB194" s="19" t="s">
        <v>1257</v>
      </c>
      <c r="AC194" s="13" t="s">
        <v>0</v>
      </c>
      <c r="AD194" s="82" t="s">
        <v>12</v>
      </c>
      <c r="AE194" s="91" t="s">
        <v>3576</v>
      </c>
      <c r="AF194" s="91"/>
      <c r="AG194" s="87"/>
      <c r="AH194" s="56" t="s">
        <v>1454</v>
      </c>
      <c r="AI194" s="13" t="s">
        <v>0</v>
      </c>
      <c r="AJ194" s="82" t="s">
        <v>12</v>
      </c>
      <c r="AK194" s="91" t="s">
        <v>3576</v>
      </c>
      <c r="AL194" s="91"/>
      <c r="AM194" s="105"/>
      <c r="AN194" s="23" t="s">
        <v>1653</v>
      </c>
      <c r="AO194" s="13" t="s">
        <v>0</v>
      </c>
      <c r="AP194" s="82" t="s">
        <v>12</v>
      </c>
      <c r="AQ194" s="91" t="s">
        <v>3576</v>
      </c>
      <c r="AR194" s="91"/>
      <c r="AS194" s="87"/>
      <c r="AT194" s="21" t="s">
        <v>1850</v>
      </c>
      <c r="AU194" s="13" t="s">
        <v>0</v>
      </c>
      <c r="AV194" s="82" t="s">
        <v>12</v>
      </c>
      <c r="AW194" s="91" t="s">
        <v>3576</v>
      </c>
      <c r="AX194" s="91"/>
      <c r="AY194" s="87"/>
      <c r="AZ194" s="22" t="s">
        <v>2048</v>
      </c>
      <c r="BA194" s="13" t="s">
        <v>0</v>
      </c>
      <c r="BB194" s="82" t="s">
        <v>12</v>
      </c>
      <c r="BC194" s="91" t="s">
        <v>3576</v>
      </c>
      <c r="BD194" s="91"/>
      <c r="BE194" s="87"/>
      <c r="BF194" s="24" t="s">
        <v>2242</v>
      </c>
      <c r="BG194" s="13" t="s">
        <v>0</v>
      </c>
      <c r="BH194" s="82" t="s">
        <v>12</v>
      </c>
      <c r="BI194" s="91" t="s">
        <v>3576</v>
      </c>
      <c r="BJ194" s="91"/>
      <c r="BK194" s="87"/>
      <c r="BL194" s="27" t="s">
        <v>2431</v>
      </c>
      <c r="BM194" s="13" t="s">
        <v>0</v>
      </c>
      <c r="BN194" s="82" t="s">
        <v>12</v>
      </c>
      <c r="BO194" s="91" t="s">
        <v>3576</v>
      </c>
      <c r="BP194" s="91"/>
      <c r="BQ194" s="105"/>
      <c r="BR194" s="72" t="s">
        <v>2627</v>
      </c>
      <c r="BS194" s="13" t="s">
        <v>0</v>
      </c>
      <c r="BT194" s="82" t="s">
        <v>12</v>
      </c>
      <c r="BU194" s="91" t="s">
        <v>3576</v>
      </c>
      <c r="BV194" s="91"/>
      <c r="BW194" s="87"/>
      <c r="BX194" s="49" t="s">
        <v>2822</v>
      </c>
      <c r="BY194" s="13" t="s">
        <v>0</v>
      </c>
      <c r="BZ194" s="82" t="s">
        <v>12</v>
      </c>
      <c r="CA194" s="91" t="s">
        <v>3576</v>
      </c>
      <c r="CB194" s="91"/>
      <c r="CC194" s="264"/>
      <c r="CD194" s="52" t="s">
        <v>2994</v>
      </c>
      <c r="CE194" s="13" t="s">
        <v>0</v>
      </c>
      <c r="CF194" s="82" t="s">
        <v>12</v>
      </c>
      <c r="CG194" s="91" t="s">
        <v>3576</v>
      </c>
      <c r="CH194" s="91"/>
      <c r="CI194" s="87"/>
      <c r="CJ194" s="19" t="s">
        <v>3156</v>
      </c>
      <c r="CK194" s="13" t="s">
        <v>0</v>
      </c>
      <c r="CL194" s="82" t="s">
        <v>12</v>
      </c>
      <c r="CM194" s="91" t="s">
        <v>3576</v>
      </c>
      <c r="CN194" s="91"/>
      <c r="CO194" s="87"/>
      <c r="CP194" s="56" t="s">
        <v>3156</v>
      </c>
      <c r="CQ194" s="13" t="s">
        <v>0</v>
      </c>
      <c r="CR194" s="82" t="s">
        <v>12</v>
      </c>
      <c r="CS194" s="91" t="s">
        <v>3576</v>
      </c>
      <c r="CT194" s="91"/>
      <c r="CU194" s="105"/>
    </row>
    <row r="195" spans="1:99" ht="42" customHeight="1" thickBot="1" x14ac:dyDescent="0.4">
      <c r="A195" s="40" t="s">
        <v>150</v>
      </c>
      <c r="B195" s="40" t="s">
        <v>320</v>
      </c>
      <c r="C195" s="40" t="s">
        <v>518</v>
      </c>
      <c r="D195" s="135" t="s">
        <v>3464</v>
      </c>
      <c r="E195" s="314" t="s">
        <v>3855</v>
      </c>
      <c r="F195" s="315" t="s">
        <v>3390</v>
      </c>
      <c r="G195" s="315" t="s">
        <v>3862</v>
      </c>
      <c r="H195" s="142"/>
      <c r="I195" s="138"/>
      <c r="J195" s="136" t="s">
        <v>701</v>
      </c>
      <c r="K195" s="13" t="s">
        <v>15</v>
      </c>
      <c r="L195" s="82" t="s">
        <v>9</v>
      </c>
      <c r="M195" s="146" t="s">
        <v>3576</v>
      </c>
      <c r="N195" s="91"/>
      <c r="O195" s="87"/>
      <c r="P195" s="49" t="s">
        <v>900</v>
      </c>
      <c r="Q195" s="13" t="s">
        <v>15</v>
      </c>
      <c r="R195" s="82" t="s">
        <v>9</v>
      </c>
      <c r="S195" s="91" t="s">
        <v>3576</v>
      </c>
      <c r="T195" s="91"/>
      <c r="U195" s="87"/>
      <c r="V195" s="52" t="s">
        <v>1099</v>
      </c>
      <c r="W195" s="13" t="s">
        <v>15</v>
      </c>
      <c r="X195" s="82" t="s">
        <v>9</v>
      </c>
      <c r="Y195" s="91" t="s">
        <v>3576</v>
      </c>
      <c r="Z195" s="91"/>
      <c r="AA195" s="87"/>
      <c r="AB195" s="19" t="s">
        <v>1299</v>
      </c>
      <c r="AC195" s="13" t="s">
        <v>15</v>
      </c>
      <c r="AD195" s="82" t="s">
        <v>9</v>
      </c>
      <c r="AE195" s="91" t="s">
        <v>3576</v>
      </c>
      <c r="AF195" s="91"/>
      <c r="AG195" s="87"/>
      <c r="AH195" s="56" t="s">
        <v>1496</v>
      </c>
      <c r="AI195" s="13" t="s">
        <v>15</v>
      </c>
      <c r="AJ195" s="82" t="s">
        <v>20</v>
      </c>
      <c r="AK195" s="91" t="s">
        <v>3576</v>
      </c>
      <c r="AL195" s="91"/>
      <c r="AM195" s="105"/>
      <c r="AN195" s="23" t="s">
        <v>1695</v>
      </c>
      <c r="AO195" s="13" t="s">
        <v>15</v>
      </c>
      <c r="AP195" s="82" t="s">
        <v>20</v>
      </c>
      <c r="AQ195" s="91" t="s">
        <v>3577</v>
      </c>
      <c r="AR195" s="91"/>
      <c r="AS195" s="87"/>
      <c r="AT195" s="21" t="s">
        <v>1893</v>
      </c>
      <c r="AU195" s="13" t="s">
        <v>15</v>
      </c>
      <c r="AV195" s="82" t="s">
        <v>20</v>
      </c>
      <c r="AW195" s="91" t="s">
        <v>3577</v>
      </c>
      <c r="AX195" s="91"/>
      <c r="AY195" s="87"/>
      <c r="AZ195" s="22" t="s">
        <v>2089</v>
      </c>
      <c r="BA195" s="13" t="s">
        <v>15</v>
      </c>
      <c r="BB195" s="82" t="s">
        <v>20</v>
      </c>
      <c r="BC195" s="91" t="s">
        <v>3577</v>
      </c>
      <c r="BD195" s="91"/>
      <c r="BE195" s="87"/>
      <c r="BF195" s="24" t="s">
        <v>2282</v>
      </c>
      <c r="BG195" s="13" t="s">
        <v>15</v>
      </c>
      <c r="BH195" s="82" t="s">
        <v>9</v>
      </c>
      <c r="BI195" s="91" t="s">
        <v>3576</v>
      </c>
      <c r="BJ195" s="91"/>
      <c r="BK195" s="87"/>
      <c r="BL195" s="27" t="s">
        <v>3722</v>
      </c>
      <c r="BM195" s="13" t="s">
        <v>15</v>
      </c>
      <c r="BN195" s="82" t="s">
        <v>9</v>
      </c>
      <c r="BO195" s="91" t="s">
        <v>3576</v>
      </c>
      <c r="BP195" s="91"/>
      <c r="BQ195" s="105"/>
      <c r="BR195" s="72" t="s">
        <v>3032</v>
      </c>
      <c r="BS195" s="13" t="s">
        <v>15</v>
      </c>
      <c r="BT195" s="82" t="s">
        <v>9</v>
      </c>
      <c r="BU195" s="91" t="s">
        <v>3576</v>
      </c>
      <c r="BV195" s="91"/>
      <c r="BW195" s="350"/>
      <c r="BX195" s="49" t="s">
        <v>2856</v>
      </c>
      <c r="BY195" s="13" t="s">
        <v>15</v>
      </c>
      <c r="BZ195" s="82" t="s">
        <v>9</v>
      </c>
      <c r="CA195" s="91" t="s">
        <v>3576</v>
      </c>
      <c r="CB195" s="91"/>
      <c r="CC195" s="87"/>
      <c r="CD195" s="52" t="s">
        <v>3032</v>
      </c>
      <c r="CE195" s="13" t="s">
        <v>15</v>
      </c>
      <c r="CF195" s="82" t="s">
        <v>9</v>
      </c>
      <c r="CG195" s="91" t="s">
        <v>3576</v>
      </c>
      <c r="CH195" s="91"/>
      <c r="CI195" s="87"/>
      <c r="CJ195" s="19" t="s">
        <v>3846</v>
      </c>
      <c r="CK195" s="13" t="s">
        <v>15</v>
      </c>
      <c r="CL195" s="82" t="s">
        <v>9</v>
      </c>
      <c r="CM195" s="91" t="s">
        <v>3576</v>
      </c>
      <c r="CN195" s="91"/>
      <c r="CO195" s="87"/>
      <c r="CP195" s="56" t="s">
        <v>3723</v>
      </c>
      <c r="CQ195" s="13" t="s">
        <v>15</v>
      </c>
      <c r="CR195" s="82" t="s">
        <v>9</v>
      </c>
      <c r="CS195" s="91" t="s">
        <v>3576</v>
      </c>
      <c r="CT195" s="91"/>
      <c r="CU195" s="105"/>
    </row>
    <row r="196" spans="1:99" ht="42" customHeight="1" thickBot="1" x14ac:dyDescent="0.4">
      <c r="A196" s="40" t="s">
        <v>139</v>
      </c>
      <c r="B196" s="40" t="s">
        <v>303</v>
      </c>
      <c r="C196" s="40" t="s">
        <v>503</v>
      </c>
      <c r="D196" s="135" t="s">
        <v>3662</v>
      </c>
      <c r="E196" s="314" t="s">
        <v>3855</v>
      </c>
      <c r="F196" s="315" t="s">
        <v>3445</v>
      </c>
      <c r="G196" s="315" t="s">
        <v>3860</v>
      </c>
      <c r="H196" s="142" t="s">
        <v>3663</v>
      </c>
      <c r="I196" s="138" t="s">
        <v>3559</v>
      </c>
      <c r="J196" s="136" t="s">
        <v>684</v>
      </c>
      <c r="K196" s="13" t="s">
        <v>15</v>
      </c>
      <c r="L196" s="82" t="s">
        <v>19</v>
      </c>
      <c r="M196" s="146" t="s">
        <v>3577</v>
      </c>
      <c r="N196" s="91"/>
      <c r="O196" s="87"/>
      <c r="P196" s="49" t="s">
        <v>883</v>
      </c>
      <c r="Q196" s="13" t="s">
        <v>15</v>
      </c>
      <c r="R196" s="82" t="s">
        <v>19</v>
      </c>
      <c r="S196" s="91" t="s">
        <v>3577</v>
      </c>
      <c r="T196" s="91"/>
      <c r="U196" s="87"/>
      <c r="V196" s="52" t="s">
        <v>1082</v>
      </c>
      <c r="W196" s="13" t="s">
        <v>15</v>
      </c>
      <c r="X196" s="82" t="s">
        <v>19</v>
      </c>
      <c r="Y196" s="91" t="s">
        <v>3577</v>
      </c>
      <c r="Z196" s="91"/>
      <c r="AA196" s="87"/>
      <c r="AB196" s="19" t="s">
        <v>1283</v>
      </c>
      <c r="AC196" s="13" t="s">
        <v>15</v>
      </c>
      <c r="AD196" s="82" t="s">
        <v>19</v>
      </c>
      <c r="AE196" s="91" t="s">
        <v>3577</v>
      </c>
      <c r="AF196" s="91"/>
      <c r="AG196" s="87"/>
      <c r="AH196" s="56" t="s">
        <v>1479</v>
      </c>
      <c r="AI196" s="13" t="s">
        <v>15</v>
      </c>
      <c r="AJ196" s="82" t="s">
        <v>19</v>
      </c>
      <c r="AK196" s="91" t="s">
        <v>3577</v>
      </c>
      <c r="AL196" s="91"/>
      <c r="AM196" s="105"/>
      <c r="AN196" s="23" t="s">
        <v>1679</v>
      </c>
      <c r="AO196" s="13" t="s">
        <v>15</v>
      </c>
      <c r="AP196" s="82" t="s">
        <v>19</v>
      </c>
      <c r="AQ196" s="91" t="s">
        <v>3577</v>
      </c>
      <c r="AR196" s="91"/>
      <c r="AS196" s="87"/>
      <c r="AT196" s="21" t="s">
        <v>1876</v>
      </c>
      <c r="AU196" s="13" t="s">
        <v>15</v>
      </c>
      <c r="AV196" s="82" t="s">
        <v>19</v>
      </c>
      <c r="AW196" s="91" t="s">
        <v>3577</v>
      </c>
      <c r="AX196" s="91"/>
      <c r="AY196" s="87"/>
      <c r="AZ196" s="22" t="s">
        <v>2073</v>
      </c>
      <c r="BA196" s="13" t="s">
        <v>15</v>
      </c>
      <c r="BB196" s="82" t="s">
        <v>19</v>
      </c>
      <c r="BC196" s="91" t="s">
        <v>3577</v>
      </c>
      <c r="BD196" s="91"/>
      <c r="BE196" s="87"/>
      <c r="BF196" s="24" t="s">
        <v>2268</v>
      </c>
      <c r="BG196" s="13" t="s">
        <v>15</v>
      </c>
      <c r="BH196" s="82" t="s">
        <v>19</v>
      </c>
      <c r="BI196" s="91" t="s">
        <v>3577</v>
      </c>
      <c r="BJ196" s="91"/>
      <c r="BK196" s="87"/>
      <c r="BL196" s="27" t="s">
        <v>2455</v>
      </c>
      <c r="BM196" s="13" t="s">
        <v>15</v>
      </c>
      <c r="BN196" s="82" t="s">
        <v>19</v>
      </c>
      <c r="BO196" s="91" t="s">
        <v>3577</v>
      </c>
      <c r="BP196" s="91"/>
      <c r="BQ196" s="105"/>
      <c r="BR196" s="72" t="s">
        <v>2653</v>
      </c>
      <c r="BS196" s="13" t="s">
        <v>0</v>
      </c>
      <c r="BT196" s="82" t="s">
        <v>12</v>
      </c>
      <c r="BU196" s="91" t="s">
        <v>3576</v>
      </c>
      <c r="BV196" s="91"/>
      <c r="BW196" s="87"/>
      <c r="BX196" s="49" t="s">
        <v>2842</v>
      </c>
      <c r="BY196" s="13" t="s">
        <v>0</v>
      </c>
      <c r="BZ196" s="82" t="s">
        <v>12</v>
      </c>
      <c r="CA196" s="91" t="s">
        <v>3576</v>
      </c>
      <c r="CB196" s="91"/>
      <c r="CC196" s="264"/>
      <c r="CD196" s="52" t="s">
        <v>3017</v>
      </c>
      <c r="CE196" s="13" t="s">
        <v>0</v>
      </c>
      <c r="CF196" s="82" t="s">
        <v>12</v>
      </c>
      <c r="CG196" s="91" t="s">
        <v>3576</v>
      </c>
      <c r="CH196" s="91"/>
      <c r="CI196" s="87"/>
      <c r="CJ196" s="19" t="s">
        <v>3177</v>
      </c>
      <c r="CK196" s="13" t="s">
        <v>0</v>
      </c>
      <c r="CL196" s="82" t="s">
        <v>12</v>
      </c>
      <c r="CM196" s="91" t="s">
        <v>3576</v>
      </c>
      <c r="CN196" s="91"/>
      <c r="CO196" s="87"/>
      <c r="CP196" s="56" t="s">
        <v>3305</v>
      </c>
      <c r="CQ196" s="13" t="s">
        <v>0</v>
      </c>
      <c r="CR196" s="82" t="s">
        <v>12</v>
      </c>
      <c r="CS196" s="91" t="s">
        <v>3576</v>
      </c>
      <c r="CT196" s="91"/>
      <c r="CU196" s="105"/>
    </row>
    <row r="197" spans="1:99" ht="42" customHeight="1" thickBot="1" x14ac:dyDescent="0.4">
      <c r="A197" s="40" t="s">
        <v>107</v>
      </c>
      <c r="B197" s="40" t="s">
        <v>108</v>
      </c>
      <c r="C197" s="40" t="s">
        <v>468</v>
      </c>
      <c r="D197" s="135" t="s">
        <v>3627</v>
      </c>
      <c r="E197" s="314" t="s">
        <v>3855</v>
      </c>
      <c r="F197" s="315" t="s">
        <v>3376</v>
      </c>
      <c r="G197" s="315" t="s">
        <v>3856</v>
      </c>
      <c r="H197" s="142" t="s">
        <v>3628</v>
      </c>
      <c r="I197" s="138" t="s">
        <v>3559</v>
      </c>
      <c r="J197" s="136" t="s">
        <v>648</v>
      </c>
      <c r="K197" s="13" t="s">
        <v>15</v>
      </c>
      <c r="L197" s="82" t="s">
        <v>20</v>
      </c>
      <c r="M197" s="146" t="s">
        <v>3576</v>
      </c>
      <c r="N197" s="91"/>
      <c r="O197" s="87"/>
      <c r="P197" s="49" t="s">
        <v>849</v>
      </c>
      <c r="Q197" s="13" t="s">
        <v>15</v>
      </c>
      <c r="R197" s="82" t="s">
        <v>20</v>
      </c>
      <c r="S197" s="91" t="s">
        <v>3576</v>
      </c>
      <c r="T197" s="91"/>
      <c r="U197" s="87"/>
      <c r="V197" s="52" t="s">
        <v>1047</v>
      </c>
      <c r="W197" s="13" t="s">
        <v>15</v>
      </c>
      <c r="X197" s="82" t="s">
        <v>20</v>
      </c>
      <c r="Y197" s="91" t="s">
        <v>3576</v>
      </c>
      <c r="Z197" s="91"/>
      <c r="AA197" s="87"/>
      <c r="AB197" s="19" t="s">
        <v>1247</v>
      </c>
      <c r="AC197" s="13" t="s">
        <v>15</v>
      </c>
      <c r="AD197" s="82" t="s">
        <v>20</v>
      </c>
      <c r="AE197" s="91" t="s">
        <v>3576</v>
      </c>
      <c r="AF197" s="91"/>
      <c r="AG197" s="87"/>
      <c r="AH197" s="56" t="s">
        <v>1446</v>
      </c>
      <c r="AI197" s="13" t="s">
        <v>15</v>
      </c>
      <c r="AJ197" s="82" t="s">
        <v>20</v>
      </c>
      <c r="AK197" s="91" t="s">
        <v>3576</v>
      </c>
      <c r="AL197" s="91"/>
      <c r="AM197" s="105"/>
      <c r="AN197" s="23" t="s">
        <v>1643</v>
      </c>
      <c r="AO197" s="13" t="s">
        <v>15</v>
      </c>
      <c r="AP197" s="82" t="s">
        <v>19</v>
      </c>
      <c r="AQ197" s="91" t="s">
        <v>3577</v>
      </c>
      <c r="AR197" s="91"/>
      <c r="AS197" s="87"/>
      <c r="AT197" s="21" t="s">
        <v>1842</v>
      </c>
      <c r="AU197" s="13" t="s">
        <v>15</v>
      </c>
      <c r="AV197" s="82" t="s">
        <v>20</v>
      </c>
      <c r="AW197" s="91" t="s">
        <v>3576</v>
      </c>
      <c r="AX197" s="91"/>
      <c r="AY197" s="87"/>
      <c r="AZ197" s="22" t="s">
        <v>2039</v>
      </c>
      <c r="BA197" s="13" t="s">
        <v>15</v>
      </c>
      <c r="BB197" s="82" t="s">
        <v>20</v>
      </c>
      <c r="BC197" s="91" t="s">
        <v>3576</v>
      </c>
      <c r="BD197" s="91"/>
      <c r="BE197" s="87"/>
      <c r="BF197" s="24" t="s">
        <v>2235</v>
      </c>
      <c r="BG197" s="13" t="s">
        <v>15</v>
      </c>
      <c r="BH197" s="82" t="s">
        <v>20</v>
      </c>
      <c r="BI197" s="91" t="s">
        <v>3576</v>
      </c>
      <c r="BJ197" s="91"/>
      <c r="BK197" s="87"/>
      <c r="BL197" s="27" t="s">
        <v>3629</v>
      </c>
      <c r="BM197" s="13" t="s">
        <v>15</v>
      </c>
      <c r="BN197" s="82" t="s">
        <v>20</v>
      </c>
      <c r="BO197" s="91" t="s">
        <v>3576</v>
      </c>
      <c r="BP197" s="91"/>
      <c r="BQ197" s="105"/>
      <c r="BR197" s="72" t="s">
        <v>2619</v>
      </c>
      <c r="BS197" s="13" t="s">
        <v>15</v>
      </c>
      <c r="BT197" s="82" t="s">
        <v>20</v>
      </c>
      <c r="BU197" s="91" t="s">
        <v>3576</v>
      </c>
      <c r="BV197" s="91"/>
      <c r="BW197" s="87"/>
      <c r="BX197" s="49" t="s">
        <v>2812</v>
      </c>
      <c r="BY197" s="13" t="s">
        <v>15</v>
      </c>
      <c r="BZ197" s="82" t="s">
        <v>9</v>
      </c>
      <c r="CA197" s="91" t="s">
        <v>3576</v>
      </c>
      <c r="CB197" s="91"/>
      <c r="CC197" s="264"/>
      <c r="CD197" s="52" t="s">
        <v>2986</v>
      </c>
      <c r="CE197" s="13" t="s">
        <v>15</v>
      </c>
      <c r="CF197" s="82" t="s">
        <v>20</v>
      </c>
      <c r="CG197" s="91" t="s">
        <v>3576</v>
      </c>
      <c r="CH197" s="91"/>
      <c r="CI197" s="87"/>
      <c r="CJ197" s="19" t="s">
        <v>2986</v>
      </c>
      <c r="CK197" s="13" t="s">
        <v>15</v>
      </c>
      <c r="CL197" s="82" t="s">
        <v>20</v>
      </c>
      <c r="CM197" s="91" t="s">
        <v>3576</v>
      </c>
      <c r="CN197" s="91"/>
      <c r="CO197" s="87"/>
      <c r="CP197" s="56" t="s">
        <v>2986</v>
      </c>
      <c r="CQ197" s="13" t="s">
        <v>15</v>
      </c>
      <c r="CR197" s="82" t="s">
        <v>20</v>
      </c>
      <c r="CS197" s="91" t="s">
        <v>3576</v>
      </c>
      <c r="CT197" s="91"/>
      <c r="CU197" s="105"/>
    </row>
    <row r="198" spans="1:99" ht="64" customHeight="1" thickBot="1" x14ac:dyDescent="0.4">
      <c r="A198" s="40" t="s">
        <v>84</v>
      </c>
      <c r="B198" s="40" t="s">
        <v>245</v>
      </c>
      <c r="C198" s="40" t="s">
        <v>445</v>
      </c>
      <c r="D198" s="135" t="s">
        <v>3393</v>
      </c>
      <c r="E198" s="323" t="s">
        <v>3869</v>
      </c>
      <c r="F198" s="324" t="s">
        <v>3392</v>
      </c>
      <c r="G198" s="324" t="s">
        <v>3870</v>
      </c>
      <c r="H198" s="142" t="s">
        <v>3597</v>
      </c>
      <c r="I198" s="138" t="s">
        <v>3568</v>
      </c>
      <c r="J198" s="136" t="s">
        <v>624</v>
      </c>
      <c r="K198" s="13" t="s">
        <v>0</v>
      </c>
      <c r="L198" s="82" t="s">
        <v>12</v>
      </c>
      <c r="M198" s="146" t="s">
        <v>3577</v>
      </c>
      <c r="N198" s="91"/>
      <c r="O198" s="87" t="s">
        <v>3568</v>
      </c>
      <c r="P198" s="49" t="s">
        <v>825</v>
      </c>
      <c r="Q198" s="13" t="s">
        <v>15</v>
      </c>
      <c r="R198" s="82" t="s">
        <v>20</v>
      </c>
      <c r="S198" s="91" t="s">
        <v>3576</v>
      </c>
      <c r="T198" s="91"/>
      <c r="U198" s="87"/>
      <c r="V198" s="52" t="s">
        <v>1023</v>
      </c>
      <c r="W198" s="13" t="s">
        <v>0</v>
      </c>
      <c r="X198" s="82" t="s">
        <v>12</v>
      </c>
      <c r="Y198" s="91" t="s">
        <v>3577</v>
      </c>
      <c r="Z198" s="91"/>
      <c r="AA198" s="87" t="s">
        <v>3568</v>
      </c>
      <c r="AB198" s="19" t="s">
        <v>1223</v>
      </c>
      <c r="AC198" s="13" t="s">
        <v>0</v>
      </c>
      <c r="AD198" s="82" t="s">
        <v>12</v>
      </c>
      <c r="AE198" s="91" t="s">
        <v>3577</v>
      </c>
      <c r="AF198" s="91"/>
      <c r="AG198" s="87" t="s">
        <v>3568</v>
      </c>
      <c r="AH198" s="56" t="s">
        <v>1422</v>
      </c>
      <c r="AI198" s="13" t="s">
        <v>0</v>
      </c>
      <c r="AJ198" s="82" t="s">
        <v>12</v>
      </c>
      <c r="AK198" s="91" t="s">
        <v>3577</v>
      </c>
      <c r="AL198" s="91"/>
      <c r="AM198" s="105" t="s">
        <v>3568</v>
      </c>
      <c r="AN198" s="23" t="s">
        <v>1620</v>
      </c>
      <c r="AO198" s="13" t="s">
        <v>0</v>
      </c>
      <c r="AP198" s="82" t="s">
        <v>12</v>
      </c>
      <c r="AQ198" s="91" t="s">
        <v>3577</v>
      </c>
      <c r="AR198" s="91"/>
      <c r="AS198" s="87" t="s">
        <v>3568</v>
      </c>
      <c r="AT198" s="21" t="s">
        <v>1819</v>
      </c>
      <c r="AU198" s="13" t="s">
        <v>0</v>
      </c>
      <c r="AV198" s="82" t="s">
        <v>12</v>
      </c>
      <c r="AW198" s="91" t="s">
        <v>3577</v>
      </c>
      <c r="AX198" s="91"/>
      <c r="AY198" s="87" t="s">
        <v>3568</v>
      </c>
      <c r="AZ198" s="22" t="s">
        <v>2016</v>
      </c>
      <c r="BA198" s="13" t="s">
        <v>6</v>
      </c>
      <c r="BB198" s="82" t="s">
        <v>8</v>
      </c>
      <c r="BC198" s="91" t="s">
        <v>3576</v>
      </c>
      <c r="BD198" s="91"/>
      <c r="BE198" s="87"/>
      <c r="BF198" s="24" t="s">
        <v>2212</v>
      </c>
      <c r="BG198" s="13" t="s">
        <v>15</v>
      </c>
      <c r="BH198" s="82" t="s">
        <v>20</v>
      </c>
      <c r="BI198" s="91" t="s">
        <v>3577</v>
      </c>
      <c r="BJ198" s="91"/>
      <c r="BK198" s="351" t="s">
        <v>3706</v>
      </c>
      <c r="BL198" s="27" t="s">
        <v>2400</v>
      </c>
      <c r="BM198" s="13" t="s">
        <v>0</v>
      </c>
      <c r="BN198" s="82" t="s">
        <v>12</v>
      </c>
      <c r="BO198" s="91" t="s">
        <v>3577</v>
      </c>
      <c r="BP198" s="91"/>
      <c r="BQ198" s="105" t="s">
        <v>3568</v>
      </c>
      <c r="BR198" s="72" t="s">
        <v>2598</v>
      </c>
      <c r="BS198" s="13" t="s">
        <v>0</v>
      </c>
      <c r="BT198" s="82" t="s">
        <v>12</v>
      </c>
      <c r="BU198" s="91" t="s">
        <v>3577</v>
      </c>
      <c r="BV198" s="91"/>
      <c r="BW198" s="87" t="s">
        <v>3568</v>
      </c>
      <c r="BX198" s="49" t="s">
        <v>2790</v>
      </c>
      <c r="BY198" s="13" t="s">
        <v>6</v>
      </c>
      <c r="BZ198" s="82" t="s">
        <v>8</v>
      </c>
      <c r="CA198" s="91" t="s">
        <v>3576</v>
      </c>
      <c r="CB198" s="91"/>
      <c r="CC198" s="264"/>
      <c r="CD198" s="52" t="s">
        <v>2964</v>
      </c>
      <c r="CE198" s="13" t="s">
        <v>0</v>
      </c>
      <c r="CF198" s="82" t="s">
        <v>12</v>
      </c>
      <c r="CG198" s="91" t="s">
        <v>3577</v>
      </c>
      <c r="CH198" s="91"/>
      <c r="CI198" s="87" t="s">
        <v>3568</v>
      </c>
      <c r="CJ198" s="19" t="s">
        <v>2598</v>
      </c>
      <c r="CK198" s="13" t="s">
        <v>0</v>
      </c>
      <c r="CL198" s="82" t="s">
        <v>12</v>
      </c>
      <c r="CM198" s="91" t="s">
        <v>3577</v>
      </c>
      <c r="CN198" s="91"/>
      <c r="CO198" s="87" t="s">
        <v>3568</v>
      </c>
      <c r="CP198" s="56" t="s">
        <v>2964</v>
      </c>
      <c r="CQ198" s="13" t="s">
        <v>0</v>
      </c>
      <c r="CR198" s="82" t="s">
        <v>12</v>
      </c>
      <c r="CS198" s="91" t="s">
        <v>3577</v>
      </c>
      <c r="CT198" s="91"/>
      <c r="CU198" s="105"/>
    </row>
    <row r="199" spans="1:99" ht="42" customHeight="1" thickBot="1" x14ac:dyDescent="0.4">
      <c r="A199" s="40" t="s">
        <v>176</v>
      </c>
      <c r="B199" s="40" t="s">
        <v>354</v>
      </c>
      <c r="C199" s="40" t="s">
        <v>546</v>
      </c>
      <c r="D199" s="135" t="s">
        <v>3494</v>
      </c>
      <c r="E199" s="325" t="s">
        <v>3873</v>
      </c>
      <c r="F199" s="326" t="s">
        <v>3378</v>
      </c>
      <c r="G199" s="326" t="s">
        <v>3874</v>
      </c>
      <c r="H199" s="142" t="s">
        <v>3595</v>
      </c>
      <c r="I199" s="138" t="s">
        <v>3565</v>
      </c>
      <c r="J199" s="136" t="s">
        <v>735</v>
      </c>
      <c r="K199" s="13" t="s">
        <v>15</v>
      </c>
      <c r="L199" s="82" t="s">
        <v>9</v>
      </c>
      <c r="M199" s="146" t="s">
        <v>3576</v>
      </c>
      <c r="N199" s="91"/>
      <c r="O199" s="87"/>
      <c r="P199" s="49" t="s">
        <v>934</v>
      </c>
      <c r="Q199" s="13" t="s">
        <v>15</v>
      </c>
      <c r="R199" s="82" t="s">
        <v>9</v>
      </c>
      <c r="S199" s="91" t="s">
        <v>3576</v>
      </c>
      <c r="T199" s="91"/>
      <c r="U199" s="87"/>
      <c r="V199" s="52" t="s">
        <v>1132</v>
      </c>
      <c r="W199" s="13" t="s">
        <v>15</v>
      </c>
      <c r="X199" s="82" t="s">
        <v>20</v>
      </c>
      <c r="Y199" s="91" t="s">
        <v>3577</v>
      </c>
      <c r="Z199" s="91"/>
      <c r="AA199" s="87"/>
      <c r="AB199" s="19" t="s">
        <v>1331</v>
      </c>
      <c r="AC199" s="13" t="s">
        <v>15</v>
      </c>
      <c r="AD199" s="82" t="s">
        <v>9</v>
      </c>
      <c r="AE199" s="91" t="s">
        <v>3576</v>
      </c>
      <c r="AF199" s="91"/>
      <c r="AG199" s="87"/>
      <c r="AH199" s="56" t="s">
        <v>1529</v>
      </c>
      <c r="AI199" s="13" t="s">
        <v>15</v>
      </c>
      <c r="AJ199" s="82" t="s">
        <v>20</v>
      </c>
      <c r="AK199" s="91" t="s">
        <v>3577</v>
      </c>
      <c r="AL199" s="91"/>
      <c r="AM199" s="105"/>
      <c r="AN199" s="23" t="s">
        <v>1728</v>
      </c>
      <c r="AO199" s="13" t="s">
        <v>15</v>
      </c>
      <c r="AP199" s="82" t="s">
        <v>13</v>
      </c>
      <c r="AQ199" s="91" t="s">
        <v>3577</v>
      </c>
      <c r="AR199" s="91"/>
      <c r="AS199" s="87"/>
      <c r="AT199" s="21" t="s">
        <v>1927</v>
      </c>
      <c r="AU199" s="13" t="s">
        <v>15</v>
      </c>
      <c r="AV199" s="82" t="s">
        <v>13</v>
      </c>
      <c r="AW199" s="91" t="s">
        <v>3577</v>
      </c>
      <c r="AX199" s="91"/>
      <c r="AY199" s="87"/>
      <c r="AZ199" s="22" t="s">
        <v>2122</v>
      </c>
      <c r="BA199" s="13" t="s">
        <v>15</v>
      </c>
      <c r="BB199" s="82" t="s">
        <v>13</v>
      </c>
      <c r="BC199" s="91" t="s">
        <v>3577</v>
      </c>
      <c r="BD199" s="91"/>
      <c r="BE199" s="87"/>
      <c r="BF199" s="24" t="s">
        <v>2313</v>
      </c>
      <c r="BG199" s="13" t="s">
        <v>15</v>
      </c>
      <c r="BH199" s="82" t="s">
        <v>20</v>
      </c>
      <c r="BI199" s="91" t="s">
        <v>3577</v>
      </c>
      <c r="BJ199" s="91"/>
      <c r="BK199" s="87"/>
      <c r="BL199" s="27" t="s">
        <v>2504</v>
      </c>
      <c r="BM199" s="13" t="s">
        <v>15</v>
      </c>
      <c r="BN199" s="82" t="s">
        <v>9</v>
      </c>
      <c r="BO199" s="91" t="s">
        <v>3576</v>
      </c>
      <c r="BP199" s="91"/>
      <c r="BQ199" s="105"/>
      <c r="BR199" s="72" t="s">
        <v>2702</v>
      </c>
      <c r="BS199" s="13" t="s">
        <v>0</v>
      </c>
      <c r="BT199" s="82" t="s">
        <v>12</v>
      </c>
      <c r="BU199" s="91" t="s">
        <v>3577</v>
      </c>
      <c r="BV199" s="91"/>
      <c r="BW199" s="87"/>
      <c r="BX199" s="49" t="s">
        <v>2886</v>
      </c>
      <c r="BY199" s="13" t="s">
        <v>15</v>
      </c>
      <c r="BZ199" s="82" t="s">
        <v>9</v>
      </c>
      <c r="CA199" s="91" t="s">
        <v>3576</v>
      </c>
      <c r="CB199" s="91"/>
      <c r="CC199" s="87"/>
      <c r="CD199" s="52" t="s">
        <v>3058</v>
      </c>
      <c r="CE199" s="13" t="s">
        <v>15</v>
      </c>
      <c r="CF199" s="82" t="s">
        <v>9</v>
      </c>
      <c r="CG199" s="91" t="s">
        <v>3576</v>
      </c>
      <c r="CH199" s="91"/>
      <c r="CI199" s="87"/>
      <c r="CJ199" s="19" t="s">
        <v>3208</v>
      </c>
      <c r="CK199" s="13" t="s">
        <v>0</v>
      </c>
      <c r="CL199" s="82" t="s">
        <v>12</v>
      </c>
      <c r="CM199" s="91" t="s">
        <v>3577</v>
      </c>
      <c r="CN199" s="91"/>
      <c r="CO199" s="87"/>
      <c r="CP199" s="56" t="s">
        <v>3208</v>
      </c>
      <c r="CQ199" s="13" t="s">
        <v>0</v>
      </c>
      <c r="CR199" s="82" t="s">
        <v>12</v>
      </c>
      <c r="CS199" s="91" t="s">
        <v>3577</v>
      </c>
      <c r="CT199" s="91"/>
      <c r="CU199" s="105"/>
    </row>
    <row r="200" spans="1:99" ht="53" customHeight="1" thickBot="1" x14ac:dyDescent="0.4">
      <c r="A200" s="40" t="s">
        <v>122</v>
      </c>
      <c r="B200" s="40" t="s">
        <v>285</v>
      </c>
      <c r="C200" s="40" t="s">
        <v>486</v>
      </c>
      <c r="D200" s="135" t="s">
        <v>3848</v>
      </c>
      <c r="E200" s="314" t="s">
        <v>3855</v>
      </c>
      <c r="F200" s="315" t="s">
        <v>3390</v>
      </c>
      <c r="G200" s="315" t="s">
        <v>3862</v>
      </c>
      <c r="H200" s="143" t="s">
        <v>3651</v>
      </c>
      <c r="I200" s="139" t="s">
        <v>3652</v>
      </c>
      <c r="J200" s="136" t="s">
        <v>666</v>
      </c>
      <c r="K200" s="13" t="s">
        <v>15</v>
      </c>
      <c r="L200" s="82" t="s">
        <v>20</v>
      </c>
      <c r="M200" s="146" t="s">
        <v>3576</v>
      </c>
      <c r="N200" s="91"/>
      <c r="O200" s="87"/>
      <c r="P200" s="49" t="s">
        <v>865</v>
      </c>
      <c r="Q200" s="13" t="s">
        <v>15</v>
      </c>
      <c r="R200" s="82" t="s">
        <v>20</v>
      </c>
      <c r="S200" s="91" t="s">
        <v>3576</v>
      </c>
      <c r="T200" s="91"/>
      <c r="U200" s="87"/>
      <c r="V200" s="52" t="s">
        <v>1064</v>
      </c>
      <c r="W200" s="13" t="s">
        <v>15</v>
      </c>
      <c r="X200" s="82" t="s">
        <v>20</v>
      </c>
      <c r="Y200" s="91" t="s">
        <v>3576</v>
      </c>
      <c r="Z200" s="91"/>
      <c r="AA200" s="87"/>
      <c r="AB200" s="19" t="s">
        <v>1265</v>
      </c>
      <c r="AC200" s="13" t="s">
        <v>15</v>
      </c>
      <c r="AD200" s="82" t="s">
        <v>20</v>
      </c>
      <c r="AE200" s="91" t="s">
        <v>3576</v>
      </c>
      <c r="AF200" s="91"/>
      <c r="AG200" s="87"/>
      <c r="AH200" s="56" t="s">
        <v>1462</v>
      </c>
      <c r="AI200" s="13" t="s">
        <v>15</v>
      </c>
      <c r="AJ200" s="82" t="s">
        <v>20</v>
      </c>
      <c r="AK200" s="91" t="s">
        <v>3576</v>
      </c>
      <c r="AL200" s="91"/>
      <c r="AM200" s="105"/>
      <c r="AN200" s="23" t="s">
        <v>1661</v>
      </c>
      <c r="AO200" s="13" t="s">
        <v>15</v>
      </c>
      <c r="AP200" s="82" t="s">
        <v>20</v>
      </c>
      <c r="AQ200" s="91" t="s">
        <v>3577</v>
      </c>
      <c r="AR200" s="91"/>
      <c r="AS200" s="87"/>
      <c r="AT200" s="21" t="s">
        <v>1858</v>
      </c>
      <c r="AU200" s="13" t="s">
        <v>15</v>
      </c>
      <c r="AV200" s="82" t="s">
        <v>20</v>
      </c>
      <c r="AW200" s="91" t="s">
        <v>3577</v>
      </c>
      <c r="AX200" s="91"/>
      <c r="AY200" s="87"/>
      <c r="AZ200" s="22" t="s">
        <v>2056</v>
      </c>
      <c r="BA200" s="13" t="s">
        <v>15</v>
      </c>
      <c r="BB200" s="82" t="s">
        <v>20</v>
      </c>
      <c r="BC200" s="91" t="s">
        <v>3577</v>
      </c>
      <c r="BD200" s="91"/>
      <c r="BE200" s="87"/>
      <c r="BF200" s="24" t="s">
        <v>2250</v>
      </c>
      <c r="BG200" s="13" t="s">
        <v>15</v>
      </c>
      <c r="BH200" s="82" t="s">
        <v>20</v>
      </c>
      <c r="BI200" s="91" t="s">
        <v>3577</v>
      </c>
      <c r="BJ200" s="91"/>
      <c r="BK200" s="87"/>
      <c r="BL200" s="27" t="s">
        <v>2439</v>
      </c>
      <c r="BM200" s="13" t="s">
        <v>15</v>
      </c>
      <c r="BN200" s="82" t="s">
        <v>20</v>
      </c>
      <c r="BO200" s="91" t="s">
        <v>3577</v>
      </c>
      <c r="BP200" s="91"/>
      <c r="BQ200" s="105"/>
      <c r="BR200" s="72" t="s">
        <v>2635</v>
      </c>
      <c r="BS200" s="13" t="s">
        <v>15</v>
      </c>
      <c r="BT200" s="82" t="s">
        <v>17</v>
      </c>
      <c r="BU200" s="91" t="s">
        <v>3577</v>
      </c>
      <c r="BV200" s="91"/>
      <c r="BW200" s="87"/>
      <c r="BX200" s="49" t="s">
        <v>2829</v>
      </c>
      <c r="BY200" s="13" t="s">
        <v>15</v>
      </c>
      <c r="BZ200" s="82" t="s">
        <v>17</v>
      </c>
      <c r="CA200" s="91" t="s">
        <v>3577</v>
      </c>
      <c r="CB200" s="91"/>
      <c r="CC200" s="264"/>
      <c r="CD200" s="52" t="s">
        <v>3001</v>
      </c>
      <c r="CE200" s="13" t="s">
        <v>15</v>
      </c>
      <c r="CF200" s="82" t="s">
        <v>17</v>
      </c>
      <c r="CG200" s="91" t="s">
        <v>3577</v>
      </c>
      <c r="CH200" s="91"/>
      <c r="CI200" s="87"/>
      <c r="CJ200" s="19" t="s">
        <v>3163</v>
      </c>
      <c r="CK200" s="13" t="s">
        <v>15</v>
      </c>
      <c r="CL200" s="82" t="s">
        <v>17</v>
      </c>
      <c r="CM200" s="91" t="s">
        <v>3577</v>
      </c>
      <c r="CN200" s="91"/>
      <c r="CO200" s="87"/>
      <c r="CP200" s="56" t="s">
        <v>3293</v>
      </c>
      <c r="CQ200" s="13" t="s">
        <v>15</v>
      </c>
      <c r="CR200" s="82" t="s">
        <v>17</v>
      </c>
      <c r="CS200" s="91" t="s">
        <v>3577</v>
      </c>
      <c r="CT200" s="91"/>
      <c r="CU200" s="105"/>
    </row>
    <row r="201" spans="1:99" ht="42" customHeight="1" thickBot="1" x14ac:dyDescent="0.4">
      <c r="A201" s="40" t="s">
        <v>215</v>
      </c>
      <c r="B201" s="40" t="s">
        <v>407</v>
      </c>
      <c r="C201" s="40" t="s">
        <v>589</v>
      </c>
      <c r="D201" s="135" t="s">
        <v>3801</v>
      </c>
      <c r="E201" s="323" t="s">
        <v>3869</v>
      </c>
      <c r="F201" s="324" t="s">
        <v>3372</v>
      </c>
      <c r="G201" s="324" t="s">
        <v>3871</v>
      </c>
      <c r="H201" s="142" t="s">
        <v>3802</v>
      </c>
      <c r="I201" s="138" t="s">
        <v>3559</v>
      </c>
      <c r="J201" s="136" t="s">
        <v>788</v>
      </c>
      <c r="K201" s="13" t="s">
        <v>6</v>
      </c>
      <c r="L201" s="82" t="s">
        <v>8</v>
      </c>
      <c r="M201" s="146" t="s">
        <v>3576</v>
      </c>
      <c r="N201" s="91"/>
      <c r="O201" s="87"/>
      <c r="P201" s="49" t="s">
        <v>986</v>
      </c>
      <c r="Q201" s="13" t="s">
        <v>6</v>
      </c>
      <c r="R201" s="82" t="s">
        <v>8</v>
      </c>
      <c r="S201" s="91" t="s">
        <v>3576</v>
      </c>
      <c r="T201" s="91"/>
      <c r="U201" s="87"/>
      <c r="V201" s="52" t="s">
        <v>1185</v>
      </c>
      <c r="W201" s="13" t="s">
        <v>6</v>
      </c>
      <c r="X201" s="82" t="s">
        <v>8</v>
      </c>
      <c r="Y201" s="91" t="s">
        <v>3576</v>
      </c>
      <c r="Z201" s="91"/>
      <c r="AA201" s="87"/>
      <c r="AB201" s="19" t="s">
        <v>1384</v>
      </c>
      <c r="AC201" s="13" t="s">
        <v>6</v>
      </c>
      <c r="AD201" s="82" t="s">
        <v>8</v>
      </c>
      <c r="AE201" s="91" t="s">
        <v>3576</v>
      </c>
      <c r="AF201" s="91"/>
      <c r="AG201" s="87"/>
      <c r="AH201" s="56" t="s">
        <v>1582</v>
      </c>
      <c r="AI201" s="13" t="s">
        <v>6</v>
      </c>
      <c r="AJ201" s="82" t="s">
        <v>8</v>
      </c>
      <c r="AK201" s="91" t="s">
        <v>3576</v>
      </c>
      <c r="AL201" s="91"/>
      <c r="AM201" s="105"/>
      <c r="AN201" s="23" t="s">
        <v>1781</v>
      </c>
      <c r="AO201" s="13" t="s">
        <v>15</v>
      </c>
      <c r="AP201" s="82" t="s">
        <v>19</v>
      </c>
      <c r="AQ201" s="91" t="s">
        <v>3577</v>
      </c>
      <c r="AR201" s="91"/>
      <c r="AS201" s="87"/>
      <c r="AT201" s="21" t="s">
        <v>1978</v>
      </c>
      <c r="AU201" s="13" t="s">
        <v>15</v>
      </c>
      <c r="AV201" s="82" t="s">
        <v>19</v>
      </c>
      <c r="AW201" s="91" t="s">
        <v>3577</v>
      </c>
      <c r="AX201" s="91"/>
      <c r="AY201" s="87"/>
      <c r="AZ201" s="22" t="s">
        <v>2174</v>
      </c>
      <c r="BA201" s="13" t="s">
        <v>15</v>
      </c>
      <c r="BB201" s="82" t="s">
        <v>19</v>
      </c>
      <c r="BC201" s="91" t="s">
        <v>3577</v>
      </c>
      <c r="BD201" s="91"/>
      <c r="BE201" s="87"/>
      <c r="BF201" s="24" t="s">
        <v>2365</v>
      </c>
      <c r="BG201" s="13" t="s">
        <v>15</v>
      </c>
      <c r="BH201" s="82" t="s">
        <v>19</v>
      </c>
      <c r="BI201" s="91" t="s">
        <v>3577</v>
      </c>
      <c r="BJ201" s="91"/>
      <c r="BK201" s="87"/>
      <c r="BL201" s="27" t="s">
        <v>2557</v>
      </c>
      <c r="BM201" s="13" t="s">
        <v>15</v>
      </c>
      <c r="BN201" s="82" t="s">
        <v>19</v>
      </c>
      <c r="BO201" s="91" t="s">
        <v>3577</v>
      </c>
      <c r="BP201" s="91"/>
      <c r="BQ201" s="105"/>
      <c r="BR201" s="72" t="s">
        <v>2755</v>
      </c>
      <c r="BS201" s="13" t="s">
        <v>15</v>
      </c>
      <c r="BT201" s="82" t="s">
        <v>19</v>
      </c>
      <c r="BU201" s="91" t="s">
        <v>3577</v>
      </c>
      <c r="BV201" s="91"/>
      <c r="BW201" s="87"/>
      <c r="BX201" s="49" t="s">
        <v>2929</v>
      </c>
      <c r="BY201" s="13" t="s">
        <v>15</v>
      </c>
      <c r="BZ201" s="82" t="s">
        <v>19</v>
      </c>
      <c r="CA201" s="91" t="s">
        <v>3577</v>
      </c>
      <c r="CB201" s="91"/>
      <c r="CC201" s="87"/>
      <c r="CD201" s="52" t="s">
        <v>3104</v>
      </c>
      <c r="CE201" s="13" t="s">
        <v>15</v>
      </c>
      <c r="CF201" s="82" t="s">
        <v>19</v>
      </c>
      <c r="CG201" s="91" t="s">
        <v>3577</v>
      </c>
      <c r="CH201" s="91"/>
      <c r="CI201" s="87"/>
      <c r="CJ201" s="19" t="s">
        <v>3246</v>
      </c>
      <c r="CK201" s="13" t="s">
        <v>15</v>
      </c>
      <c r="CL201" s="82" t="s">
        <v>19</v>
      </c>
      <c r="CM201" s="91" t="s">
        <v>3577</v>
      </c>
      <c r="CN201" s="91"/>
      <c r="CO201" s="87"/>
      <c r="CP201" s="56" t="s">
        <v>3358</v>
      </c>
      <c r="CQ201" s="13" t="s">
        <v>15</v>
      </c>
      <c r="CR201" s="82" t="s">
        <v>19</v>
      </c>
      <c r="CS201" s="91" t="s">
        <v>3577</v>
      </c>
      <c r="CT201" s="91"/>
      <c r="CU201" s="105"/>
    </row>
    <row r="202" spans="1:99" ht="42" customHeight="1" thickBot="1" x14ac:dyDescent="0.4">
      <c r="A202" s="40" t="s">
        <v>95</v>
      </c>
      <c r="B202" s="40" t="s">
        <v>257</v>
      </c>
      <c r="C202" s="40" t="s">
        <v>456</v>
      </c>
      <c r="D202" s="135" t="s">
        <v>3405</v>
      </c>
      <c r="E202" s="314" t="s">
        <v>3855</v>
      </c>
      <c r="F202" s="315" t="s">
        <v>3371</v>
      </c>
      <c r="G202" s="315" t="s">
        <v>3859</v>
      </c>
      <c r="H202" s="142" t="s">
        <v>3611</v>
      </c>
      <c r="I202" s="138" t="s">
        <v>3559</v>
      </c>
      <c r="J202" s="136" t="s">
        <v>636</v>
      </c>
      <c r="K202" s="13" t="s">
        <v>15</v>
      </c>
      <c r="L202" s="82" t="s">
        <v>9</v>
      </c>
      <c r="M202" s="146" t="s">
        <v>3576</v>
      </c>
      <c r="N202" s="91"/>
      <c r="O202" s="87" t="s">
        <v>3714</v>
      </c>
      <c r="P202" s="49" t="s">
        <v>837</v>
      </c>
      <c r="Q202" s="13" t="s">
        <v>15</v>
      </c>
      <c r="R202" s="82" t="s">
        <v>4</v>
      </c>
      <c r="S202" s="91" t="s">
        <v>3577</v>
      </c>
      <c r="T202" s="91"/>
      <c r="U202" s="87"/>
      <c r="V202" s="52" t="s">
        <v>1035</v>
      </c>
      <c r="W202" s="13" t="s">
        <v>15</v>
      </c>
      <c r="X202" s="82" t="s">
        <v>4</v>
      </c>
      <c r="Y202" s="91" t="s">
        <v>3577</v>
      </c>
      <c r="Z202" s="91" t="s">
        <v>3578</v>
      </c>
      <c r="AA202" s="87"/>
      <c r="AB202" s="19" t="s">
        <v>1235</v>
      </c>
      <c r="AC202" s="13" t="s">
        <v>15</v>
      </c>
      <c r="AD202" s="82" t="s">
        <v>9</v>
      </c>
      <c r="AE202" s="91" t="s">
        <v>3576</v>
      </c>
      <c r="AF202" s="91"/>
      <c r="AG202" s="87"/>
      <c r="AH202" s="56" t="s">
        <v>1434</v>
      </c>
      <c r="AI202" s="13" t="s">
        <v>15</v>
      </c>
      <c r="AJ202" s="82" t="s">
        <v>9</v>
      </c>
      <c r="AK202" s="91" t="s">
        <v>3576</v>
      </c>
      <c r="AL202" s="91"/>
      <c r="AM202" s="105"/>
      <c r="AN202" s="23" t="s">
        <v>1632</v>
      </c>
      <c r="AO202" s="13" t="s">
        <v>15</v>
      </c>
      <c r="AP202" s="82" t="s">
        <v>4</v>
      </c>
      <c r="AQ202" s="91" t="s">
        <v>3577</v>
      </c>
      <c r="AR202" s="91" t="s">
        <v>3578</v>
      </c>
      <c r="AS202" s="107"/>
      <c r="AT202" s="21" t="s">
        <v>1830</v>
      </c>
      <c r="AU202" s="43" t="s">
        <v>15</v>
      </c>
      <c r="AV202" s="83" t="s">
        <v>4</v>
      </c>
      <c r="AW202" s="91" t="s">
        <v>3577</v>
      </c>
      <c r="AX202" s="91"/>
      <c r="AY202" s="107"/>
      <c r="AZ202" s="22" t="s">
        <v>2027</v>
      </c>
      <c r="BA202" s="43" t="s">
        <v>15</v>
      </c>
      <c r="BB202" s="83" t="s">
        <v>4</v>
      </c>
      <c r="BC202" s="91" t="s">
        <v>3577</v>
      </c>
      <c r="BD202" s="91"/>
      <c r="BE202" s="107"/>
      <c r="BF202" s="24" t="s">
        <v>2224</v>
      </c>
      <c r="BG202" s="43" t="s">
        <v>15</v>
      </c>
      <c r="BH202" s="83" t="s">
        <v>4</v>
      </c>
      <c r="BI202" s="91" t="s">
        <v>3577</v>
      </c>
      <c r="BJ202" s="91"/>
      <c r="BK202" s="107"/>
      <c r="BL202" s="27" t="s">
        <v>2412</v>
      </c>
      <c r="BM202" s="43" t="s">
        <v>15</v>
      </c>
      <c r="BN202" s="82" t="s">
        <v>4</v>
      </c>
      <c r="BO202" s="91" t="s">
        <v>3577</v>
      </c>
      <c r="BP202" s="91"/>
      <c r="BQ202" s="105"/>
      <c r="BR202" s="72" t="s">
        <v>2609</v>
      </c>
      <c r="BS202" s="13" t="s">
        <v>15</v>
      </c>
      <c r="BT202" s="82" t="s">
        <v>4</v>
      </c>
      <c r="BU202" s="91" t="s">
        <v>3577</v>
      </c>
      <c r="BV202" s="91"/>
      <c r="BW202" s="87"/>
      <c r="BX202" s="49" t="s">
        <v>2801</v>
      </c>
      <c r="BY202" s="13" t="s">
        <v>15</v>
      </c>
      <c r="BZ202" s="82" t="s">
        <v>4</v>
      </c>
      <c r="CA202" s="91" t="s">
        <v>3577</v>
      </c>
      <c r="CB202" s="91"/>
      <c r="CC202" s="264"/>
      <c r="CD202" s="52" t="s">
        <v>2975</v>
      </c>
      <c r="CE202" s="13" t="s">
        <v>15</v>
      </c>
      <c r="CF202" s="82" t="s">
        <v>4</v>
      </c>
      <c r="CG202" s="91" t="s">
        <v>3577</v>
      </c>
      <c r="CH202" s="91"/>
      <c r="CI202" s="87"/>
      <c r="CJ202" s="19" t="s">
        <v>3145</v>
      </c>
      <c r="CK202" s="13" t="s">
        <v>15</v>
      </c>
      <c r="CL202" s="82" t="s">
        <v>4</v>
      </c>
      <c r="CM202" s="91" t="s">
        <v>3577</v>
      </c>
      <c r="CN202" s="91"/>
      <c r="CO202" s="87"/>
      <c r="CP202" s="56" t="s">
        <v>3281</v>
      </c>
      <c r="CQ202" s="13" t="s">
        <v>15</v>
      </c>
      <c r="CR202" s="82" t="s">
        <v>4</v>
      </c>
      <c r="CS202" s="91" t="s">
        <v>3577</v>
      </c>
      <c r="CT202" s="91"/>
      <c r="CU202" s="105"/>
    </row>
    <row r="203" spans="1:99" ht="20" customHeight="1" thickBot="1" x14ac:dyDescent="0.4">
      <c r="A203" s="40" t="s">
        <v>153</v>
      </c>
      <c r="B203" s="40" t="s">
        <v>323</v>
      </c>
      <c r="C203" s="40" t="s">
        <v>521</v>
      </c>
      <c r="D203" s="135" t="s">
        <v>3468</v>
      </c>
      <c r="E203" s="314" t="s">
        <v>3855</v>
      </c>
      <c r="F203" s="315" t="s">
        <v>3383</v>
      </c>
      <c r="G203" s="315" t="s">
        <v>3863</v>
      </c>
      <c r="H203" s="142" t="s">
        <v>3699</v>
      </c>
      <c r="I203" s="138"/>
      <c r="J203" s="136" t="s">
        <v>704</v>
      </c>
      <c r="K203" s="13" t="s">
        <v>15</v>
      </c>
      <c r="L203" s="82" t="s">
        <v>19</v>
      </c>
      <c r="M203" s="146" t="s">
        <v>3577</v>
      </c>
      <c r="N203" s="91"/>
      <c r="O203" s="350"/>
      <c r="P203" s="49" t="s">
        <v>903</v>
      </c>
      <c r="Q203" s="13" t="s">
        <v>15</v>
      </c>
      <c r="R203" s="82" t="s">
        <v>19</v>
      </c>
      <c r="S203" s="91" t="s">
        <v>3577</v>
      </c>
      <c r="T203" s="91"/>
      <c r="U203" s="350"/>
      <c r="V203" s="52" t="s">
        <v>1102</v>
      </c>
      <c r="W203" s="13" t="s">
        <v>15</v>
      </c>
      <c r="X203" s="82" t="s">
        <v>19</v>
      </c>
      <c r="Y203" s="91" t="s">
        <v>3577</v>
      </c>
      <c r="Z203" s="91"/>
      <c r="AA203" s="350"/>
      <c r="AB203" s="19" t="s">
        <v>1302</v>
      </c>
      <c r="AC203" s="13" t="s">
        <v>15</v>
      </c>
      <c r="AD203" s="82" t="s">
        <v>19</v>
      </c>
      <c r="AE203" s="91" t="s">
        <v>3577</v>
      </c>
      <c r="AF203" s="91"/>
      <c r="AG203" s="350"/>
      <c r="AH203" s="56" t="s">
        <v>1499</v>
      </c>
      <c r="AI203" s="13" t="s">
        <v>15</v>
      </c>
      <c r="AJ203" s="82" t="s">
        <v>19</v>
      </c>
      <c r="AK203" s="91" t="s">
        <v>3577</v>
      </c>
      <c r="AL203" s="91"/>
      <c r="AM203" s="350"/>
      <c r="AN203" s="23" t="s">
        <v>1697</v>
      </c>
      <c r="AO203" s="13" t="s">
        <v>0</v>
      </c>
      <c r="AP203" s="82" t="s">
        <v>1</v>
      </c>
      <c r="AQ203" s="91" t="s">
        <v>3576</v>
      </c>
      <c r="AR203" s="91"/>
      <c r="AS203" s="350"/>
      <c r="AT203" s="21" t="s">
        <v>1896</v>
      </c>
      <c r="AU203" s="43" t="s">
        <v>0</v>
      </c>
      <c r="AV203" s="83" t="s">
        <v>1</v>
      </c>
      <c r="AW203" s="91" t="s">
        <v>3576</v>
      </c>
      <c r="AX203" s="91"/>
      <c r="AY203" s="350"/>
      <c r="AZ203" s="22" t="s">
        <v>2092</v>
      </c>
      <c r="BA203" s="43" t="s">
        <v>0</v>
      </c>
      <c r="BB203" s="83" t="s">
        <v>1</v>
      </c>
      <c r="BC203" s="91" t="s">
        <v>3576</v>
      </c>
      <c r="BD203" s="91"/>
      <c r="BE203" s="350"/>
      <c r="BF203" s="24" t="s">
        <v>1896</v>
      </c>
      <c r="BG203" s="43" t="s">
        <v>0</v>
      </c>
      <c r="BH203" s="83" t="s">
        <v>1</v>
      </c>
      <c r="BI203" s="91" t="s">
        <v>3576</v>
      </c>
      <c r="BJ203" s="91"/>
      <c r="BK203" s="350"/>
      <c r="BL203" s="27" t="s">
        <v>2474</v>
      </c>
      <c r="BM203" s="43" t="s">
        <v>0</v>
      </c>
      <c r="BN203" s="82" t="s">
        <v>1</v>
      </c>
      <c r="BO203" s="91" t="s">
        <v>3576</v>
      </c>
      <c r="BP203" s="91"/>
      <c r="BQ203" s="105"/>
      <c r="BR203" s="72" t="s">
        <v>2671</v>
      </c>
      <c r="BS203" s="13" t="s">
        <v>11</v>
      </c>
      <c r="BT203" s="82"/>
      <c r="BU203" s="91" t="s">
        <v>3576</v>
      </c>
      <c r="BV203" s="91"/>
      <c r="BW203" s="350"/>
      <c r="BX203" s="49" t="s">
        <v>2859</v>
      </c>
      <c r="BY203" s="13" t="s">
        <v>11</v>
      </c>
      <c r="BZ203" s="82"/>
      <c r="CA203" s="91" t="s">
        <v>3576</v>
      </c>
      <c r="CB203" s="91"/>
      <c r="CC203" s="87"/>
      <c r="CD203" s="52" t="s">
        <v>3035</v>
      </c>
      <c r="CE203" s="13" t="s">
        <v>11</v>
      </c>
      <c r="CF203" s="82"/>
      <c r="CG203" s="91" t="s">
        <v>3576</v>
      </c>
      <c r="CH203" s="91"/>
      <c r="CI203" s="87"/>
      <c r="CJ203" s="19" t="s">
        <v>3189</v>
      </c>
      <c r="CK203" s="13" t="s">
        <v>0</v>
      </c>
      <c r="CL203" s="82" t="s">
        <v>1</v>
      </c>
      <c r="CM203" s="91" t="s">
        <v>3576</v>
      </c>
      <c r="CN203" s="91"/>
      <c r="CO203" s="87"/>
      <c r="CP203" s="56" t="s">
        <v>3316</v>
      </c>
      <c r="CQ203" s="13" t="s">
        <v>11</v>
      </c>
      <c r="CR203" s="82"/>
      <c r="CS203" s="91" t="s">
        <v>3576</v>
      </c>
      <c r="CT203" s="91"/>
      <c r="CU203" s="350"/>
    </row>
    <row r="204" spans="1:99" ht="14" customHeight="1" x14ac:dyDescent="0.35">
      <c r="A204" s="42" t="s">
        <v>76</v>
      </c>
      <c r="B204" s="42" t="s">
        <v>238</v>
      </c>
      <c r="C204" s="42" t="s">
        <v>437</v>
      </c>
      <c r="D204" s="275" t="s">
        <v>3384</v>
      </c>
      <c r="E204" s="314" t="s">
        <v>3855</v>
      </c>
      <c r="F204" s="315" t="s">
        <v>3383</v>
      </c>
      <c r="G204" s="315" t="s">
        <v>3863</v>
      </c>
      <c r="H204" s="276" t="s">
        <v>3590</v>
      </c>
      <c r="I204" s="277" t="s">
        <v>3591</v>
      </c>
      <c r="J204" s="278" t="s">
        <v>617</v>
      </c>
      <c r="K204" s="279" t="s">
        <v>15</v>
      </c>
      <c r="L204" s="280" t="s">
        <v>9</v>
      </c>
      <c r="M204" s="146" t="s">
        <v>3576</v>
      </c>
      <c r="N204" s="281"/>
      <c r="O204" s="352" t="s">
        <v>3684</v>
      </c>
      <c r="P204" s="283" t="s">
        <v>817</v>
      </c>
      <c r="Q204" s="279" t="s">
        <v>15</v>
      </c>
      <c r="R204" s="280" t="s">
        <v>9</v>
      </c>
      <c r="S204" s="281" t="s">
        <v>3576</v>
      </c>
      <c r="T204" s="281"/>
      <c r="U204" s="352" t="s">
        <v>3559</v>
      </c>
      <c r="V204" s="284" t="s">
        <v>1015</v>
      </c>
      <c r="W204" s="279" t="s">
        <v>15</v>
      </c>
      <c r="X204" s="280" t="s">
        <v>9</v>
      </c>
      <c r="Y204" s="281" t="s">
        <v>3576</v>
      </c>
      <c r="Z204" s="281"/>
      <c r="AA204" s="352" t="s">
        <v>3559</v>
      </c>
      <c r="AB204" s="285" t="s">
        <v>1215</v>
      </c>
      <c r="AC204" s="279" t="s">
        <v>15</v>
      </c>
      <c r="AD204" s="280" t="s">
        <v>9</v>
      </c>
      <c r="AE204" s="281" t="s">
        <v>3576</v>
      </c>
      <c r="AF204" s="281"/>
      <c r="AG204" s="352" t="s">
        <v>3559</v>
      </c>
      <c r="AH204" s="286" t="s">
        <v>1414</v>
      </c>
      <c r="AI204" s="279" t="s">
        <v>15</v>
      </c>
      <c r="AJ204" s="280" t="s">
        <v>9</v>
      </c>
      <c r="AK204" s="281" t="s">
        <v>3576</v>
      </c>
      <c r="AL204" s="281"/>
      <c r="AM204" s="352" t="s">
        <v>3559</v>
      </c>
      <c r="AN204" s="287" t="s">
        <v>1612</v>
      </c>
      <c r="AO204" s="279" t="s">
        <v>0</v>
      </c>
      <c r="AP204" s="280" t="s">
        <v>12</v>
      </c>
      <c r="AQ204" s="281" t="s">
        <v>3576</v>
      </c>
      <c r="AR204" s="281"/>
      <c r="AS204" s="352"/>
      <c r="AT204" s="288" t="s">
        <v>1811</v>
      </c>
      <c r="AU204" s="279" t="s">
        <v>0</v>
      </c>
      <c r="AV204" s="280" t="s">
        <v>12</v>
      </c>
      <c r="AW204" s="281" t="s">
        <v>3576</v>
      </c>
      <c r="AX204" s="281"/>
      <c r="AY204" s="352"/>
      <c r="AZ204" s="289" t="s">
        <v>2008</v>
      </c>
      <c r="BA204" s="279" t="s">
        <v>15</v>
      </c>
      <c r="BB204" s="280" t="s">
        <v>17</v>
      </c>
      <c r="BC204" s="281" t="s">
        <v>3576</v>
      </c>
      <c r="BD204" s="281"/>
      <c r="BE204" s="282" t="s">
        <v>3685</v>
      </c>
      <c r="BF204" s="290" t="s">
        <v>2204</v>
      </c>
      <c r="BG204" s="279" t="s">
        <v>0</v>
      </c>
      <c r="BH204" s="280" t="s">
        <v>12</v>
      </c>
      <c r="BI204" s="281" t="s">
        <v>3576</v>
      </c>
      <c r="BJ204" s="281"/>
      <c r="BK204" s="352"/>
      <c r="BL204" s="291" t="s">
        <v>2392</v>
      </c>
      <c r="BM204" s="279" t="s">
        <v>0</v>
      </c>
      <c r="BN204" s="280" t="s">
        <v>12</v>
      </c>
      <c r="BO204" s="281" t="s">
        <v>3576</v>
      </c>
      <c r="BP204" s="281"/>
      <c r="BQ204" s="292"/>
      <c r="BR204" s="293" t="s">
        <v>2590</v>
      </c>
      <c r="BS204" s="279" t="s">
        <v>15</v>
      </c>
      <c r="BT204" s="280" t="s">
        <v>9</v>
      </c>
      <c r="BU204" s="281" t="s">
        <v>3576</v>
      </c>
      <c r="BV204" s="281"/>
      <c r="BW204" s="352" t="s">
        <v>3562</v>
      </c>
      <c r="BX204" s="283" t="s">
        <v>2783</v>
      </c>
      <c r="BY204" s="279" t="s">
        <v>15</v>
      </c>
      <c r="BZ204" s="280" t="s">
        <v>9</v>
      </c>
      <c r="CA204" s="281" t="s">
        <v>3576</v>
      </c>
      <c r="CB204" s="281"/>
      <c r="CC204" s="356"/>
      <c r="CD204" s="284" t="s">
        <v>2957</v>
      </c>
      <c r="CE204" s="279" t="s">
        <v>15</v>
      </c>
      <c r="CF204" s="280" t="s">
        <v>9</v>
      </c>
      <c r="CG204" s="281" t="s">
        <v>3576</v>
      </c>
      <c r="CH204" s="281"/>
      <c r="CI204" s="294" t="s">
        <v>3559</v>
      </c>
      <c r="CJ204" s="285" t="s">
        <v>3131</v>
      </c>
      <c r="CK204" s="279" t="s">
        <v>15</v>
      </c>
      <c r="CL204" s="280" t="s">
        <v>9</v>
      </c>
      <c r="CM204" s="281" t="s">
        <v>3576</v>
      </c>
      <c r="CN204" s="281"/>
      <c r="CO204" s="294" t="s">
        <v>3559</v>
      </c>
      <c r="CP204" s="286" t="s">
        <v>3269</v>
      </c>
      <c r="CQ204" s="358" t="s">
        <v>15</v>
      </c>
      <c r="CR204" s="255" t="s">
        <v>9</v>
      </c>
      <c r="CS204" s="281" t="s">
        <v>3576</v>
      </c>
      <c r="CT204" s="281"/>
      <c r="CU204" s="350" t="s">
        <v>3559</v>
      </c>
    </row>
    <row r="205" spans="1:99" x14ac:dyDescent="0.35">
      <c r="A205" s="46"/>
      <c r="B205" s="46"/>
      <c r="C205" s="46"/>
      <c r="D205" s="46"/>
      <c r="E205" s="323" t="s">
        <v>3869</v>
      </c>
      <c r="F205" s="324" t="s">
        <v>3372</v>
      </c>
      <c r="G205" s="324" t="s">
        <v>3871</v>
      </c>
      <c r="H205" s="46"/>
      <c r="I205" s="46"/>
      <c r="J205" s="47"/>
      <c r="L205" s="58"/>
      <c r="M205" s="58"/>
      <c r="N205" s="58"/>
      <c r="O205" s="58"/>
      <c r="P205" s="269"/>
      <c r="Q205" s="58"/>
      <c r="R205" s="58"/>
      <c r="S205" s="58"/>
      <c r="T205" s="58"/>
      <c r="U205" s="58"/>
      <c r="V205" s="269"/>
      <c r="W205" s="58"/>
      <c r="X205" s="58"/>
      <c r="Y205" s="58"/>
      <c r="Z205" s="58"/>
      <c r="AA205" s="58"/>
      <c r="AB205" s="269"/>
      <c r="AC205" s="58"/>
      <c r="AD205" s="58"/>
      <c r="AE205" s="58"/>
      <c r="AF205" s="58"/>
      <c r="AG205" s="58"/>
      <c r="AH205" s="269"/>
      <c r="AI205" s="58"/>
      <c r="AJ205" s="58"/>
      <c r="AK205" s="58"/>
      <c r="AL205" s="58"/>
      <c r="AM205" s="58"/>
      <c r="AN205" s="59"/>
      <c r="AO205" s="58"/>
      <c r="AP205" s="58"/>
      <c r="AQ205" s="58"/>
      <c r="AR205" s="58"/>
      <c r="AS205" s="58"/>
      <c r="AT205" s="59"/>
      <c r="AU205" s="58"/>
      <c r="AV205" s="58"/>
      <c r="AW205" s="58"/>
      <c r="AX205" s="58"/>
      <c r="AY205" s="58"/>
      <c r="AZ205" s="59"/>
      <c r="BA205" s="58"/>
      <c r="BB205" s="58"/>
      <c r="BC205" s="58"/>
      <c r="BD205" s="58"/>
      <c r="BE205" s="58"/>
      <c r="BF205" s="59"/>
      <c r="BG205" s="58"/>
      <c r="BH205" s="58"/>
      <c r="BI205" s="58"/>
      <c r="BJ205" s="58"/>
      <c r="BK205" s="58"/>
      <c r="BL205" s="59"/>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row>
    <row r="206" spans="1:99" x14ac:dyDescent="0.35">
      <c r="A206" s="46"/>
      <c r="B206" s="46"/>
      <c r="C206" s="46"/>
      <c r="D206" s="46"/>
      <c r="E206" s="46"/>
      <c r="F206" s="46"/>
      <c r="G206" s="46"/>
      <c r="H206" s="46"/>
      <c r="I206" s="46"/>
      <c r="J206" s="47"/>
      <c r="L206" s="58"/>
      <c r="M206" s="58"/>
      <c r="N206" s="58"/>
      <c r="O206" s="58"/>
      <c r="P206" s="269"/>
      <c r="Q206" s="58"/>
      <c r="R206" s="58"/>
      <c r="S206" s="58"/>
      <c r="T206" s="58"/>
      <c r="U206" s="58"/>
      <c r="V206" s="269"/>
      <c r="W206" s="58"/>
      <c r="X206" s="58"/>
      <c r="Y206" s="58"/>
      <c r="Z206" s="58"/>
      <c r="AA206" s="58"/>
      <c r="AB206" s="269"/>
      <c r="AC206" s="58"/>
      <c r="AD206" s="58"/>
      <c r="AE206" s="58"/>
      <c r="AF206" s="58"/>
      <c r="AG206" s="58"/>
      <c r="AH206" s="269"/>
      <c r="AI206" s="58"/>
      <c r="AJ206" s="58"/>
      <c r="AK206" s="58"/>
      <c r="AL206" s="58"/>
      <c r="AM206" s="58"/>
      <c r="AN206" s="59"/>
      <c r="AO206" s="58"/>
      <c r="AP206" s="58"/>
      <c r="AQ206" s="58"/>
      <c r="AR206" s="58"/>
      <c r="AS206" s="58"/>
      <c r="AT206" s="59"/>
      <c r="AU206" s="58"/>
      <c r="AV206" s="58"/>
      <c r="AW206" s="58"/>
      <c r="AX206" s="58"/>
      <c r="AY206" s="58"/>
      <c r="AZ206" s="59"/>
      <c r="BA206" s="58"/>
      <c r="BB206" s="58"/>
      <c r="BC206" s="58"/>
      <c r="BD206" s="58"/>
      <c r="BE206" s="58"/>
      <c r="BF206" s="59"/>
      <c r="BG206" s="58"/>
      <c r="BH206" s="58"/>
      <c r="BI206" s="58"/>
      <c r="BJ206" s="58"/>
      <c r="BK206" s="58"/>
      <c r="BL206" s="59"/>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row>
    <row r="207" spans="1:99" x14ac:dyDescent="0.35">
      <c r="A207" s="46"/>
      <c r="B207" s="46"/>
      <c r="C207" s="46"/>
      <c r="D207" s="46"/>
      <c r="E207" s="46"/>
      <c r="F207" s="46"/>
      <c r="G207" s="46"/>
      <c r="H207" s="46"/>
      <c r="I207" s="46"/>
      <c r="J207" s="47"/>
      <c r="L207" s="58"/>
      <c r="M207" s="58"/>
      <c r="N207" s="58"/>
      <c r="O207" s="58"/>
      <c r="P207" s="269"/>
      <c r="Q207" s="58"/>
      <c r="R207" s="58"/>
      <c r="S207" s="58"/>
      <c r="T207" s="58"/>
      <c r="U207" s="58"/>
      <c r="V207" s="269"/>
      <c r="W207" s="58"/>
      <c r="X207" s="58"/>
      <c r="Y207" s="58"/>
      <c r="Z207" s="58"/>
      <c r="AA207" s="58"/>
      <c r="AB207" s="269"/>
      <c r="AC207" s="58"/>
      <c r="AD207" s="58"/>
      <c r="AE207" s="58"/>
      <c r="AF207" s="58"/>
      <c r="AG207" s="58"/>
      <c r="AH207" s="269"/>
      <c r="AI207" s="58"/>
      <c r="AJ207" s="58"/>
      <c r="AK207" s="58"/>
      <c r="AL207" s="58"/>
      <c r="AM207" s="58"/>
      <c r="AN207" s="59"/>
      <c r="AO207" s="58"/>
      <c r="AP207" s="58"/>
      <c r="AQ207" s="58"/>
      <c r="AR207" s="58"/>
      <c r="AS207" s="58"/>
      <c r="AT207" s="59"/>
      <c r="AU207" s="58"/>
      <c r="AV207" s="58"/>
      <c r="AW207" s="58"/>
      <c r="AX207" s="58"/>
      <c r="AY207" s="58"/>
      <c r="AZ207" s="59"/>
      <c r="BA207" s="58"/>
      <c r="BB207" s="58"/>
      <c r="BC207" s="58"/>
      <c r="BD207" s="58"/>
      <c r="BE207" s="58"/>
      <c r="BF207" s="59"/>
      <c r="BG207" s="58"/>
      <c r="BH207" s="58"/>
      <c r="BI207" s="58"/>
      <c r="BJ207" s="58"/>
      <c r="BK207" s="58"/>
      <c r="BL207" s="59"/>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row>
    <row r="208" spans="1:99" x14ac:dyDescent="0.35">
      <c r="A208" s="46"/>
      <c r="B208" s="46"/>
      <c r="C208" s="46"/>
      <c r="D208" s="46"/>
      <c r="E208" s="46"/>
      <c r="F208" s="46"/>
      <c r="G208" s="46"/>
      <c r="H208" s="46"/>
      <c r="I208" s="46"/>
      <c r="J208" s="47"/>
      <c r="L208" s="58"/>
      <c r="M208" s="58"/>
      <c r="N208" s="58"/>
      <c r="O208" s="58"/>
      <c r="P208" s="269"/>
      <c r="Q208" s="58"/>
      <c r="R208" s="58"/>
      <c r="S208" s="58"/>
      <c r="T208" s="58"/>
      <c r="U208" s="58"/>
      <c r="V208" s="269"/>
      <c r="W208" s="58"/>
      <c r="X208" s="58"/>
      <c r="Y208" s="58"/>
      <c r="Z208" s="58"/>
      <c r="AA208" s="58"/>
      <c r="AB208" s="269"/>
      <c r="AC208" s="58"/>
      <c r="AD208" s="58"/>
      <c r="AE208" s="58"/>
      <c r="AF208" s="58"/>
      <c r="AG208" s="58"/>
      <c r="AH208" s="269"/>
      <c r="AI208" s="58"/>
      <c r="AJ208" s="58"/>
      <c r="AK208" s="58"/>
      <c r="AL208" s="58"/>
      <c r="AM208" s="58"/>
      <c r="AN208" s="59"/>
      <c r="AO208" s="58"/>
      <c r="AP208" s="58"/>
      <c r="AQ208" s="58"/>
      <c r="AR208" s="58"/>
      <c r="AS208" s="58"/>
      <c r="AT208" s="59"/>
      <c r="AU208" s="58"/>
      <c r="AV208" s="58"/>
      <c r="AW208" s="58"/>
      <c r="AX208" s="58"/>
      <c r="AY208" s="58"/>
      <c r="AZ208" s="59"/>
      <c r="BA208" s="58"/>
      <c r="BB208" s="58"/>
      <c r="BC208" s="58"/>
      <c r="BD208" s="58"/>
      <c r="BE208" s="58"/>
      <c r="BF208" s="59"/>
      <c r="BG208" s="58"/>
      <c r="BH208" s="58"/>
      <c r="BI208" s="58"/>
      <c r="BJ208" s="58"/>
      <c r="BK208" s="58"/>
      <c r="BL208" s="59"/>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row>
    <row r="209" spans="1:99" x14ac:dyDescent="0.35">
      <c r="A209" s="46"/>
      <c r="B209" s="46"/>
      <c r="C209" s="46"/>
      <c r="D209" s="46"/>
      <c r="E209" s="46"/>
      <c r="F209" s="46"/>
      <c r="G209" s="46"/>
      <c r="H209" s="46"/>
      <c r="I209" s="46"/>
      <c r="J209" s="47"/>
      <c r="L209" s="58"/>
      <c r="M209" s="58"/>
      <c r="N209" s="58"/>
      <c r="O209" s="58"/>
      <c r="P209" s="269"/>
      <c r="Q209" s="58"/>
      <c r="R209" s="58"/>
      <c r="S209" s="58"/>
      <c r="T209" s="58"/>
      <c r="U209" s="58"/>
      <c r="V209" s="269"/>
      <c r="W209" s="58"/>
      <c r="X209" s="58"/>
      <c r="Y209" s="58"/>
      <c r="Z209" s="58"/>
      <c r="AA209" s="58"/>
      <c r="AB209" s="269"/>
      <c r="AC209" s="58"/>
      <c r="AD209" s="58"/>
      <c r="AE209" s="58"/>
      <c r="AF209" s="58"/>
      <c r="AG209" s="58"/>
      <c r="AH209" s="269"/>
      <c r="AI209" s="58"/>
      <c r="AJ209" s="58"/>
      <c r="AK209" s="58"/>
      <c r="AL209" s="58"/>
      <c r="AM209" s="58"/>
      <c r="AN209" s="59"/>
      <c r="AO209" s="58"/>
      <c r="AP209" s="58"/>
      <c r="AQ209" s="58"/>
      <c r="AR209" s="58"/>
      <c r="AS209" s="58"/>
      <c r="AT209" s="59"/>
      <c r="AU209" s="58"/>
      <c r="AV209" s="58"/>
      <c r="AW209" s="58"/>
      <c r="AX209" s="58"/>
      <c r="AY209" s="58"/>
      <c r="AZ209" s="59"/>
      <c r="BA209" s="58"/>
      <c r="BB209" s="58"/>
      <c r="BC209" s="58"/>
      <c r="BD209" s="58"/>
      <c r="BE209" s="58"/>
      <c r="BF209" s="59"/>
      <c r="BG209" s="58"/>
      <c r="BH209" s="58"/>
      <c r="BI209" s="58"/>
      <c r="BJ209" s="58"/>
      <c r="BK209" s="58"/>
      <c r="BL209" s="59"/>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row>
    <row r="210" spans="1:99" x14ac:dyDescent="0.35">
      <c r="A210" s="46"/>
      <c r="B210" s="46"/>
      <c r="C210" s="46"/>
      <c r="D210" s="46"/>
      <c r="E210" s="46"/>
      <c r="F210" s="46"/>
      <c r="G210" s="46"/>
      <c r="H210" s="46"/>
      <c r="I210" s="46"/>
      <c r="J210" s="47"/>
      <c r="L210" s="58"/>
      <c r="M210" s="58"/>
      <c r="N210" s="58"/>
      <c r="O210" s="58"/>
      <c r="P210" s="269"/>
      <c r="Q210" s="58"/>
      <c r="R210" s="58"/>
      <c r="S210" s="58"/>
      <c r="T210" s="58"/>
      <c r="U210" s="58"/>
      <c r="V210" s="269"/>
      <c r="W210" s="58"/>
      <c r="X210" s="58"/>
      <c r="Y210" s="58"/>
      <c r="Z210" s="58"/>
      <c r="AA210" s="58"/>
      <c r="AB210" s="269"/>
      <c r="AC210" s="58"/>
      <c r="AD210" s="58"/>
      <c r="AE210" s="58"/>
      <c r="AF210" s="58"/>
      <c r="AG210" s="58"/>
      <c r="AH210" s="269"/>
      <c r="AI210" s="58"/>
      <c r="AJ210" s="58"/>
      <c r="AK210" s="58"/>
      <c r="AL210" s="58"/>
      <c r="AM210" s="58"/>
      <c r="AN210" s="59"/>
      <c r="AO210" s="58"/>
      <c r="AP210" s="58"/>
      <c r="AQ210" s="58"/>
      <c r="AR210" s="58"/>
      <c r="AS210" s="58"/>
      <c r="AT210" s="59"/>
      <c r="AU210" s="58"/>
      <c r="AV210" s="58"/>
      <c r="AW210" s="58"/>
      <c r="AX210" s="58"/>
      <c r="AY210" s="58"/>
      <c r="AZ210" s="59"/>
      <c r="BA210" s="58"/>
      <c r="BB210" s="58"/>
      <c r="BC210" s="58"/>
      <c r="BD210" s="58"/>
      <c r="BE210" s="58"/>
      <c r="BF210" s="59"/>
      <c r="BG210" s="58"/>
      <c r="BH210" s="58"/>
      <c r="BI210" s="58"/>
      <c r="BJ210" s="58"/>
      <c r="BK210" s="58"/>
      <c r="BL210" s="59"/>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row>
    <row r="211" spans="1:99" x14ac:dyDescent="0.35">
      <c r="A211" s="46"/>
      <c r="B211" s="46"/>
      <c r="C211" s="46"/>
      <c r="D211" s="46"/>
      <c r="E211" s="46"/>
      <c r="F211" s="46"/>
      <c r="G211" s="46"/>
      <c r="H211" s="46"/>
      <c r="I211" s="46"/>
      <c r="J211" s="47"/>
      <c r="L211" s="58"/>
      <c r="M211" s="58"/>
      <c r="N211" s="58"/>
      <c r="O211" s="58"/>
      <c r="P211" s="269"/>
      <c r="Q211" s="58"/>
      <c r="R211" s="58"/>
      <c r="S211" s="58"/>
      <c r="T211" s="58"/>
      <c r="U211" s="58"/>
      <c r="V211" s="269"/>
      <c r="W211" s="58"/>
      <c r="X211" s="58"/>
      <c r="Y211" s="58"/>
      <c r="Z211" s="58"/>
      <c r="AA211" s="58"/>
      <c r="AB211" s="269"/>
      <c r="AC211" s="58"/>
      <c r="AD211" s="58"/>
      <c r="AE211" s="58"/>
      <c r="AF211" s="58"/>
      <c r="AG211" s="58"/>
      <c r="AH211" s="269"/>
      <c r="AI211" s="58"/>
      <c r="AJ211" s="58"/>
      <c r="AK211" s="58"/>
      <c r="AL211" s="58"/>
      <c r="AM211" s="58"/>
      <c r="AN211" s="59"/>
      <c r="AO211" s="58"/>
      <c r="AP211" s="58"/>
      <c r="AQ211" s="58"/>
      <c r="AR211" s="58"/>
      <c r="AS211" s="58"/>
      <c r="AT211" s="59"/>
      <c r="AU211" s="58"/>
      <c r="AV211" s="58"/>
      <c r="AW211" s="58"/>
      <c r="AX211" s="58"/>
      <c r="AY211" s="58"/>
      <c r="AZ211" s="59"/>
      <c r="BA211" s="58"/>
      <c r="BB211" s="58"/>
      <c r="BC211" s="58"/>
      <c r="BD211" s="58"/>
      <c r="BE211" s="58"/>
      <c r="BF211" s="59"/>
      <c r="BG211" s="58"/>
      <c r="BH211" s="58"/>
      <c r="BI211" s="58"/>
      <c r="BJ211" s="58"/>
      <c r="BK211" s="58"/>
      <c r="BL211" s="59"/>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row>
    <row r="212" spans="1:99" x14ac:dyDescent="0.35">
      <c r="A212" s="46"/>
      <c r="B212" s="46"/>
      <c r="C212" s="46"/>
      <c r="D212" s="46"/>
      <c r="E212" s="46"/>
      <c r="F212" s="46"/>
      <c r="G212" s="46"/>
      <c r="H212" s="46"/>
      <c r="I212" s="46"/>
      <c r="J212" s="47"/>
      <c r="L212" s="58"/>
      <c r="M212" s="58"/>
      <c r="N212" s="58"/>
      <c r="O212" s="58"/>
      <c r="P212" s="269"/>
      <c r="Q212" s="58"/>
      <c r="R212" s="58"/>
      <c r="S212" s="58"/>
      <c r="T212" s="58"/>
      <c r="U212" s="58"/>
      <c r="V212" s="269"/>
      <c r="W212" s="58"/>
      <c r="X212" s="58"/>
      <c r="Y212" s="58"/>
      <c r="Z212" s="58"/>
      <c r="AA212" s="58"/>
      <c r="AB212" s="269"/>
      <c r="AC212" s="58"/>
      <c r="AD212" s="58"/>
      <c r="AE212" s="58"/>
      <c r="AF212" s="58"/>
      <c r="AG212" s="58"/>
      <c r="AH212" s="269"/>
      <c r="AI212" s="58"/>
      <c r="AJ212" s="58"/>
      <c r="AK212" s="58"/>
      <c r="AL212" s="58"/>
      <c r="AM212" s="58"/>
      <c r="AN212" s="59"/>
      <c r="AO212" s="58"/>
      <c r="AP212" s="58"/>
      <c r="AQ212" s="58"/>
      <c r="AR212" s="58"/>
      <c r="AS212" s="58"/>
      <c r="AT212" s="59"/>
      <c r="AU212" s="58"/>
      <c r="AV212" s="58"/>
      <c r="AW212" s="58"/>
      <c r="AX212" s="58"/>
      <c r="AY212" s="58"/>
      <c r="AZ212" s="59"/>
      <c r="BA212" s="58"/>
      <c r="BB212" s="58"/>
      <c r="BC212" s="58"/>
      <c r="BD212" s="58"/>
      <c r="BE212" s="58"/>
      <c r="BF212" s="59"/>
      <c r="BG212" s="58"/>
      <c r="BH212" s="58"/>
      <c r="BI212" s="58"/>
      <c r="BJ212" s="58"/>
      <c r="BK212" s="58"/>
      <c r="BL212" s="59"/>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row>
    <row r="213" spans="1:99" x14ac:dyDescent="0.35">
      <c r="A213" s="46"/>
      <c r="B213" s="46"/>
      <c r="C213" s="46"/>
      <c r="D213" s="46"/>
      <c r="E213" s="46"/>
      <c r="F213" s="46"/>
      <c r="G213" s="46"/>
      <c r="H213" s="46"/>
      <c r="I213" s="46"/>
      <c r="J213" s="47"/>
      <c r="L213" s="58"/>
      <c r="M213" s="58"/>
      <c r="N213" s="58"/>
      <c r="O213" s="58"/>
      <c r="P213" s="269"/>
      <c r="Q213" s="58"/>
      <c r="R213" s="58"/>
      <c r="S213" s="58"/>
      <c r="T213" s="58"/>
      <c r="U213" s="58"/>
      <c r="V213" s="269"/>
      <c r="W213" s="58"/>
      <c r="X213" s="58"/>
      <c r="Y213" s="58"/>
      <c r="Z213" s="58"/>
      <c r="AA213" s="58"/>
      <c r="AB213" s="269"/>
      <c r="AC213" s="58"/>
      <c r="AD213" s="58"/>
      <c r="AE213" s="58"/>
      <c r="AF213" s="58"/>
      <c r="AG213" s="58"/>
      <c r="AH213" s="269"/>
      <c r="AI213" s="58"/>
      <c r="AJ213" s="58"/>
      <c r="AK213" s="58"/>
      <c r="AL213" s="58"/>
      <c r="AM213" s="58"/>
      <c r="AN213" s="59"/>
      <c r="AO213" s="58"/>
      <c r="AP213" s="58"/>
      <c r="AQ213" s="58"/>
      <c r="AR213" s="58"/>
      <c r="AS213" s="58"/>
      <c r="AT213" s="59"/>
      <c r="AU213" s="58"/>
      <c r="AV213" s="58"/>
      <c r="AW213" s="58"/>
      <c r="AX213" s="58"/>
      <c r="AY213" s="58"/>
      <c r="AZ213" s="59"/>
      <c r="BA213" s="58"/>
      <c r="BB213" s="58"/>
      <c r="BC213" s="58"/>
      <c r="BD213" s="58"/>
      <c r="BE213" s="58"/>
      <c r="BF213" s="59"/>
      <c r="BG213" s="58"/>
      <c r="BH213" s="58"/>
      <c r="BI213" s="58"/>
      <c r="BJ213" s="58"/>
      <c r="BK213" s="58"/>
      <c r="BL213" s="59"/>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row>
    <row r="214" spans="1:99" x14ac:dyDescent="0.35">
      <c r="A214" s="46"/>
      <c r="B214" s="46"/>
      <c r="C214" s="46"/>
      <c r="D214" s="46"/>
      <c r="E214" s="46"/>
      <c r="F214" s="46"/>
      <c r="G214" s="46"/>
      <c r="H214" s="46"/>
      <c r="I214" s="46"/>
      <c r="J214" s="47"/>
      <c r="L214" s="58"/>
      <c r="M214" s="58"/>
      <c r="N214" s="58"/>
      <c r="O214" s="58"/>
      <c r="P214" s="269"/>
      <c r="Q214" s="58"/>
      <c r="R214" s="58"/>
      <c r="S214" s="58"/>
      <c r="T214" s="58"/>
      <c r="U214" s="58"/>
      <c r="V214" s="269"/>
      <c r="W214" s="58"/>
      <c r="X214" s="58"/>
      <c r="Y214" s="58"/>
      <c r="Z214" s="58"/>
      <c r="AA214" s="58"/>
      <c r="AB214" s="269"/>
      <c r="AC214" s="58"/>
      <c r="AD214" s="58"/>
      <c r="AE214" s="58"/>
      <c r="AF214" s="58"/>
      <c r="AG214" s="58"/>
      <c r="AH214" s="269"/>
      <c r="AI214" s="58"/>
      <c r="AJ214" s="58"/>
      <c r="AK214" s="58"/>
      <c r="AL214" s="58"/>
      <c r="AM214" s="58"/>
      <c r="AN214" s="59"/>
      <c r="AO214" s="58"/>
      <c r="AP214" s="58"/>
      <c r="AQ214" s="58"/>
      <c r="AR214" s="58"/>
      <c r="AS214" s="58"/>
      <c r="AT214" s="59"/>
      <c r="AU214" s="58"/>
      <c r="AV214" s="58"/>
      <c r="AW214" s="58"/>
      <c r="AX214" s="58"/>
      <c r="AY214" s="58"/>
      <c r="AZ214" s="59"/>
      <c r="BA214" s="58"/>
      <c r="BB214" s="58"/>
      <c r="BC214" s="58"/>
      <c r="BD214" s="58"/>
      <c r="BE214" s="58"/>
      <c r="BF214" s="59"/>
      <c r="BG214" s="58"/>
      <c r="BH214" s="58"/>
      <c r="BI214" s="58"/>
      <c r="BJ214" s="58"/>
      <c r="BK214" s="58"/>
      <c r="BL214" s="59"/>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row>
    <row r="215" spans="1:99" x14ac:dyDescent="0.35">
      <c r="A215" s="46"/>
      <c r="B215" s="46"/>
      <c r="C215" s="46"/>
      <c r="D215" s="46"/>
      <c r="E215" s="46"/>
      <c r="F215" s="46"/>
      <c r="G215" s="46"/>
      <c r="H215" s="46"/>
      <c r="I215" s="46"/>
      <c r="J215" s="47"/>
      <c r="L215" s="58"/>
      <c r="M215" s="58"/>
      <c r="N215" s="58"/>
      <c r="O215" s="58"/>
      <c r="P215" s="269"/>
      <c r="Q215" s="58"/>
      <c r="R215" s="58"/>
      <c r="S215" s="58"/>
      <c r="T215" s="58"/>
      <c r="U215" s="58"/>
      <c r="V215" s="269"/>
      <c r="W215" s="58"/>
      <c r="X215" s="58"/>
      <c r="Y215" s="58"/>
      <c r="Z215" s="58"/>
      <c r="AA215" s="58"/>
      <c r="AB215" s="269"/>
      <c r="AC215" s="58"/>
      <c r="AD215" s="58"/>
      <c r="AE215" s="58"/>
      <c r="AF215" s="58"/>
      <c r="AG215" s="58"/>
      <c r="AH215" s="269"/>
      <c r="AI215" s="58"/>
      <c r="AJ215" s="58"/>
      <c r="AK215" s="58"/>
      <c r="AL215" s="58"/>
      <c r="AM215" s="58"/>
      <c r="AN215" s="59"/>
      <c r="AO215" s="58"/>
      <c r="AP215" s="58"/>
      <c r="AQ215" s="58"/>
      <c r="AR215" s="58"/>
      <c r="AS215" s="58"/>
      <c r="AT215" s="59"/>
      <c r="AU215" s="58"/>
      <c r="AV215" s="58"/>
      <c r="AW215" s="58"/>
      <c r="AX215" s="58"/>
      <c r="AY215" s="58"/>
      <c r="AZ215" s="59"/>
      <c r="BA215" s="58"/>
      <c r="BB215" s="58"/>
      <c r="BC215" s="58"/>
      <c r="BD215" s="58"/>
      <c r="BE215" s="58"/>
      <c r="BF215" s="59"/>
      <c r="BG215" s="58"/>
      <c r="BH215" s="58"/>
      <c r="BI215" s="58"/>
      <c r="BJ215" s="58"/>
      <c r="BK215" s="58"/>
      <c r="BL215" s="59"/>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row>
    <row r="216" spans="1:99" x14ac:dyDescent="0.35">
      <c r="A216" s="46"/>
      <c r="B216" s="46"/>
      <c r="C216" s="46"/>
      <c r="D216" s="46"/>
      <c r="E216" s="46"/>
      <c r="F216" s="46"/>
      <c r="G216" s="46"/>
      <c r="H216" s="46"/>
      <c r="I216" s="46"/>
      <c r="J216" s="47"/>
      <c r="L216" s="58"/>
      <c r="M216" s="58"/>
      <c r="N216" s="58"/>
      <c r="O216" s="58"/>
      <c r="P216" s="269"/>
      <c r="Q216" s="58"/>
      <c r="R216" s="58"/>
      <c r="S216" s="58"/>
      <c r="T216" s="58"/>
      <c r="U216" s="58"/>
      <c r="V216" s="269"/>
      <c r="W216" s="58"/>
      <c r="X216" s="58"/>
      <c r="Y216" s="58"/>
      <c r="Z216" s="58"/>
      <c r="AA216" s="58"/>
      <c r="AB216" s="269"/>
      <c r="AC216" s="58"/>
      <c r="AD216" s="58"/>
      <c r="AE216" s="58"/>
      <c r="AF216" s="58"/>
      <c r="AG216" s="58"/>
      <c r="AH216" s="269"/>
      <c r="AI216" s="58"/>
      <c r="AJ216" s="58"/>
      <c r="AK216" s="58"/>
      <c r="AL216" s="58"/>
      <c r="AM216" s="58"/>
      <c r="AN216" s="59"/>
      <c r="AO216" s="58"/>
      <c r="AP216" s="58"/>
      <c r="AQ216" s="58"/>
      <c r="AR216" s="58"/>
      <c r="AS216" s="58"/>
      <c r="AT216" s="59"/>
      <c r="AU216" s="58"/>
      <c r="AV216" s="58"/>
      <c r="AW216" s="58"/>
      <c r="AX216" s="58"/>
      <c r="AY216" s="58"/>
      <c r="AZ216" s="59"/>
      <c r="BA216" s="58"/>
      <c r="BB216" s="58"/>
      <c r="BC216" s="58"/>
      <c r="BD216" s="58"/>
      <c r="BE216" s="58"/>
      <c r="BF216" s="59"/>
      <c r="BG216" s="58"/>
      <c r="BH216" s="58"/>
      <c r="BI216" s="58"/>
      <c r="BJ216" s="58"/>
      <c r="BK216" s="58"/>
      <c r="BL216" s="59"/>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row>
    <row r="217" spans="1:99" x14ac:dyDescent="0.35">
      <c r="A217" s="46"/>
      <c r="B217" s="46"/>
      <c r="C217" s="46"/>
      <c r="D217" s="46"/>
      <c r="E217" s="46"/>
      <c r="F217" s="46"/>
      <c r="G217" s="46"/>
      <c r="H217" s="46"/>
      <c r="I217" s="46"/>
      <c r="J217" s="47"/>
      <c r="L217" s="58"/>
      <c r="M217" s="58"/>
      <c r="N217" s="58"/>
      <c r="O217" s="58"/>
      <c r="P217" s="269"/>
      <c r="Q217" s="58"/>
      <c r="R217" s="58"/>
      <c r="S217" s="58"/>
      <c r="T217" s="58"/>
      <c r="U217" s="58"/>
      <c r="V217" s="269"/>
      <c r="W217" s="58"/>
      <c r="X217" s="58"/>
      <c r="Y217" s="58"/>
      <c r="Z217" s="58"/>
      <c r="AA217" s="58"/>
      <c r="AB217" s="269"/>
      <c r="AC217" s="58"/>
      <c r="AD217" s="58"/>
      <c r="AE217" s="58"/>
      <c r="AF217" s="58"/>
      <c r="AG217" s="58"/>
      <c r="AH217" s="269"/>
      <c r="AI217" s="58"/>
      <c r="AJ217" s="58"/>
      <c r="AK217" s="58"/>
      <c r="AL217" s="58"/>
      <c r="AM217" s="58"/>
      <c r="AN217" s="59"/>
      <c r="AO217" s="58"/>
      <c r="AP217" s="58"/>
      <c r="AQ217" s="58"/>
      <c r="AR217" s="58"/>
      <c r="AS217" s="58"/>
      <c r="AT217" s="59"/>
      <c r="AU217" s="58"/>
      <c r="AV217" s="58"/>
      <c r="AW217" s="58"/>
      <c r="AX217" s="58"/>
      <c r="AY217" s="58"/>
      <c r="AZ217" s="59"/>
      <c r="BA217" s="58"/>
      <c r="BB217" s="58"/>
      <c r="BC217" s="58"/>
      <c r="BD217" s="58"/>
      <c r="BE217" s="58"/>
      <c r="BF217" s="59"/>
      <c r="BG217" s="58"/>
      <c r="BH217" s="58"/>
      <c r="BI217" s="58"/>
      <c r="BJ217" s="58"/>
      <c r="BK217" s="58"/>
      <c r="BL217" s="59"/>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row>
    <row r="218" spans="1:99" x14ac:dyDescent="0.35">
      <c r="A218" s="46"/>
      <c r="B218" s="46"/>
      <c r="C218" s="46"/>
      <c r="D218" s="46"/>
      <c r="E218" s="46"/>
      <c r="F218" s="46"/>
      <c r="G218" s="46"/>
      <c r="H218" s="46"/>
      <c r="I218" s="46"/>
      <c r="J218" s="47"/>
      <c r="L218" s="58"/>
      <c r="M218" s="58"/>
      <c r="N218" s="58"/>
      <c r="O218" s="58"/>
      <c r="P218" s="269"/>
      <c r="Q218" s="58"/>
      <c r="R218" s="58"/>
      <c r="S218" s="58"/>
      <c r="T218" s="58"/>
      <c r="U218" s="58"/>
      <c r="V218" s="269"/>
      <c r="W218" s="58"/>
      <c r="X218" s="58"/>
      <c r="Y218" s="58"/>
      <c r="Z218" s="58"/>
      <c r="AA218" s="58"/>
      <c r="AB218" s="269"/>
      <c r="AC218" s="58"/>
      <c r="AD218" s="58"/>
      <c r="AE218" s="58"/>
      <c r="AF218" s="58"/>
      <c r="AG218" s="58"/>
      <c r="AH218" s="269"/>
      <c r="AI218" s="58"/>
      <c r="AJ218" s="58"/>
      <c r="AK218" s="58"/>
      <c r="AL218" s="58"/>
      <c r="AM218" s="58"/>
      <c r="AN218" s="59"/>
      <c r="AO218" s="58"/>
      <c r="AP218" s="58"/>
      <c r="AQ218" s="58"/>
      <c r="AR218" s="58"/>
      <c r="AS218" s="58"/>
      <c r="AT218" s="59"/>
      <c r="AU218" s="58"/>
      <c r="AV218" s="58"/>
      <c r="AW218" s="58"/>
      <c r="AX218" s="58"/>
      <c r="AY218" s="58"/>
      <c r="AZ218" s="59"/>
      <c r="BA218" s="58"/>
      <c r="BB218" s="58"/>
      <c r="BC218" s="58"/>
      <c r="BD218" s="58"/>
      <c r="BE218" s="58"/>
      <c r="BF218" s="59"/>
      <c r="BG218" s="58"/>
      <c r="BH218" s="58"/>
      <c r="BI218" s="58"/>
      <c r="BJ218" s="58"/>
      <c r="BK218" s="58"/>
      <c r="BL218" s="59"/>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row>
    <row r="219" spans="1:99" x14ac:dyDescent="0.35">
      <c r="A219" s="46"/>
      <c r="B219" s="46"/>
      <c r="C219" s="46"/>
      <c r="D219" s="46"/>
      <c r="E219" s="46"/>
      <c r="F219" s="46"/>
      <c r="G219" s="46"/>
      <c r="H219" s="46"/>
      <c r="I219" s="46"/>
      <c r="J219" s="47"/>
      <c r="L219" s="58"/>
      <c r="M219" s="58"/>
      <c r="N219" s="58"/>
      <c r="O219" s="58"/>
      <c r="P219" s="269"/>
      <c r="Q219" s="58"/>
      <c r="R219" s="58"/>
      <c r="S219" s="58"/>
      <c r="T219" s="58"/>
      <c r="U219" s="58"/>
      <c r="V219" s="269"/>
      <c r="W219" s="58"/>
      <c r="X219" s="58"/>
      <c r="Y219" s="58"/>
      <c r="Z219" s="58"/>
      <c r="AA219" s="58"/>
      <c r="AB219" s="269"/>
      <c r="AC219" s="58"/>
      <c r="AD219" s="58"/>
      <c r="AE219" s="58"/>
      <c r="AF219" s="58"/>
      <c r="AG219" s="58"/>
      <c r="AH219" s="269"/>
      <c r="AI219" s="58"/>
      <c r="AJ219" s="58"/>
      <c r="AK219" s="58"/>
      <c r="AL219" s="58"/>
      <c r="AM219" s="58"/>
      <c r="AN219" s="59"/>
      <c r="AO219" s="58"/>
      <c r="AP219" s="58"/>
      <c r="AQ219" s="58"/>
      <c r="AR219" s="58"/>
      <c r="AS219" s="58"/>
      <c r="AT219" s="59"/>
      <c r="AU219" s="58"/>
      <c r="AV219" s="58"/>
      <c r="AW219" s="58"/>
      <c r="AX219" s="58"/>
      <c r="AY219" s="58"/>
      <c r="AZ219" s="59"/>
      <c r="BA219" s="58"/>
      <c r="BB219" s="58"/>
      <c r="BC219" s="58"/>
      <c r="BD219" s="58"/>
      <c r="BE219" s="58"/>
      <c r="BF219" s="59"/>
      <c r="BG219" s="58"/>
      <c r="BH219" s="58"/>
      <c r="BI219" s="58"/>
      <c r="BJ219" s="58"/>
      <c r="BK219" s="58"/>
      <c r="BL219" s="59"/>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row>
    <row r="220" spans="1:99" x14ac:dyDescent="0.35">
      <c r="A220" s="46"/>
      <c r="B220" s="46"/>
      <c r="C220" s="46"/>
      <c r="D220" s="46"/>
      <c r="E220" s="46"/>
      <c r="F220" s="46"/>
      <c r="G220" s="46"/>
      <c r="H220" s="46"/>
      <c r="I220" s="46"/>
      <c r="J220" s="47"/>
      <c r="L220" s="58"/>
      <c r="M220" s="58"/>
      <c r="N220" s="58"/>
      <c r="O220" s="58"/>
      <c r="P220" s="269"/>
      <c r="Q220" s="58"/>
      <c r="R220" s="58"/>
      <c r="S220" s="58"/>
      <c r="T220" s="58"/>
      <c r="U220" s="58"/>
      <c r="V220" s="269"/>
      <c r="W220" s="58"/>
      <c r="X220" s="58"/>
      <c r="Y220" s="58"/>
      <c r="Z220" s="58"/>
      <c r="AA220" s="58"/>
      <c r="AB220" s="269"/>
      <c r="AC220" s="58"/>
      <c r="AD220" s="58"/>
      <c r="AE220" s="58"/>
      <c r="AF220" s="58"/>
      <c r="AG220" s="58"/>
      <c r="AH220" s="269"/>
      <c r="AI220" s="58"/>
      <c r="AJ220" s="58"/>
      <c r="AK220" s="58"/>
      <c r="AL220" s="58"/>
      <c r="AM220" s="58"/>
      <c r="AN220" s="59"/>
      <c r="AO220" s="58"/>
      <c r="AP220" s="58"/>
      <c r="AQ220" s="58"/>
      <c r="AR220" s="58"/>
      <c r="AS220" s="58"/>
      <c r="AT220" s="59"/>
      <c r="AU220" s="58"/>
      <c r="AV220" s="58"/>
      <c r="AW220" s="58"/>
      <c r="AX220" s="58"/>
      <c r="AY220" s="58"/>
      <c r="AZ220" s="59"/>
      <c r="BA220" s="58"/>
      <c r="BB220" s="58"/>
      <c r="BC220" s="58"/>
      <c r="BD220" s="58"/>
      <c r="BE220" s="58"/>
      <c r="BF220" s="59"/>
      <c r="BG220" s="58"/>
      <c r="BH220" s="58"/>
      <c r="BI220" s="58"/>
      <c r="BJ220" s="58"/>
      <c r="BK220" s="58"/>
      <c r="BL220" s="59"/>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row>
    <row r="221" spans="1:99" x14ac:dyDescent="0.35">
      <c r="A221" s="46"/>
      <c r="B221" s="46"/>
      <c r="C221" s="46"/>
      <c r="D221" s="46"/>
      <c r="E221" s="46"/>
      <c r="F221" s="46"/>
      <c r="G221" s="46"/>
      <c r="H221" s="46"/>
      <c r="I221" s="46"/>
      <c r="J221" s="47"/>
      <c r="L221" s="58"/>
      <c r="M221" s="58"/>
      <c r="N221" s="58"/>
      <c r="O221" s="58"/>
      <c r="P221" s="269"/>
      <c r="Q221" s="58"/>
      <c r="R221" s="58"/>
      <c r="S221" s="58"/>
      <c r="T221" s="58"/>
      <c r="U221" s="58"/>
      <c r="V221" s="269"/>
      <c r="W221" s="58"/>
      <c r="X221" s="58"/>
      <c r="Y221" s="58"/>
      <c r="Z221" s="58"/>
      <c r="AA221" s="58"/>
      <c r="AB221" s="269"/>
      <c r="AC221" s="58"/>
      <c r="AD221" s="58"/>
      <c r="AE221" s="58"/>
      <c r="AF221" s="58"/>
      <c r="AG221" s="58"/>
      <c r="AH221" s="269"/>
      <c r="AI221" s="58"/>
      <c r="AJ221" s="58"/>
      <c r="AK221" s="58"/>
      <c r="AL221" s="58"/>
      <c r="AM221" s="58"/>
      <c r="AN221" s="59"/>
      <c r="AO221" s="58"/>
      <c r="AP221" s="58"/>
      <c r="AQ221" s="58"/>
      <c r="AR221" s="58"/>
      <c r="AS221" s="58"/>
      <c r="AT221" s="59"/>
      <c r="AU221" s="58"/>
      <c r="AV221" s="58"/>
      <c r="AW221" s="58"/>
      <c r="AX221" s="58"/>
      <c r="AY221" s="58"/>
      <c r="AZ221" s="59"/>
      <c r="BA221" s="58"/>
      <c r="BB221" s="58"/>
      <c r="BC221" s="58"/>
      <c r="BD221" s="58"/>
      <c r="BE221" s="58"/>
      <c r="BF221" s="59"/>
      <c r="BG221" s="58"/>
      <c r="BH221" s="58"/>
      <c r="BI221" s="58"/>
      <c r="BJ221" s="58"/>
      <c r="BK221" s="58"/>
      <c r="BL221" s="59"/>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row>
    <row r="222" spans="1:99" x14ac:dyDescent="0.35">
      <c r="A222" s="46"/>
      <c r="B222" s="46"/>
      <c r="C222" s="46"/>
      <c r="D222" s="46"/>
      <c r="E222" s="46"/>
      <c r="F222" s="46"/>
      <c r="G222" s="46"/>
      <c r="H222" s="46"/>
      <c r="I222" s="46"/>
      <c r="J222" s="47"/>
      <c r="L222" s="58"/>
      <c r="M222" s="58"/>
      <c r="N222" s="58"/>
      <c r="O222" s="58"/>
      <c r="P222" s="269"/>
      <c r="Q222" s="58"/>
      <c r="R222" s="58"/>
      <c r="S222" s="58"/>
      <c r="T222" s="58"/>
      <c r="U222" s="58"/>
      <c r="V222" s="269"/>
      <c r="W222" s="58"/>
      <c r="X222" s="58"/>
      <c r="Y222" s="58"/>
      <c r="Z222" s="58"/>
      <c r="AA222" s="58"/>
      <c r="AB222" s="269"/>
      <c r="AC222" s="58"/>
      <c r="AD222" s="58"/>
      <c r="AE222" s="58"/>
      <c r="AF222" s="58"/>
      <c r="AG222" s="58"/>
      <c r="AH222" s="269"/>
      <c r="AI222" s="58"/>
      <c r="AJ222" s="58"/>
      <c r="AK222" s="58"/>
      <c r="AL222" s="58"/>
      <c r="AM222" s="58"/>
      <c r="AN222" s="59"/>
      <c r="AO222" s="58"/>
      <c r="AP222" s="58"/>
      <c r="AQ222" s="58"/>
      <c r="AR222" s="58"/>
      <c r="AS222" s="58"/>
      <c r="AT222" s="59"/>
      <c r="AU222" s="58"/>
      <c r="AV222" s="58"/>
      <c r="AW222" s="58"/>
      <c r="AX222" s="58"/>
      <c r="AY222" s="58"/>
      <c r="AZ222" s="59"/>
      <c r="BA222" s="58"/>
      <c r="BB222" s="58"/>
      <c r="BC222" s="58"/>
      <c r="BD222" s="58"/>
      <c r="BE222" s="58"/>
      <c r="BF222" s="59"/>
      <c r="BG222" s="58"/>
      <c r="BH222" s="58"/>
      <c r="BI222" s="58"/>
      <c r="BJ222" s="58"/>
      <c r="BK222" s="58"/>
      <c r="BL222" s="59"/>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row>
    <row r="223" spans="1:99" x14ac:dyDescent="0.35">
      <c r="A223" s="46"/>
      <c r="B223" s="46"/>
      <c r="C223" s="46"/>
      <c r="D223" s="46"/>
      <c r="E223" s="46"/>
      <c r="F223" s="46"/>
      <c r="G223" s="46"/>
      <c r="H223" s="46"/>
      <c r="I223" s="46"/>
      <c r="J223" s="47"/>
      <c r="L223" s="58"/>
      <c r="M223" s="58"/>
      <c r="N223" s="58"/>
      <c r="O223" s="58"/>
      <c r="P223" s="269"/>
      <c r="Q223" s="58"/>
      <c r="R223" s="58"/>
      <c r="S223" s="58"/>
      <c r="T223" s="58"/>
      <c r="U223" s="58"/>
      <c r="V223" s="269"/>
      <c r="W223" s="58"/>
      <c r="X223" s="58"/>
      <c r="Y223" s="58"/>
      <c r="Z223" s="58"/>
      <c r="AA223" s="58"/>
      <c r="AB223" s="269"/>
      <c r="AC223" s="58"/>
      <c r="AD223" s="58"/>
      <c r="AE223" s="58"/>
      <c r="AF223" s="58"/>
      <c r="AG223" s="58"/>
      <c r="AH223" s="269"/>
      <c r="AI223" s="58"/>
      <c r="AJ223" s="58"/>
      <c r="AK223" s="58"/>
      <c r="AL223" s="58"/>
      <c r="AM223" s="58"/>
      <c r="AN223" s="59"/>
      <c r="AO223" s="58"/>
      <c r="AP223" s="58"/>
      <c r="AQ223" s="58"/>
      <c r="AR223" s="58"/>
      <c r="AS223" s="58"/>
      <c r="AT223" s="59"/>
      <c r="AU223" s="58"/>
      <c r="AV223" s="58"/>
      <c r="AW223" s="58"/>
      <c r="AX223" s="58"/>
      <c r="AY223" s="58"/>
      <c r="AZ223" s="59"/>
      <c r="BA223" s="58"/>
      <c r="BB223" s="58"/>
      <c r="BC223" s="58"/>
      <c r="BD223" s="58"/>
      <c r="BE223" s="58"/>
      <c r="BF223" s="59"/>
      <c r="BG223" s="58"/>
      <c r="BH223" s="58"/>
      <c r="BI223" s="58"/>
      <c r="BJ223" s="58"/>
      <c r="BK223" s="58"/>
      <c r="BL223" s="59"/>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row>
    <row r="224" spans="1:99" x14ac:dyDescent="0.35">
      <c r="A224" s="46"/>
      <c r="B224" s="46"/>
      <c r="C224" s="46"/>
      <c r="D224" s="46"/>
      <c r="E224" s="46"/>
      <c r="F224" s="46"/>
      <c r="G224" s="46"/>
      <c r="H224" s="46"/>
      <c r="I224" s="46"/>
      <c r="J224" s="47"/>
      <c r="L224" s="58"/>
      <c r="M224" s="58"/>
      <c r="N224" s="58"/>
      <c r="O224" s="58"/>
      <c r="P224" s="269"/>
      <c r="Q224" s="58"/>
      <c r="R224" s="58"/>
      <c r="S224" s="58"/>
      <c r="T224" s="58"/>
      <c r="U224" s="58"/>
      <c r="V224" s="269"/>
      <c r="W224" s="58"/>
      <c r="X224" s="58"/>
      <c r="Y224" s="58"/>
      <c r="Z224" s="58"/>
      <c r="AA224" s="58"/>
      <c r="AB224" s="269"/>
      <c r="AC224" s="58"/>
      <c r="AD224" s="58"/>
      <c r="AE224" s="58"/>
      <c r="AF224" s="58"/>
      <c r="AG224" s="58"/>
      <c r="AH224" s="269"/>
      <c r="AI224" s="58"/>
      <c r="AJ224" s="58"/>
      <c r="AK224" s="58"/>
      <c r="AL224" s="58"/>
      <c r="AM224" s="58"/>
      <c r="AN224" s="59"/>
      <c r="AO224" s="58"/>
      <c r="AP224" s="58"/>
      <c r="AQ224" s="58"/>
      <c r="AR224" s="58"/>
      <c r="AS224" s="58"/>
      <c r="AT224" s="59"/>
      <c r="AU224" s="58"/>
      <c r="AV224" s="58"/>
      <c r="AW224" s="58"/>
      <c r="AX224" s="58"/>
      <c r="AY224" s="58"/>
      <c r="AZ224" s="59"/>
      <c r="BA224" s="58"/>
      <c r="BB224" s="58"/>
      <c r="BC224" s="58"/>
      <c r="BD224" s="58"/>
      <c r="BE224" s="58"/>
      <c r="BF224" s="59"/>
      <c r="BG224" s="58"/>
      <c r="BH224" s="58"/>
      <c r="BI224" s="58"/>
      <c r="BJ224" s="58"/>
      <c r="BK224" s="58"/>
      <c r="BL224" s="59"/>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row>
    <row r="225" spans="1:99" x14ac:dyDescent="0.35">
      <c r="A225" s="46"/>
      <c r="B225" s="46"/>
      <c r="C225" s="46"/>
      <c r="D225" s="46"/>
      <c r="E225" s="46"/>
      <c r="F225" s="46"/>
      <c r="G225" s="46"/>
      <c r="H225" s="46"/>
      <c r="I225" s="46"/>
      <c r="J225" s="47"/>
      <c r="L225" s="58"/>
      <c r="M225" s="58"/>
      <c r="N225" s="58"/>
      <c r="O225" s="58"/>
      <c r="P225" s="269"/>
      <c r="Q225" s="58"/>
      <c r="R225" s="58"/>
      <c r="S225" s="58"/>
      <c r="T225" s="58"/>
      <c r="U225" s="58"/>
      <c r="V225" s="269"/>
      <c r="W225" s="58"/>
      <c r="X225" s="58"/>
      <c r="Y225" s="58"/>
      <c r="Z225" s="58"/>
      <c r="AA225" s="58"/>
      <c r="AB225" s="269"/>
      <c r="AC225" s="58"/>
      <c r="AD225" s="58"/>
      <c r="AE225" s="58"/>
      <c r="AF225" s="58"/>
      <c r="AG225" s="58"/>
      <c r="AH225" s="269"/>
      <c r="AI225" s="58"/>
      <c r="AJ225" s="58"/>
      <c r="AK225" s="58"/>
      <c r="AL225" s="58"/>
      <c r="AM225" s="58"/>
      <c r="AN225" s="59"/>
      <c r="AO225" s="58"/>
      <c r="AP225" s="58"/>
      <c r="AQ225" s="58"/>
      <c r="AR225" s="58"/>
      <c r="AS225" s="58"/>
      <c r="AT225" s="59"/>
      <c r="AU225" s="58"/>
      <c r="AV225" s="58"/>
      <c r="AW225" s="58"/>
      <c r="AX225" s="58"/>
      <c r="AY225" s="58"/>
      <c r="AZ225" s="59"/>
      <c r="BA225" s="58"/>
      <c r="BB225" s="58"/>
      <c r="BC225" s="58"/>
      <c r="BD225" s="58"/>
      <c r="BE225" s="58"/>
      <c r="BF225" s="59"/>
      <c r="BG225" s="58"/>
      <c r="BH225" s="58"/>
      <c r="BI225" s="58"/>
      <c r="BJ225" s="58"/>
      <c r="BK225" s="58"/>
      <c r="BL225" s="59"/>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row>
    <row r="226" spans="1:99" x14ac:dyDescent="0.35">
      <c r="A226" s="46"/>
      <c r="B226" s="46"/>
      <c r="C226" s="46"/>
      <c r="D226" s="46"/>
      <c r="E226" s="46"/>
      <c r="F226" s="46"/>
      <c r="G226" s="46"/>
      <c r="H226" s="46"/>
      <c r="I226" s="46"/>
      <c r="J226" s="47"/>
      <c r="L226" s="58"/>
      <c r="M226" s="58"/>
      <c r="N226" s="58"/>
      <c r="O226" s="58"/>
      <c r="P226" s="269"/>
      <c r="Q226" s="58"/>
      <c r="R226" s="58"/>
      <c r="S226" s="58"/>
      <c r="T226" s="58"/>
      <c r="U226" s="58"/>
      <c r="V226" s="269"/>
      <c r="W226" s="58"/>
      <c r="X226" s="58"/>
      <c r="Y226" s="58"/>
      <c r="Z226" s="58"/>
      <c r="AA226" s="58"/>
      <c r="AB226" s="269"/>
      <c r="AC226" s="58"/>
      <c r="AD226" s="58"/>
      <c r="AE226" s="58"/>
      <c r="AF226" s="58"/>
      <c r="AG226" s="58"/>
      <c r="AH226" s="269"/>
      <c r="AI226" s="58"/>
      <c r="AJ226" s="58"/>
      <c r="AK226" s="58"/>
      <c r="AL226" s="58"/>
      <c r="AM226" s="58"/>
      <c r="AN226" s="59"/>
      <c r="AO226" s="58"/>
      <c r="AP226" s="58"/>
      <c r="AQ226" s="58"/>
      <c r="AR226" s="58"/>
      <c r="AS226" s="58"/>
      <c r="AT226" s="59"/>
      <c r="AU226" s="58"/>
      <c r="AV226" s="58"/>
      <c r="AW226" s="58"/>
      <c r="AX226" s="58"/>
      <c r="AY226" s="58"/>
      <c r="AZ226" s="59"/>
      <c r="BA226" s="58"/>
      <c r="BB226" s="58"/>
      <c r="BC226" s="58"/>
      <c r="BD226" s="58"/>
      <c r="BE226" s="58"/>
      <c r="BF226" s="59"/>
      <c r="BG226" s="58"/>
      <c r="BH226" s="58"/>
      <c r="BI226" s="58"/>
      <c r="BJ226" s="58"/>
      <c r="BK226" s="58"/>
      <c r="BL226" s="59"/>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row>
    <row r="227" spans="1:99" x14ac:dyDescent="0.35">
      <c r="A227" s="46"/>
      <c r="B227" s="46"/>
      <c r="C227" s="46"/>
      <c r="D227" s="46"/>
      <c r="E227" s="46"/>
      <c r="F227" s="46"/>
      <c r="G227" s="46"/>
      <c r="H227" s="46"/>
      <c r="I227" s="46"/>
      <c r="J227" s="47"/>
      <c r="L227" s="58"/>
      <c r="M227" s="58"/>
      <c r="N227" s="58"/>
      <c r="O227" s="58"/>
      <c r="P227" s="269"/>
      <c r="Q227" s="58"/>
      <c r="R227" s="58"/>
      <c r="S227" s="58"/>
      <c r="T227" s="58"/>
      <c r="U227" s="58"/>
      <c r="V227" s="269"/>
      <c r="W227" s="58"/>
      <c r="X227" s="58"/>
      <c r="Y227" s="58"/>
      <c r="Z227" s="58"/>
      <c r="AA227" s="58"/>
      <c r="AB227" s="269"/>
      <c r="AC227" s="58"/>
      <c r="AD227" s="58"/>
      <c r="AE227" s="58"/>
      <c r="AF227" s="58"/>
      <c r="AG227" s="58"/>
      <c r="AH227" s="269"/>
      <c r="AI227" s="58"/>
      <c r="AJ227" s="58"/>
      <c r="AK227" s="58"/>
      <c r="AL227" s="58"/>
      <c r="AM227" s="58"/>
      <c r="AN227" s="59"/>
      <c r="AO227" s="58"/>
      <c r="AP227" s="58"/>
      <c r="AQ227" s="58"/>
      <c r="AR227" s="58"/>
      <c r="AS227" s="58"/>
      <c r="AT227" s="59"/>
      <c r="AU227" s="58"/>
      <c r="AV227" s="58"/>
      <c r="AW227" s="58"/>
      <c r="AX227" s="58"/>
      <c r="AY227" s="58"/>
      <c r="AZ227" s="59"/>
      <c r="BA227" s="58"/>
      <c r="BB227" s="58"/>
      <c r="BC227" s="58"/>
      <c r="BD227" s="58"/>
      <c r="BE227" s="58"/>
      <c r="BF227" s="59"/>
      <c r="BG227" s="58"/>
      <c r="BH227" s="58"/>
      <c r="BI227" s="58"/>
      <c r="BJ227" s="58"/>
      <c r="BK227" s="58"/>
      <c r="BL227" s="59"/>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row>
    <row r="228" spans="1:99" x14ac:dyDescent="0.35">
      <c r="A228" s="46"/>
      <c r="B228" s="46"/>
      <c r="C228" s="46"/>
      <c r="D228" s="46"/>
      <c r="E228" s="46"/>
      <c r="F228" s="46"/>
      <c r="G228" s="46"/>
      <c r="H228" s="46"/>
      <c r="I228" s="46"/>
      <c r="J228" s="47"/>
      <c r="L228" s="58"/>
      <c r="M228" s="58"/>
      <c r="N228" s="58"/>
      <c r="O228" s="58"/>
      <c r="P228" s="269"/>
      <c r="Q228" s="58"/>
      <c r="R228" s="58"/>
      <c r="S228" s="58"/>
      <c r="T228" s="58"/>
      <c r="U228" s="58"/>
      <c r="V228" s="269"/>
      <c r="W228" s="58"/>
      <c r="X228" s="58"/>
      <c r="Y228" s="58"/>
      <c r="Z228" s="58"/>
      <c r="AA228" s="58"/>
      <c r="AB228" s="269"/>
      <c r="AC228" s="58"/>
      <c r="AD228" s="58"/>
      <c r="AE228" s="58"/>
      <c r="AF228" s="58"/>
      <c r="AG228" s="58"/>
      <c r="AH228" s="269"/>
      <c r="AI228" s="58"/>
      <c r="AJ228" s="58"/>
      <c r="AK228" s="58"/>
      <c r="AL228" s="58"/>
      <c r="AM228" s="58"/>
      <c r="AN228" s="59"/>
      <c r="AO228" s="58"/>
      <c r="AP228" s="58"/>
      <c r="AQ228" s="58"/>
      <c r="AR228" s="58"/>
      <c r="AS228" s="58"/>
      <c r="AT228" s="59"/>
      <c r="AU228" s="58"/>
      <c r="AV228" s="58"/>
      <c r="AW228" s="58"/>
      <c r="AX228" s="58"/>
      <c r="AY228" s="58"/>
      <c r="AZ228" s="59"/>
      <c r="BA228" s="58"/>
      <c r="BB228" s="58"/>
      <c r="BC228" s="58"/>
      <c r="BD228" s="58"/>
      <c r="BE228" s="58"/>
      <c r="BF228" s="59"/>
      <c r="BG228" s="58"/>
      <c r="BH228" s="58"/>
      <c r="BI228" s="58"/>
      <c r="BJ228" s="58"/>
      <c r="BK228" s="58"/>
      <c r="BL228" s="59"/>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row>
    <row r="229" spans="1:99" x14ac:dyDescent="0.35">
      <c r="A229" s="46"/>
      <c r="B229" s="46"/>
      <c r="C229" s="46"/>
      <c r="D229" s="46"/>
      <c r="E229" s="46"/>
      <c r="F229" s="46"/>
      <c r="G229" s="46"/>
      <c r="H229" s="46"/>
      <c r="I229" s="46"/>
      <c r="J229" s="47"/>
      <c r="L229" s="58"/>
      <c r="M229" s="58"/>
      <c r="N229" s="58"/>
      <c r="O229" s="58"/>
      <c r="P229" s="269"/>
      <c r="Q229" s="58"/>
      <c r="R229" s="58"/>
      <c r="S229" s="58"/>
      <c r="T229" s="58"/>
      <c r="U229" s="58"/>
      <c r="V229" s="269"/>
      <c r="W229" s="58"/>
      <c r="X229" s="58"/>
      <c r="Y229" s="58"/>
      <c r="Z229" s="58"/>
      <c r="AA229" s="58"/>
      <c r="AB229" s="269"/>
      <c r="AC229" s="58"/>
      <c r="AD229" s="58"/>
      <c r="AE229" s="58"/>
      <c r="AF229" s="58"/>
      <c r="AG229" s="58"/>
      <c r="AH229" s="269"/>
      <c r="AI229" s="58"/>
      <c r="AJ229" s="58"/>
      <c r="AK229" s="58"/>
      <c r="AL229" s="58"/>
      <c r="AM229" s="58"/>
      <c r="AN229" s="59"/>
      <c r="AO229" s="58"/>
      <c r="AP229" s="58"/>
      <c r="AQ229" s="58"/>
      <c r="AR229" s="58"/>
      <c r="AS229" s="58"/>
      <c r="AT229" s="59"/>
      <c r="AU229" s="58"/>
      <c r="AV229" s="58"/>
      <c r="AW229" s="58"/>
      <c r="AX229" s="58"/>
      <c r="AY229" s="58"/>
      <c r="AZ229" s="59"/>
      <c r="BA229" s="58"/>
      <c r="BB229" s="58"/>
      <c r="BC229" s="58"/>
      <c r="BD229" s="58"/>
      <c r="BE229" s="58"/>
      <c r="BF229" s="59"/>
      <c r="BG229" s="58"/>
      <c r="BH229" s="58"/>
      <c r="BI229" s="58"/>
      <c r="BJ229" s="58"/>
      <c r="BK229" s="58"/>
      <c r="BL229" s="59"/>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row>
    <row r="230" spans="1:99" x14ac:dyDescent="0.35">
      <c r="A230" s="46"/>
      <c r="B230" s="46"/>
      <c r="C230" s="46"/>
      <c r="D230" s="46"/>
      <c r="E230" s="46"/>
      <c r="F230" s="46"/>
      <c r="G230" s="46"/>
      <c r="H230" s="46"/>
      <c r="I230" s="46"/>
      <c r="J230" s="47"/>
      <c r="L230" s="58"/>
      <c r="M230" s="58"/>
      <c r="N230" s="58"/>
      <c r="O230" s="58"/>
      <c r="P230" s="269"/>
      <c r="Q230" s="58"/>
      <c r="R230" s="58"/>
      <c r="S230" s="58"/>
      <c r="T230" s="58"/>
      <c r="U230" s="58"/>
      <c r="V230" s="269"/>
      <c r="W230" s="58"/>
      <c r="X230" s="58"/>
      <c r="Y230" s="58"/>
      <c r="Z230" s="58"/>
      <c r="AA230" s="58"/>
      <c r="AB230" s="269"/>
      <c r="AC230" s="58"/>
      <c r="AD230" s="58"/>
      <c r="AE230" s="58"/>
      <c r="AF230" s="58"/>
      <c r="AG230" s="58"/>
      <c r="AH230" s="269"/>
      <c r="AI230" s="58"/>
      <c r="AJ230" s="58"/>
      <c r="AK230" s="58"/>
      <c r="AL230" s="58"/>
      <c r="AM230" s="58"/>
      <c r="AN230" s="59"/>
      <c r="AO230" s="58"/>
      <c r="AP230" s="58"/>
      <c r="AQ230" s="58"/>
      <c r="AR230" s="58"/>
      <c r="AS230" s="58"/>
      <c r="AT230" s="59"/>
      <c r="AU230" s="58"/>
      <c r="AV230" s="58"/>
      <c r="AW230" s="58"/>
      <c r="AX230" s="58"/>
      <c r="AY230" s="58"/>
      <c r="AZ230" s="59"/>
      <c r="BA230" s="58"/>
      <c r="BB230" s="58"/>
      <c r="BC230" s="58"/>
      <c r="BD230" s="58"/>
      <c r="BE230" s="58"/>
      <c r="BF230" s="59"/>
      <c r="BG230" s="58"/>
      <c r="BH230" s="58"/>
      <c r="BI230" s="58"/>
      <c r="BJ230" s="58"/>
      <c r="BK230" s="58"/>
      <c r="BL230" s="59"/>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row>
    <row r="231" spans="1:99" x14ac:dyDescent="0.35">
      <c r="A231" s="46"/>
      <c r="B231" s="46"/>
      <c r="C231" s="46"/>
      <c r="D231" s="46"/>
      <c r="E231" s="46"/>
      <c r="F231" s="46"/>
      <c r="G231" s="46"/>
      <c r="H231" s="46"/>
      <c r="I231" s="46"/>
      <c r="J231" s="47"/>
      <c r="L231" s="58"/>
      <c r="M231" s="58"/>
      <c r="N231" s="58"/>
      <c r="O231" s="58"/>
      <c r="P231" s="269"/>
      <c r="Q231" s="58"/>
      <c r="R231" s="58"/>
      <c r="S231" s="58"/>
      <c r="T231" s="58"/>
      <c r="U231" s="58"/>
      <c r="V231" s="269"/>
      <c r="W231" s="58"/>
      <c r="X231" s="58"/>
      <c r="Y231" s="58"/>
      <c r="Z231" s="58"/>
      <c r="AA231" s="58"/>
      <c r="AB231" s="269"/>
      <c r="AC231" s="58"/>
      <c r="AD231" s="58"/>
      <c r="AE231" s="58"/>
      <c r="AF231" s="58"/>
      <c r="AG231" s="58"/>
      <c r="AH231" s="269"/>
      <c r="AI231" s="58"/>
      <c r="AJ231" s="58"/>
      <c r="AK231" s="58"/>
      <c r="AL231" s="58"/>
      <c r="AM231" s="58"/>
      <c r="AN231" s="59"/>
      <c r="AO231" s="58"/>
      <c r="AP231" s="58"/>
      <c r="AQ231" s="58"/>
      <c r="AR231" s="58"/>
      <c r="AS231" s="58"/>
      <c r="AT231" s="59"/>
      <c r="AU231" s="58"/>
      <c r="AV231" s="58"/>
      <c r="AW231" s="58"/>
      <c r="AX231" s="58"/>
      <c r="AY231" s="58"/>
      <c r="AZ231" s="59"/>
      <c r="BA231" s="58"/>
      <c r="BB231" s="58"/>
      <c r="BC231" s="58"/>
      <c r="BD231" s="58"/>
      <c r="BE231" s="58"/>
      <c r="BF231" s="59"/>
      <c r="BG231" s="58"/>
      <c r="BH231" s="58"/>
      <c r="BI231" s="58"/>
      <c r="BJ231" s="58"/>
      <c r="BK231" s="58"/>
      <c r="BL231" s="59"/>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row>
    <row r="232" spans="1:99" x14ac:dyDescent="0.35">
      <c r="A232" s="46"/>
      <c r="B232" s="46"/>
      <c r="C232" s="46"/>
      <c r="D232" s="46"/>
      <c r="E232" s="46"/>
      <c r="F232" s="46"/>
      <c r="G232" s="46"/>
      <c r="H232" s="46"/>
      <c r="I232" s="46"/>
      <c r="J232" s="47"/>
      <c r="L232" s="58"/>
      <c r="M232" s="58"/>
      <c r="N232" s="58"/>
      <c r="O232" s="58"/>
      <c r="P232" s="269"/>
      <c r="Q232" s="58"/>
      <c r="R232" s="58"/>
      <c r="S232" s="58"/>
      <c r="T232" s="58"/>
      <c r="U232" s="58"/>
      <c r="V232" s="269"/>
      <c r="W232" s="58"/>
      <c r="X232" s="58"/>
      <c r="Y232" s="58"/>
      <c r="Z232" s="58"/>
      <c r="AA232" s="58"/>
      <c r="AB232" s="269"/>
      <c r="AC232" s="58"/>
      <c r="AD232" s="58"/>
      <c r="AE232" s="58"/>
      <c r="AF232" s="58"/>
      <c r="AG232" s="58"/>
      <c r="AH232" s="269"/>
      <c r="AI232" s="58"/>
      <c r="AJ232" s="58"/>
      <c r="AK232" s="58"/>
      <c r="AL232" s="58"/>
      <c r="AM232" s="58"/>
      <c r="AN232" s="59"/>
      <c r="AO232" s="58"/>
      <c r="AP232" s="58"/>
      <c r="AQ232" s="58"/>
      <c r="AR232" s="58"/>
      <c r="AS232" s="58"/>
      <c r="AT232" s="59"/>
      <c r="AU232" s="58"/>
      <c r="AV232" s="58"/>
      <c r="AW232" s="58"/>
      <c r="AX232" s="58"/>
      <c r="AY232" s="58"/>
      <c r="AZ232" s="59"/>
      <c r="BA232" s="58"/>
      <c r="BB232" s="58"/>
      <c r="BC232" s="58"/>
      <c r="BD232" s="58"/>
      <c r="BE232" s="58"/>
      <c r="BF232" s="59"/>
      <c r="BG232" s="58"/>
      <c r="BH232" s="58"/>
      <c r="BI232" s="58"/>
      <c r="BJ232" s="58"/>
      <c r="BK232" s="58"/>
      <c r="BL232" s="59"/>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row>
    <row r="233" spans="1:99" x14ac:dyDescent="0.35">
      <c r="A233" s="46"/>
      <c r="B233" s="46"/>
      <c r="C233" s="46"/>
      <c r="D233" s="46"/>
      <c r="E233" s="46"/>
      <c r="F233" s="46"/>
      <c r="G233" s="46"/>
      <c r="H233" s="46"/>
      <c r="I233" s="46"/>
      <c r="J233" s="47"/>
      <c r="L233" s="58"/>
      <c r="M233" s="58"/>
      <c r="N233" s="58"/>
      <c r="O233" s="58"/>
      <c r="P233" s="269"/>
      <c r="Q233" s="58"/>
      <c r="R233" s="58"/>
      <c r="S233" s="58"/>
      <c r="T233" s="58"/>
      <c r="U233" s="58"/>
      <c r="V233" s="269"/>
      <c r="W233" s="58"/>
      <c r="X233" s="58"/>
      <c r="Y233" s="58"/>
      <c r="Z233" s="58"/>
      <c r="AA233" s="58"/>
      <c r="AB233" s="269"/>
      <c r="AC233" s="58"/>
      <c r="AD233" s="58"/>
      <c r="AE233" s="58"/>
      <c r="AF233" s="58"/>
      <c r="AG233" s="58"/>
      <c r="AH233" s="269"/>
      <c r="AI233" s="58"/>
      <c r="AJ233" s="58"/>
      <c r="AK233" s="58"/>
      <c r="AL233" s="58"/>
      <c r="AM233" s="58"/>
      <c r="AN233" s="59"/>
      <c r="AO233" s="58"/>
      <c r="AP233" s="58"/>
      <c r="AQ233" s="58"/>
      <c r="AR233" s="58"/>
      <c r="AS233" s="58"/>
      <c r="AT233" s="59"/>
      <c r="AU233" s="58"/>
      <c r="AV233" s="58"/>
      <c r="AW233" s="58"/>
      <c r="AX233" s="58"/>
      <c r="AY233" s="58"/>
      <c r="AZ233" s="59"/>
      <c r="BA233" s="58"/>
      <c r="BB233" s="58"/>
      <c r="BC233" s="58"/>
      <c r="BD233" s="58"/>
      <c r="BE233" s="58"/>
      <c r="BF233" s="59"/>
      <c r="BG233" s="58"/>
      <c r="BH233" s="58"/>
      <c r="BI233" s="58"/>
      <c r="BJ233" s="58"/>
      <c r="BK233" s="58"/>
      <c r="BL233" s="59"/>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row>
    <row r="234" spans="1:99" x14ac:dyDescent="0.35">
      <c r="A234" s="46"/>
      <c r="B234" s="46"/>
      <c r="C234" s="46"/>
      <c r="D234" s="46"/>
      <c r="E234" s="46"/>
      <c r="F234" s="46"/>
      <c r="G234" s="46"/>
      <c r="H234" s="46"/>
      <c r="I234" s="46"/>
      <c r="J234" s="47"/>
      <c r="L234" s="58"/>
      <c r="M234" s="58"/>
      <c r="N234" s="58"/>
      <c r="O234" s="58"/>
      <c r="P234" s="269"/>
      <c r="Q234" s="58"/>
      <c r="R234" s="58"/>
      <c r="S234" s="58"/>
      <c r="T234" s="58"/>
      <c r="U234" s="58"/>
      <c r="V234" s="269"/>
      <c r="W234" s="58"/>
      <c r="X234" s="58"/>
      <c r="Y234" s="58"/>
      <c r="Z234" s="58"/>
      <c r="AA234" s="58"/>
      <c r="AB234" s="269"/>
      <c r="AC234" s="58"/>
      <c r="AD234" s="58"/>
      <c r="AE234" s="58"/>
      <c r="AF234" s="58"/>
      <c r="AG234" s="58"/>
      <c r="AH234" s="269"/>
      <c r="AI234" s="58"/>
      <c r="AJ234" s="58"/>
      <c r="AK234" s="58"/>
      <c r="AL234" s="58"/>
      <c r="AM234" s="58"/>
      <c r="AN234" s="59"/>
      <c r="AO234" s="58"/>
      <c r="AP234" s="58"/>
      <c r="AQ234" s="58"/>
      <c r="AR234" s="58"/>
      <c r="AS234" s="58"/>
      <c r="AT234" s="59"/>
      <c r="AU234" s="58"/>
      <c r="AV234" s="58"/>
      <c r="AW234" s="58"/>
      <c r="AX234" s="58"/>
      <c r="AY234" s="58"/>
      <c r="AZ234" s="59"/>
      <c r="BA234" s="58"/>
      <c r="BB234" s="58"/>
      <c r="BC234" s="58"/>
      <c r="BD234" s="58"/>
      <c r="BE234" s="58"/>
      <c r="BF234" s="59"/>
      <c r="BG234" s="58"/>
      <c r="BH234" s="58"/>
      <c r="BI234" s="58"/>
      <c r="BJ234" s="58"/>
      <c r="BK234" s="58"/>
      <c r="BL234" s="59"/>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row>
    <row r="235" spans="1:99" x14ac:dyDescent="0.35">
      <c r="A235" s="46"/>
      <c r="B235" s="46"/>
      <c r="C235" s="46"/>
      <c r="D235" s="46"/>
      <c r="E235" s="46"/>
      <c r="F235" s="46"/>
      <c r="G235" s="46"/>
      <c r="H235" s="46"/>
      <c r="I235" s="46"/>
      <c r="J235" s="47"/>
      <c r="L235" s="58"/>
      <c r="M235" s="58"/>
      <c r="N235" s="58"/>
      <c r="O235" s="58"/>
      <c r="P235" s="269"/>
      <c r="Q235" s="58"/>
      <c r="R235" s="58"/>
      <c r="S235" s="58"/>
      <c r="T235" s="58"/>
      <c r="U235" s="58"/>
      <c r="V235" s="269"/>
      <c r="W235" s="58"/>
      <c r="X235" s="58"/>
      <c r="Y235" s="58"/>
      <c r="Z235" s="58"/>
      <c r="AA235" s="58"/>
      <c r="AB235" s="269"/>
      <c r="AC235" s="58"/>
      <c r="AD235" s="58"/>
      <c r="AE235" s="58"/>
      <c r="AF235" s="58"/>
      <c r="AG235" s="58"/>
      <c r="AH235" s="269"/>
      <c r="AI235" s="58"/>
      <c r="AJ235" s="58"/>
      <c r="AK235" s="58"/>
      <c r="AL235" s="58"/>
      <c r="AM235" s="58"/>
      <c r="AN235" s="59"/>
      <c r="AO235" s="58"/>
      <c r="AP235" s="58"/>
      <c r="AQ235" s="58"/>
      <c r="AR235" s="58"/>
      <c r="AS235" s="58"/>
      <c r="AT235" s="59"/>
      <c r="AU235" s="58"/>
      <c r="AV235" s="58"/>
      <c r="AW235" s="58"/>
      <c r="AX235" s="58"/>
      <c r="AY235" s="58"/>
      <c r="AZ235" s="59"/>
      <c r="BA235" s="58"/>
      <c r="BB235" s="58"/>
      <c r="BC235" s="58"/>
      <c r="BD235" s="58"/>
      <c r="BE235" s="58"/>
      <c r="BF235" s="59"/>
      <c r="BG235" s="58"/>
      <c r="BH235" s="58"/>
      <c r="BI235" s="58"/>
      <c r="BJ235" s="58"/>
      <c r="BK235" s="58"/>
      <c r="BL235" s="59"/>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row>
    <row r="236" spans="1:99" x14ac:dyDescent="0.35">
      <c r="A236" s="46"/>
      <c r="B236" s="46"/>
      <c r="C236" s="46"/>
      <c r="D236" s="46"/>
      <c r="E236" s="46"/>
      <c r="F236" s="46"/>
      <c r="G236" s="46"/>
      <c r="H236" s="46"/>
      <c r="I236" s="46"/>
      <c r="J236" s="47"/>
      <c r="L236" s="58"/>
      <c r="M236" s="58"/>
      <c r="N236" s="58"/>
      <c r="O236" s="58"/>
      <c r="P236" s="269"/>
      <c r="Q236" s="58"/>
      <c r="R236" s="58"/>
      <c r="S236" s="58"/>
      <c r="T236" s="58"/>
      <c r="U236" s="58"/>
      <c r="V236" s="269"/>
      <c r="W236" s="58"/>
      <c r="X236" s="58"/>
      <c r="Y236" s="58"/>
      <c r="Z236" s="58"/>
      <c r="AA236" s="58"/>
      <c r="AB236" s="269"/>
      <c r="AC236" s="58"/>
      <c r="AD236" s="58"/>
      <c r="AE236" s="58"/>
      <c r="AF236" s="58"/>
      <c r="AG236" s="58"/>
      <c r="AH236" s="269"/>
      <c r="AI236" s="58"/>
      <c r="AJ236" s="58"/>
      <c r="AK236" s="58"/>
      <c r="AL236" s="58"/>
      <c r="AM236" s="58"/>
      <c r="AN236" s="59"/>
      <c r="AO236" s="58"/>
      <c r="AP236" s="58"/>
      <c r="AQ236" s="58"/>
      <c r="AR236" s="58"/>
      <c r="AS236" s="58"/>
      <c r="AT236" s="59"/>
      <c r="AU236" s="58"/>
      <c r="AV236" s="58"/>
      <c r="AW236" s="58"/>
      <c r="AX236" s="58"/>
      <c r="AY236" s="58"/>
      <c r="AZ236" s="59"/>
      <c r="BA236" s="58"/>
      <c r="BB236" s="58"/>
      <c r="BC236" s="58"/>
      <c r="BD236" s="58"/>
      <c r="BE236" s="58"/>
      <c r="BF236" s="59"/>
      <c r="BG236" s="58"/>
      <c r="BH236" s="58"/>
      <c r="BI236" s="58"/>
      <c r="BJ236" s="58"/>
      <c r="BK236" s="58"/>
      <c r="BL236" s="59"/>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row>
    <row r="237" spans="1:99" x14ac:dyDescent="0.35">
      <c r="A237" s="46"/>
      <c r="B237" s="46"/>
      <c r="C237" s="46"/>
      <c r="D237" s="46"/>
      <c r="E237" s="46"/>
      <c r="F237" s="46"/>
      <c r="G237" s="46"/>
      <c r="H237" s="46"/>
      <c r="I237" s="46"/>
      <c r="J237" s="47"/>
      <c r="L237" s="58"/>
      <c r="M237" s="58"/>
      <c r="N237" s="58"/>
      <c r="O237" s="58"/>
      <c r="P237" s="269"/>
      <c r="Q237" s="58"/>
      <c r="R237" s="58"/>
      <c r="S237" s="58"/>
      <c r="T237" s="58"/>
      <c r="U237" s="58"/>
      <c r="V237" s="269"/>
      <c r="W237" s="58"/>
      <c r="X237" s="58"/>
      <c r="Y237" s="58"/>
      <c r="Z237" s="58"/>
      <c r="AA237" s="58"/>
      <c r="AB237" s="269"/>
      <c r="AC237" s="58"/>
      <c r="AD237" s="58"/>
      <c r="AE237" s="58"/>
      <c r="AF237" s="58"/>
      <c r="AG237" s="58"/>
      <c r="AH237" s="269"/>
      <c r="AI237" s="58"/>
      <c r="AJ237" s="58"/>
      <c r="AK237" s="58"/>
      <c r="AL237" s="58"/>
      <c r="AM237" s="58"/>
      <c r="AN237" s="59"/>
      <c r="AO237" s="58"/>
      <c r="AP237" s="58"/>
      <c r="AQ237" s="58"/>
      <c r="AR237" s="58"/>
      <c r="AS237" s="58"/>
      <c r="AT237" s="59"/>
      <c r="AU237" s="58"/>
      <c r="AV237" s="58"/>
      <c r="AW237" s="58"/>
      <c r="AX237" s="58"/>
      <c r="AY237" s="58"/>
      <c r="AZ237" s="59"/>
      <c r="BA237" s="58"/>
      <c r="BB237" s="58"/>
      <c r="BC237" s="58"/>
      <c r="BD237" s="58"/>
      <c r="BE237" s="58"/>
      <c r="BF237" s="59"/>
      <c r="BG237" s="58"/>
      <c r="BH237" s="58"/>
      <c r="BI237" s="58"/>
      <c r="BJ237" s="58"/>
      <c r="BK237" s="58"/>
      <c r="BL237" s="59"/>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row>
    <row r="238" spans="1:99" x14ac:dyDescent="0.35">
      <c r="A238" s="46"/>
      <c r="B238" s="46"/>
      <c r="C238" s="46"/>
      <c r="D238" s="46"/>
      <c r="E238" s="46"/>
      <c r="F238" s="46"/>
      <c r="G238" s="46"/>
      <c r="H238" s="46"/>
      <c r="I238" s="46"/>
      <c r="J238" s="47"/>
      <c r="L238" s="58"/>
      <c r="M238" s="58"/>
      <c r="N238" s="58"/>
      <c r="O238" s="58"/>
      <c r="P238" s="269"/>
      <c r="Q238" s="58"/>
      <c r="R238" s="58"/>
      <c r="S238" s="58"/>
      <c r="T238" s="58"/>
      <c r="U238" s="58"/>
      <c r="V238" s="269"/>
      <c r="W238" s="58"/>
      <c r="X238" s="58"/>
      <c r="Y238" s="58"/>
      <c r="Z238" s="58"/>
      <c r="AA238" s="58"/>
      <c r="AB238" s="269"/>
      <c r="AC238" s="58"/>
      <c r="AD238" s="58"/>
      <c r="AE238" s="58"/>
      <c r="AF238" s="58"/>
      <c r="AG238" s="58"/>
      <c r="AH238" s="269"/>
      <c r="AI238" s="58"/>
      <c r="AJ238" s="58"/>
      <c r="AK238" s="58"/>
      <c r="AL238" s="58"/>
      <c r="AM238" s="58"/>
      <c r="AN238" s="59"/>
      <c r="AO238" s="58"/>
      <c r="AP238" s="58"/>
      <c r="AQ238" s="58"/>
      <c r="AR238" s="58"/>
      <c r="AS238" s="58"/>
      <c r="AT238" s="59"/>
      <c r="AU238" s="58"/>
      <c r="AV238" s="58"/>
      <c r="AW238" s="58"/>
      <c r="AX238" s="58"/>
      <c r="AY238" s="58"/>
      <c r="AZ238" s="59"/>
      <c r="BA238" s="58"/>
      <c r="BB238" s="58"/>
      <c r="BC238" s="58"/>
      <c r="BD238" s="58"/>
      <c r="BE238" s="58"/>
      <c r="BF238" s="59"/>
      <c r="BG238" s="58"/>
      <c r="BH238" s="58"/>
      <c r="BI238" s="58"/>
      <c r="BJ238" s="58"/>
      <c r="BK238" s="58"/>
      <c r="BL238" s="59"/>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row>
    <row r="239" spans="1:99" x14ac:dyDescent="0.35">
      <c r="A239" s="46"/>
      <c r="B239" s="46"/>
      <c r="C239" s="46"/>
      <c r="D239" s="46"/>
      <c r="E239" s="46"/>
      <c r="F239" s="46"/>
      <c r="G239" s="46"/>
      <c r="H239" s="46"/>
      <c r="I239" s="46"/>
      <c r="J239" s="47"/>
      <c r="L239" s="58"/>
      <c r="M239" s="58"/>
      <c r="N239" s="58"/>
      <c r="O239" s="58"/>
      <c r="P239" s="269"/>
      <c r="Q239" s="58"/>
      <c r="R239" s="58"/>
      <c r="S239" s="58"/>
      <c r="T239" s="58"/>
      <c r="U239" s="58"/>
      <c r="V239" s="269"/>
      <c r="W239" s="58"/>
      <c r="X239" s="58"/>
      <c r="Y239" s="58"/>
      <c r="Z239" s="58"/>
      <c r="AA239" s="58"/>
      <c r="AB239" s="269"/>
      <c r="AC239" s="58"/>
      <c r="AD239" s="58"/>
      <c r="AE239" s="58"/>
      <c r="AF239" s="58"/>
      <c r="AG239" s="58"/>
      <c r="AH239" s="269"/>
      <c r="AI239" s="58"/>
      <c r="AJ239" s="58"/>
      <c r="AK239" s="58"/>
      <c r="AL239" s="58"/>
      <c r="AM239" s="58"/>
      <c r="AN239" s="59"/>
      <c r="AO239" s="58"/>
      <c r="AP239" s="58"/>
      <c r="AQ239" s="58"/>
      <c r="AR239" s="58"/>
      <c r="AS239" s="58"/>
      <c r="AT239" s="59"/>
      <c r="AU239" s="58"/>
      <c r="AV239" s="58"/>
      <c r="AW239" s="58"/>
      <c r="AX239" s="58"/>
      <c r="AY239" s="58"/>
      <c r="AZ239" s="59"/>
      <c r="BA239" s="58"/>
      <c r="BB239" s="58"/>
      <c r="BC239" s="58"/>
      <c r="BD239" s="58"/>
      <c r="BE239" s="58"/>
      <c r="BF239" s="59"/>
      <c r="BG239" s="58"/>
      <c r="BH239" s="58"/>
      <c r="BI239" s="58"/>
      <c r="BJ239" s="58"/>
      <c r="BK239" s="58"/>
      <c r="BL239" s="59"/>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row>
    <row r="240" spans="1:99" x14ac:dyDescent="0.35">
      <c r="A240" s="46"/>
      <c r="B240" s="46"/>
      <c r="C240" s="46"/>
      <c r="D240" s="46"/>
      <c r="E240" s="46"/>
      <c r="F240" s="46"/>
      <c r="G240" s="46"/>
      <c r="H240" s="46"/>
      <c r="I240" s="46"/>
      <c r="J240" s="47"/>
      <c r="L240" s="58"/>
      <c r="M240" s="58"/>
      <c r="N240" s="58"/>
      <c r="O240" s="58"/>
      <c r="P240" s="269"/>
      <c r="Q240" s="58"/>
      <c r="R240" s="58"/>
      <c r="S240" s="58"/>
      <c r="T240" s="58"/>
      <c r="U240" s="58"/>
      <c r="V240" s="269"/>
      <c r="W240" s="58"/>
      <c r="X240" s="58"/>
      <c r="Y240" s="58"/>
      <c r="Z240" s="58"/>
      <c r="AA240" s="58"/>
      <c r="AB240" s="269"/>
      <c r="AC240" s="58"/>
      <c r="AD240" s="58"/>
      <c r="AE240" s="58"/>
      <c r="AF240" s="58"/>
      <c r="AG240" s="58"/>
      <c r="AH240" s="269"/>
      <c r="AI240" s="58"/>
      <c r="AJ240" s="58"/>
      <c r="AK240" s="58"/>
      <c r="AL240" s="58"/>
      <c r="AM240" s="58"/>
      <c r="AN240" s="59"/>
      <c r="AO240" s="58"/>
      <c r="AP240" s="58"/>
      <c r="AQ240" s="58"/>
      <c r="AR240" s="58"/>
      <c r="AS240" s="58"/>
      <c r="AT240" s="59"/>
      <c r="AU240" s="58"/>
      <c r="AV240" s="58"/>
      <c r="AW240" s="58"/>
      <c r="AX240" s="58"/>
      <c r="AY240" s="58"/>
      <c r="AZ240" s="59"/>
      <c r="BA240" s="58"/>
      <c r="BB240" s="58"/>
      <c r="BC240" s="58"/>
      <c r="BD240" s="58"/>
      <c r="BE240" s="58"/>
      <c r="BF240" s="59"/>
      <c r="BG240" s="58"/>
      <c r="BH240" s="58"/>
      <c r="BI240" s="58"/>
      <c r="BJ240" s="58"/>
      <c r="BK240" s="58"/>
      <c r="BL240" s="59"/>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row>
    <row r="241" spans="1:99" x14ac:dyDescent="0.35">
      <c r="A241" s="46"/>
      <c r="B241" s="46"/>
      <c r="C241" s="46"/>
      <c r="D241" s="46"/>
      <c r="E241" s="46"/>
      <c r="F241" s="46"/>
      <c r="G241" s="46"/>
      <c r="H241" s="46"/>
      <c r="I241" s="46"/>
      <c r="J241" s="47"/>
      <c r="L241" s="58"/>
      <c r="M241" s="58"/>
      <c r="N241" s="58"/>
      <c r="O241" s="58"/>
      <c r="P241" s="269"/>
      <c r="Q241" s="58"/>
      <c r="R241" s="58"/>
      <c r="S241" s="58"/>
      <c r="T241" s="58"/>
      <c r="U241" s="58"/>
      <c r="V241" s="269"/>
      <c r="W241" s="58"/>
      <c r="X241" s="58"/>
      <c r="Y241" s="58"/>
      <c r="Z241" s="58"/>
      <c r="AA241" s="58"/>
      <c r="AB241" s="269"/>
      <c r="AC241" s="58"/>
      <c r="AD241" s="58"/>
      <c r="AE241" s="58"/>
      <c r="AF241" s="58"/>
      <c r="AG241" s="58"/>
      <c r="AH241" s="269"/>
      <c r="AI241" s="58"/>
      <c r="AJ241" s="58"/>
      <c r="AK241" s="58"/>
      <c r="AL241" s="58"/>
      <c r="AM241" s="58"/>
      <c r="AN241" s="59"/>
      <c r="AO241" s="58"/>
      <c r="AP241" s="58"/>
      <c r="AQ241" s="58"/>
      <c r="AR241" s="58"/>
      <c r="AS241" s="58"/>
      <c r="AT241" s="59"/>
      <c r="AU241" s="58"/>
      <c r="AV241" s="58"/>
      <c r="AW241" s="58"/>
      <c r="AX241" s="58"/>
      <c r="AY241" s="58"/>
      <c r="AZ241" s="59"/>
      <c r="BA241" s="58"/>
      <c r="BB241" s="58"/>
      <c r="BC241" s="58"/>
      <c r="BD241" s="58"/>
      <c r="BE241" s="58"/>
      <c r="BF241" s="59"/>
      <c r="BG241" s="58"/>
      <c r="BH241" s="58"/>
      <c r="BI241" s="58"/>
      <c r="BJ241" s="58"/>
      <c r="BK241" s="58"/>
      <c r="BL241" s="59"/>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row>
    <row r="242" spans="1:99" x14ac:dyDescent="0.35">
      <c r="A242" s="46"/>
      <c r="B242" s="46"/>
      <c r="C242" s="46"/>
      <c r="D242" s="46"/>
      <c r="E242" s="46"/>
      <c r="F242" s="46"/>
      <c r="G242" s="46"/>
      <c r="H242" s="46"/>
      <c r="I242" s="46"/>
      <c r="J242" s="47"/>
      <c r="L242" s="58"/>
      <c r="M242" s="58"/>
      <c r="N242" s="58"/>
      <c r="O242" s="58"/>
      <c r="P242" s="269"/>
      <c r="Q242" s="58"/>
      <c r="R242" s="58"/>
      <c r="S242" s="58"/>
      <c r="T242" s="58"/>
      <c r="U242" s="58"/>
      <c r="V242" s="269"/>
      <c r="W242" s="58"/>
      <c r="X242" s="58"/>
      <c r="Y242" s="58"/>
      <c r="Z242" s="58"/>
      <c r="AA242" s="58"/>
      <c r="AB242" s="269"/>
      <c r="AC242" s="58"/>
      <c r="AD242" s="58"/>
      <c r="AE242" s="58"/>
      <c r="AF242" s="58"/>
      <c r="AG242" s="58"/>
      <c r="AH242" s="269"/>
      <c r="AI242" s="58"/>
      <c r="AJ242" s="58"/>
      <c r="AK242" s="58"/>
      <c r="AL242" s="58"/>
      <c r="AM242" s="58"/>
      <c r="AN242" s="59"/>
      <c r="AO242" s="58"/>
      <c r="AP242" s="58"/>
      <c r="AQ242" s="58"/>
      <c r="AR242" s="58"/>
      <c r="AS242" s="58"/>
      <c r="AT242" s="59"/>
      <c r="AU242" s="58"/>
      <c r="AV242" s="58"/>
      <c r="AW242" s="58"/>
      <c r="AX242" s="58"/>
      <c r="AY242" s="58"/>
      <c r="AZ242" s="59"/>
      <c r="BA242" s="58"/>
      <c r="BB242" s="58"/>
      <c r="BC242" s="58"/>
      <c r="BD242" s="58"/>
      <c r="BE242" s="58"/>
      <c r="BF242" s="59"/>
      <c r="BG242" s="58"/>
      <c r="BH242" s="58"/>
      <c r="BI242" s="58"/>
      <c r="BJ242" s="58"/>
      <c r="BK242" s="58"/>
      <c r="BL242" s="59"/>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row>
    <row r="243" spans="1:99" x14ac:dyDescent="0.35">
      <c r="A243" s="46"/>
      <c r="B243" s="46"/>
      <c r="C243" s="46"/>
      <c r="D243" s="46"/>
      <c r="E243" s="46"/>
      <c r="F243" s="46"/>
      <c r="G243" s="46"/>
      <c r="H243" s="46"/>
      <c r="I243" s="46"/>
      <c r="J243" s="47"/>
      <c r="L243" s="58"/>
      <c r="M243" s="58"/>
      <c r="N243" s="58"/>
      <c r="O243" s="58"/>
      <c r="P243" s="269"/>
      <c r="Q243" s="58"/>
      <c r="R243" s="58"/>
      <c r="S243" s="58"/>
      <c r="T243" s="58"/>
      <c r="U243" s="58"/>
      <c r="V243" s="269"/>
      <c r="W243" s="58"/>
      <c r="X243" s="58"/>
      <c r="Y243" s="58"/>
      <c r="Z243" s="58"/>
      <c r="AA243" s="58"/>
      <c r="AB243" s="269"/>
      <c r="AC243" s="58"/>
      <c r="AD243" s="58"/>
      <c r="AE243" s="58"/>
      <c r="AF243" s="58"/>
      <c r="AG243" s="58"/>
      <c r="AH243" s="269"/>
      <c r="AI243" s="58"/>
      <c r="AJ243" s="58"/>
      <c r="AK243" s="58"/>
      <c r="AL243" s="58"/>
      <c r="AM243" s="58"/>
      <c r="AN243" s="59"/>
      <c r="AO243" s="58"/>
      <c r="AP243" s="58"/>
      <c r="AQ243" s="58"/>
      <c r="AR243" s="58"/>
      <c r="AS243" s="58"/>
      <c r="AT243" s="59"/>
      <c r="AU243" s="58"/>
      <c r="AV243" s="58"/>
      <c r="AW243" s="58"/>
      <c r="AX243" s="58"/>
      <c r="AY243" s="58"/>
      <c r="AZ243" s="59"/>
      <c r="BA243" s="58"/>
      <c r="BB243" s="58"/>
      <c r="BC243" s="58"/>
      <c r="BD243" s="58"/>
      <c r="BE243" s="58"/>
      <c r="BF243" s="59"/>
      <c r="BG243" s="58"/>
      <c r="BH243" s="58"/>
      <c r="BI243" s="58"/>
      <c r="BJ243" s="58"/>
      <c r="BK243" s="58"/>
      <c r="BL243" s="59"/>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row>
    <row r="244" spans="1:99" x14ac:dyDescent="0.35">
      <c r="A244" s="46"/>
      <c r="B244" s="46"/>
      <c r="C244" s="46"/>
      <c r="D244" s="46"/>
      <c r="E244" s="46"/>
      <c r="F244" s="46"/>
      <c r="G244" s="46"/>
      <c r="H244" s="46"/>
      <c r="I244" s="46"/>
      <c r="J244" s="47"/>
      <c r="L244" s="58"/>
      <c r="M244" s="58"/>
      <c r="N244" s="58"/>
      <c r="O244" s="58"/>
      <c r="P244" s="269"/>
      <c r="Q244" s="58"/>
      <c r="R244" s="58"/>
      <c r="S244" s="58"/>
      <c r="T244" s="58"/>
      <c r="U244" s="58"/>
      <c r="V244" s="269"/>
      <c r="W244" s="58"/>
      <c r="X244" s="58"/>
      <c r="Y244" s="58"/>
      <c r="Z244" s="58"/>
      <c r="AA244" s="58"/>
      <c r="AB244" s="269"/>
      <c r="AC244" s="58"/>
      <c r="AD244" s="58"/>
      <c r="AE244" s="58"/>
      <c r="AF244" s="58"/>
      <c r="AG244" s="58"/>
      <c r="AH244" s="269"/>
      <c r="AI244" s="58"/>
      <c r="AJ244" s="58"/>
      <c r="AK244" s="58"/>
      <c r="AL244" s="58"/>
      <c r="AM244" s="58"/>
      <c r="AN244" s="59"/>
      <c r="AO244" s="58"/>
      <c r="AP244" s="58"/>
      <c r="AQ244" s="58"/>
      <c r="AR244" s="58"/>
      <c r="AS244" s="58"/>
      <c r="AT244" s="59"/>
      <c r="AU244" s="58"/>
      <c r="AV244" s="58"/>
      <c r="AW244" s="58"/>
      <c r="AX244" s="58"/>
      <c r="AY244" s="58"/>
      <c r="AZ244" s="59"/>
      <c r="BA244" s="58"/>
      <c r="BB244" s="58"/>
      <c r="BC244" s="58"/>
      <c r="BD244" s="58"/>
      <c r="BE244" s="58"/>
      <c r="BF244" s="59"/>
      <c r="BG244" s="58"/>
      <c r="BH244" s="58"/>
      <c r="BI244" s="58"/>
      <c r="BJ244" s="58"/>
      <c r="BK244" s="58"/>
      <c r="BL244" s="59"/>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row>
    <row r="245" spans="1:99" x14ac:dyDescent="0.35">
      <c r="A245" s="46"/>
      <c r="B245" s="46"/>
      <c r="C245" s="46"/>
      <c r="D245" s="46"/>
      <c r="E245" s="46"/>
      <c r="F245" s="46"/>
      <c r="G245" s="46"/>
      <c r="H245" s="46"/>
      <c r="I245" s="46"/>
      <c r="J245" s="47"/>
      <c r="L245" s="58"/>
      <c r="M245" s="58"/>
      <c r="N245" s="58"/>
      <c r="O245" s="58"/>
      <c r="P245" s="269"/>
      <c r="Q245" s="58"/>
      <c r="R245" s="58"/>
      <c r="S245" s="58"/>
      <c r="T245" s="58"/>
      <c r="U245" s="58"/>
      <c r="V245" s="269"/>
      <c r="W245" s="58"/>
      <c r="X245" s="58"/>
      <c r="Y245" s="58"/>
      <c r="Z245" s="58"/>
      <c r="AA245" s="58"/>
      <c r="AB245" s="269"/>
      <c r="AC245" s="58"/>
      <c r="AD245" s="58"/>
      <c r="AE245" s="58"/>
      <c r="AF245" s="58"/>
      <c r="AG245" s="58"/>
      <c r="AH245" s="269"/>
      <c r="AI245" s="58"/>
      <c r="AJ245" s="58"/>
      <c r="AK245" s="58"/>
      <c r="AL245" s="58"/>
      <c r="AM245" s="58"/>
      <c r="AN245" s="59"/>
      <c r="AO245" s="58"/>
      <c r="AP245" s="58"/>
      <c r="AQ245" s="58"/>
      <c r="AR245" s="58"/>
      <c r="AS245" s="58"/>
      <c r="AT245" s="59"/>
      <c r="AU245" s="58"/>
      <c r="AV245" s="58"/>
      <c r="AW245" s="58"/>
      <c r="AX245" s="58"/>
      <c r="AY245" s="58"/>
      <c r="AZ245" s="59"/>
      <c r="BA245" s="58"/>
      <c r="BB245" s="58"/>
      <c r="BC245" s="58"/>
      <c r="BD245" s="58"/>
      <c r="BE245" s="58"/>
      <c r="BF245" s="59"/>
      <c r="BG245" s="58"/>
      <c r="BH245" s="58"/>
      <c r="BI245" s="58"/>
      <c r="BJ245" s="58"/>
      <c r="BK245" s="58"/>
      <c r="BL245" s="59"/>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row>
    <row r="246" spans="1:99" x14ac:dyDescent="0.35">
      <c r="A246" s="46"/>
      <c r="B246" s="46"/>
      <c r="C246" s="46"/>
      <c r="D246" s="46"/>
      <c r="E246" s="46"/>
      <c r="F246" s="46"/>
      <c r="G246" s="46"/>
      <c r="H246" s="46"/>
      <c r="I246" s="46"/>
      <c r="J246" s="47"/>
      <c r="L246" s="58"/>
      <c r="M246" s="58"/>
      <c r="N246" s="58"/>
      <c r="O246" s="58"/>
      <c r="P246" s="269"/>
      <c r="Q246" s="58"/>
      <c r="R246" s="58"/>
      <c r="S246" s="58"/>
      <c r="T246" s="58"/>
      <c r="U246" s="58"/>
      <c r="V246" s="269"/>
      <c r="W246" s="58"/>
      <c r="X246" s="58"/>
      <c r="Y246" s="58"/>
      <c r="Z246" s="58"/>
      <c r="AA246" s="58"/>
      <c r="AB246" s="269"/>
      <c r="AC246" s="58"/>
      <c r="AD246" s="58"/>
      <c r="AE246" s="58"/>
      <c r="AF246" s="58"/>
      <c r="AG246" s="58"/>
      <c r="AH246" s="269"/>
      <c r="AI246" s="58"/>
      <c r="AJ246" s="58"/>
      <c r="AK246" s="58"/>
      <c r="AL246" s="58"/>
      <c r="AM246" s="58"/>
      <c r="AN246" s="59"/>
      <c r="AO246" s="58"/>
      <c r="AP246" s="58"/>
      <c r="AQ246" s="58"/>
      <c r="AR246" s="58"/>
      <c r="AS246" s="58"/>
      <c r="AT246" s="59"/>
      <c r="AU246" s="58"/>
      <c r="AV246" s="58"/>
      <c r="AW246" s="58"/>
      <c r="AX246" s="58"/>
      <c r="AY246" s="58"/>
      <c r="AZ246" s="59"/>
      <c r="BA246" s="58"/>
      <c r="BB246" s="58"/>
      <c r="BC246" s="58"/>
      <c r="BD246" s="58"/>
      <c r="BE246" s="58"/>
      <c r="BF246" s="59"/>
      <c r="BG246" s="58"/>
      <c r="BH246" s="58"/>
      <c r="BI246" s="58"/>
      <c r="BJ246" s="58"/>
      <c r="BK246" s="58"/>
      <c r="BL246" s="59"/>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row>
    <row r="247" spans="1:99" x14ac:dyDescent="0.35">
      <c r="A247" s="46"/>
      <c r="B247" s="46"/>
      <c r="C247" s="46"/>
      <c r="D247" s="46"/>
      <c r="E247" s="46"/>
      <c r="F247" s="46"/>
      <c r="G247" s="46"/>
      <c r="H247" s="46"/>
      <c r="I247" s="46"/>
      <c r="J247" s="47"/>
      <c r="L247" s="58"/>
      <c r="M247" s="58"/>
      <c r="N247" s="58"/>
      <c r="O247" s="58"/>
      <c r="P247" s="269"/>
      <c r="Q247" s="58"/>
      <c r="R247" s="58"/>
      <c r="S247" s="58"/>
      <c r="T247" s="58"/>
      <c r="U247" s="58"/>
      <c r="V247" s="269"/>
      <c r="W247" s="58"/>
      <c r="X247" s="58"/>
      <c r="Y247" s="58"/>
      <c r="Z247" s="58"/>
      <c r="AA247" s="58"/>
      <c r="AB247" s="269"/>
      <c r="AC247" s="58"/>
      <c r="AD247" s="58"/>
      <c r="AE247" s="58"/>
      <c r="AF247" s="58"/>
      <c r="AG247" s="58"/>
      <c r="AH247" s="269"/>
      <c r="AI247" s="58"/>
      <c r="AJ247" s="58"/>
      <c r="AK247" s="58"/>
      <c r="AL247" s="58"/>
      <c r="AM247" s="58"/>
      <c r="AN247" s="59"/>
      <c r="AO247" s="58"/>
      <c r="AP247" s="58"/>
      <c r="AQ247" s="58"/>
      <c r="AR247" s="58"/>
      <c r="AS247" s="58"/>
      <c r="AT247" s="59"/>
      <c r="AU247" s="58"/>
      <c r="AV247" s="58"/>
      <c r="AW247" s="58"/>
      <c r="AX247" s="58"/>
      <c r="AY247" s="58"/>
      <c r="AZ247" s="59"/>
      <c r="BA247" s="58"/>
      <c r="BB247" s="58"/>
      <c r="BC247" s="58"/>
      <c r="BD247" s="58"/>
      <c r="BE247" s="58"/>
      <c r="BF247" s="59"/>
      <c r="BG247" s="58"/>
      <c r="BH247" s="58"/>
      <c r="BI247" s="58"/>
      <c r="BJ247" s="58"/>
      <c r="BK247" s="58"/>
      <c r="BL247" s="59"/>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row>
    <row r="248" spans="1:99" x14ac:dyDescent="0.35">
      <c r="A248" s="46"/>
      <c r="B248" s="46"/>
      <c r="C248" s="46"/>
      <c r="D248" s="46"/>
      <c r="E248" s="46"/>
      <c r="F248" s="46"/>
      <c r="G248" s="46"/>
      <c r="H248" s="46"/>
      <c r="I248" s="46"/>
      <c r="J248" s="47"/>
      <c r="L248" s="58"/>
      <c r="M248" s="58"/>
      <c r="N248" s="58"/>
      <c r="O248" s="58"/>
      <c r="P248" s="269"/>
      <c r="Q248" s="58"/>
      <c r="R248" s="58"/>
      <c r="S248" s="58"/>
      <c r="T248" s="58"/>
      <c r="U248" s="58"/>
      <c r="V248" s="269"/>
      <c r="W248" s="58"/>
      <c r="X248" s="58"/>
      <c r="Y248" s="58"/>
      <c r="Z248" s="58"/>
      <c r="AA248" s="58"/>
      <c r="AB248" s="269"/>
      <c r="AC248" s="58"/>
      <c r="AD248" s="58"/>
      <c r="AE248" s="58"/>
      <c r="AF248" s="58"/>
      <c r="AG248" s="58"/>
      <c r="AH248" s="269"/>
      <c r="AI248" s="58"/>
      <c r="AJ248" s="58"/>
      <c r="AK248" s="58"/>
      <c r="AL248" s="58"/>
      <c r="AM248" s="58"/>
      <c r="AN248" s="59"/>
      <c r="AO248" s="58"/>
      <c r="AP248" s="58"/>
      <c r="AQ248" s="58"/>
      <c r="AR248" s="58"/>
      <c r="AS248" s="58"/>
      <c r="AT248" s="59"/>
      <c r="AU248" s="58"/>
      <c r="AV248" s="58"/>
      <c r="AW248" s="58"/>
      <c r="AX248" s="58"/>
      <c r="AY248" s="58"/>
      <c r="AZ248" s="59"/>
      <c r="BA248" s="58"/>
      <c r="BB248" s="58"/>
      <c r="BC248" s="58"/>
      <c r="BD248" s="58"/>
      <c r="BE248" s="58"/>
      <c r="BF248" s="59"/>
      <c r="BG248" s="58"/>
      <c r="BH248" s="58"/>
      <c r="BI248" s="58"/>
      <c r="BJ248" s="58"/>
      <c r="BK248" s="58"/>
      <c r="BL248" s="59"/>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row>
    <row r="249" spans="1:99" x14ac:dyDescent="0.35">
      <c r="A249" s="46"/>
      <c r="B249" s="46"/>
      <c r="C249" s="46"/>
      <c r="D249" s="46"/>
      <c r="E249" s="46"/>
      <c r="F249" s="46"/>
      <c r="G249" s="46"/>
      <c r="H249" s="46"/>
      <c r="I249" s="46"/>
      <c r="J249" s="47"/>
      <c r="L249" s="58"/>
      <c r="M249" s="58"/>
      <c r="N249" s="58"/>
      <c r="O249" s="58"/>
      <c r="P249" s="269"/>
      <c r="Q249" s="58"/>
      <c r="R249" s="58"/>
      <c r="S249" s="58"/>
      <c r="T249" s="58"/>
      <c r="U249" s="58"/>
      <c r="V249" s="269"/>
      <c r="W249" s="58"/>
      <c r="X249" s="58"/>
      <c r="Y249" s="58"/>
      <c r="Z249" s="58"/>
      <c r="AA249" s="58"/>
      <c r="AB249" s="269"/>
      <c r="AC249" s="58"/>
      <c r="AD249" s="58"/>
      <c r="AE249" s="58"/>
      <c r="AF249" s="58"/>
      <c r="AG249" s="58"/>
      <c r="AH249" s="269"/>
      <c r="AI249" s="58"/>
      <c r="AJ249" s="58"/>
      <c r="AK249" s="58"/>
      <c r="AL249" s="58"/>
      <c r="AM249" s="58"/>
      <c r="AN249" s="59"/>
      <c r="AO249" s="58"/>
      <c r="AP249" s="58"/>
      <c r="AQ249" s="58"/>
      <c r="AR249" s="58"/>
      <c r="AS249" s="58"/>
      <c r="AT249" s="59"/>
      <c r="AU249" s="58"/>
      <c r="AV249" s="58"/>
      <c r="AW249" s="58"/>
      <c r="AX249" s="58"/>
      <c r="AY249" s="58"/>
      <c r="AZ249" s="59"/>
      <c r="BA249" s="58"/>
      <c r="BB249" s="58"/>
      <c r="BC249" s="58"/>
      <c r="BD249" s="58"/>
      <c r="BE249" s="58"/>
      <c r="BF249" s="59"/>
      <c r="BG249" s="58"/>
      <c r="BH249" s="58"/>
      <c r="BI249" s="58"/>
      <c r="BJ249" s="58"/>
      <c r="BK249" s="58"/>
      <c r="BL249" s="59"/>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row>
    <row r="250" spans="1:99" x14ac:dyDescent="0.35">
      <c r="A250" s="46"/>
      <c r="B250" s="46"/>
      <c r="C250" s="46"/>
      <c r="D250" s="46"/>
      <c r="E250" s="46"/>
      <c r="F250" s="46"/>
      <c r="G250" s="46"/>
      <c r="H250" s="46"/>
      <c r="I250" s="46"/>
      <c r="J250" s="47"/>
      <c r="L250" s="58"/>
      <c r="M250" s="58"/>
      <c r="N250" s="58"/>
      <c r="O250" s="58"/>
      <c r="P250" s="269"/>
      <c r="Q250" s="58"/>
      <c r="R250" s="58"/>
      <c r="S250" s="58"/>
      <c r="T250" s="58"/>
      <c r="U250" s="58"/>
      <c r="V250" s="269"/>
      <c r="W250" s="58"/>
      <c r="X250" s="58"/>
      <c r="Y250" s="58"/>
      <c r="Z250" s="58"/>
      <c r="AA250" s="58"/>
      <c r="AB250" s="269"/>
      <c r="AC250" s="58"/>
      <c r="AD250" s="58"/>
      <c r="AE250" s="58"/>
      <c r="AF250" s="58"/>
      <c r="AG250" s="58"/>
      <c r="AH250" s="269"/>
      <c r="AI250" s="58"/>
      <c r="AJ250" s="58"/>
      <c r="AK250" s="58"/>
      <c r="AL250" s="58"/>
      <c r="AM250" s="58"/>
      <c r="AN250" s="59"/>
      <c r="AO250" s="58"/>
      <c r="AP250" s="58"/>
      <c r="AQ250" s="58"/>
      <c r="AR250" s="58"/>
      <c r="AS250" s="58"/>
      <c r="AT250" s="59"/>
      <c r="AU250" s="58"/>
      <c r="AV250" s="58"/>
      <c r="AW250" s="58"/>
      <c r="AX250" s="58"/>
      <c r="AY250" s="58"/>
      <c r="AZ250" s="59"/>
      <c r="BA250" s="58"/>
      <c r="BB250" s="58"/>
      <c r="BC250" s="58"/>
      <c r="BD250" s="58"/>
      <c r="BE250" s="58"/>
      <c r="BF250" s="59"/>
      <c r="BG250" s="58"/>
      <c r="BH250" s="58"/>
      <c r="BI250" s="58"/>
      <c r="BJ250" s="58"/>
      <c r="BK250" s="58"/>
      <c r="BL250" s="59"/>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row>
    <row r="251" spans="1:99" x14ac:dyDescent="0.35">
      <c r="A251" s="46"/>
      <c r="B251" s="46"/>
      <c r="C251" s="46"/>
      <c r="D251" s="46"/>
      <c r="E251" s="46"/>
      <c r="F251" s="46"/>
      <c r="G251" s="46"/>
      <c r="H251" s="46"/>
      <c r="I251" s="46"/>
      <c r="J251" s="47"/>
      <c r="L251" s="58"/>
      <c r="M251" s="58"/>
      <c r="N251" s="58"/>
      <c r="O251" s="58"/>
      <c r="P251" s="269"/>
      <c r="Q251" s="58"/>
      <c r="R251" s="58"/>
      <c r="S251" s="58"/>
      <c r="T251" s="58"/>
      <c r="U251" s="58"/>
      <c r="V251" s="269"/>
      <c r="W251" s="58"/>
      <c r="X251" s="58"/>
      <c r="Y251" s="58"/>
      <c r="Z251" s="58"/>
      <c r="AA251" s="58"/>
      <c r="AB251" s="269"/>
      <c r="AC251" s="58"/>
      <c r="AD251" s="58"/>
      <c r="AE251" s="58"/>
      <c r="AF251" s="58"/>
      <c r="AG251" s="58"/>
      <c r="AH251" s="269"/>
      <c r="AI251" s="58"/>
      <c r="AJ251" s="58"/>
      <c r="AK251" s="58"/>
      <c r="AL251" s="58"/>
      <c r="AM251" s="58"/>
      <c r="AN251" s="59"/>
      <c r="AO251" s="58"/>
      <c r="AP251" s="58"/>
      <c r="AQ251" s="58"/>
      <c r="AR251" s="58"/>
      <c r="AS251" s="58"/>
      <c r="AT251" s="59"/>
      <c r="AU251" s="58"/>
      <c r="AV251" s="58"/>
      <c r="AW251" s="58"/>
      <c r="AX251" s="58"/>
      <c r="AY251" s="58"/>
      <c r="AZ251" s="59"/>
      <c r="BA251" s="58"/>
      <c r="BB251" s="58"/>
      <c r="BC251" s="58"/>
      <c r="BD251" s="58"/>
      <c r="BE251" s="58"/>
      <c r="BF251" s="59"/>
      <c r="BG251" s="58"/>
      <c r="BH251" s="58"/>
      <c r="BI251" s="58"/>
      <c r="BJ251" s="58"/>
      <c r="BK251" s="58"/>
      <c r="BL251" s="59"/>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row>
    <row r="252" spans="1:99" x14ac:dyDescent="0.35">
      <c r="A252" s="46"/>
      <c r="B252" s="46"/>
      <c r="C252" s="46"/>
      <c r="D252" s="46"/>
      <c r="E252" s="46"/>
      <c r="F252" s="46"/>
      <c r="G252" s="46"/>
      <c r="H252" s="46"/>
      <c r="I252" s="46"/>
      <c r="J252" s="47"/>
      <c r="L252" s="58"/>
      <c r="M252" s="58"/>
      <c r="N252" s="58"/>
      <c r="O252" s="58"/>
      <c r="P252" s="269"/>
      <c r="Q252" s="58"/>
      <c r="R252" s="58"/>
      <c r="S252" s="58"/>
      <c r="T252" s="58"/>
      <c r="U252" s="58"/>
      <c r="V252" s="269"/>
      <c r="W252" s="58"/>
      <c r="X252" s="58"/>
      <c r="Y252" s="58"/>
      <c r="Z252" s="58"/>
      <c r="AA252" s="58"/>
      <c r="AB252" s="269"/>
      <c r="AC252" s="58"/>
      <c r="AD252" s="58"/>
      <c r="AE252" s="58"/>
      <c r="AF252" s="58"/>
      <c r="AG252" s="58"/>
      <c r="AH252" s="269"/>
      <c r="AI252" s="58"/>
      <c r="AJ252" s="58"/>
      <c r="AK252" s="58"/>
      <c r="AL252" s="58"/>
      <c r="AM252" s="58"/>
      <c r="AN252" s="59"/>
      <c r="AO252" s="58"/>
      <c r="AP252" s="58"/>
      <c r="AQ252" s="58"/>
      <c r="AR252" s="58"/>
      <c r="AS252" s="58"/>
      <c r="AT252" s="59"/>
      <c r="AU252" s="58"/>
      <c r="AV252" s="58"/>
      <c r="AW252" s="58"/>
      <c r="AX252" s="58"/>
      <c r="AY252" s="58"/>
      <c r="AZ252" s="59"/>
      <c r="BA252" s="58"/>
      <c r="BB252" s="58"/>
      <c r="BC252" s="58"/>
      <c r="BD252" s="58"/>
      <c r="BE252" s="58"/>
      <c r="BF252" s="59"/>
      <c r="BG252" s="58"/>
      <c r="BH252" s="58"/>
      <c r="BI252" s="58"/>
      <c r="BJ252" s="58"/>
      <c r="BK252" s="58"/>
      <c r="BL252" s="59"/>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row>
    <row r="253" spans="1:99" x14ac:dyDescent="0.35">
      <c r="A253" s="46"/>
      <c r="B253" s="46"/>
      <c r="C253" s="46"/>
      <c r="D253" s="46"/>
      <c r="E253" s="46"/>
      <c r="F253" s="46"/>
      <c r="G253" s="46"/>
      <c r="H253" s="46"/>
      <c r="I253" s="46"/>
      <c r="J253" s="47"/>
      <c r="L253" s="58"/>
      <c r="M253" s="58"/>
      <c r="N253" s="58"/>
      <c r="O253" s="58"/>
      <c r="P253" s="269"/>
      <c r="Q253" s="58"/>
      <c r="R253" s="58"/>
      <c r="S253" s="58"/>
      <c r="T253" s="58"/>
      <c r="U253" s="58"/>
      <c r="V253" s="269"/>
      <c r="W253" s="58"/>
      <c r="X253" s="58"/>
      <c r="Y253" s="58"/>
      <c r="Z253" s="58"/>
      <c r="AA253" s="58"/>
      <c r="AB253" s="269"/>
      <c r="AC253" s="58"/>
      <c r="AD253" s="58"/>
      <c r="AE253" s="58"/>
      <c r="AF253" s="58"/>
      <c r="AG253" s="58"/>
      <c r="AH253" s="269"/>
      <c r="AI253" s="58"/>
      <c r="AJ253" s="58"/>
      <c r="AK253" s="58"/>
      <c r="AL253" s="58"/>
      <c r="AM253" s="58"/>
      <c r="AN253" s="59"/>
      <c r="AO253" s="58"/>
      <c r="AP253" s="58"/>
      <c r="AQ253" s="58"/>
      <c r="AR253" s="58"/>
      <c r="AS253" s="58"/>
      <c r="AT253" s="59"/>
      <c r="AU253" s="58"/>
      <c r="AV253" s="58"/>
      <c r="AW253" s="58"/>
      <c r="AX253" s="58"/>
      <c r="AY253" s="58"/>
      <c r="AZ253" s="59"/>
      <c r="BA253" s="58"/>
      <c r="BB253" s="58"/>
      <c r="BC253" s="58"/>
      <c r="BD253" s="58"/>
      <c r="BE253" s="58"/>
      <c r="BF253" s="59"/>
      <c r="BG253" s="58"/>
      <c r="BH253" s="58"/>
      <c r="BI253" s="58"/>
      <c r="BJ253" s="58"/>
      <c r="BK253" s="58"/>
      <c r="BL253" s="59"/>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row>
    <row r="254" spans="1:99" x14ac:dyDescent="0.35">
      <c r="A254" s="46"/>
      <c r="B254" s="46"/>
      <c r="C254" s="46"/>
      <c r="D254" s="46"/>
      <c r="E254" s="46"/>
      <c r="F254" s="46"/>
      <c r="G254" s="46"/>
      <c r="H254" s="46"/>
      <c r="I254" s="46"/>
      <c r="J254" s="47"/>
      <c r="L254" s="58"/>
      <c r="M254" s="58"/>
      <c r="N254" s="58"/>
      <c r="O254" s="58"/>
      <c r="P254" s="269"/>
      <c r="Q254" s="58"/>
      <c r="R254" s="58"/>
      <c r="S254" s="58"/>
      <c r="T254" s="58"/>
      <c r="U254" s="58"/>
      <c r="V254" s="269"/>
      <c r="W254" s="58"/>
      <c r="X254" s="58"/>
      <c r="Y254" s="58"/>
      <c r="Z254" s="58"/>
      <c r="AA254" s="58"/>
      <c r="AB254" s="269"/>
      <c r="AC254" s="58"/>
      <c r="AD254" s="58"/>
      <c r="AE254" s="58"/>
      <c r="AF254" s="58"/>
      <c r="AG254" s="58"/>
      <c r="AH254" s="269"/>
      <c r="AI254" s="58"/>
      <c r="AJ254" s="58"/>
      <c r="AK254" s="58"/>
      <c r="AL254" s="58"/>
      <c r="AM254" s="58"/>
      <c r="AN254" s="59"/>
      <c r="AO254" s="58"/>
      <c r="AP254" s="58"/>
      <c r="AQ254" s="58"/>
      <c r="AR254" s="58"/>
      <c r="AS254" s="58"/>
      <c r="AT254" s="59"/>
      <c r="AU254" s="58"/>
      <c r="AV254" s="58"/>
      <c r="AW254" s="58"/>
      <c r="AX254" s="58"/>
      <c r="AY254" s="58"/>
      <c r="AZ254" s="59"/>
      <c r="BA254" s="58"/>
      <c r="BB254" s="58"/>
      <c r="BC254" s="58"/>
      <c r="BD254" s="58"/>
      <c r="BE254" s="58"/>
      <c r="BF254" s="59"/>
      <c r="BG254" s="58"/>
      <c r="BH254" s="58"/>
      <c r="BI254" s="58"/>
      <c r="BJ254" s="58"/>
      <c r="BK254" s="58"/>
      <c r="BL254" s="59"/>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row>
    <row r="255" spans="1:99" x14ac:dyDescent="0.35">
      <c r="A255" s="46"/>
      <c r="B255" s="46"/>
      <c r="C255" s="46"/>
      <c r="D255" s="46"/>
      <c r="E255" s="46"/>
      <c r="F255" s="46"/>
      <c r="G255" s="46"/>
      <c r="H255" s="46"/>
      <c r="I255" s="46"/>
      <c r="J255" s="47"/>
      <c r="L255" s="58"/>
      <c r="M255" s="58"/>
      <c r="N255" s="58"/>
      <c r="O255" s="58"/>
      <c r="P255" s="269"/>
      <c r="Q255" s="58"/>
      <c r="R255" s="58"/>
      <c r="S255" s="58"/>
      <c r="T255" s="58"/>
      <c r="U255" s="58"/>
      <c r="V255" s="269"/>
      <c r="W255" s="58"/>
      <c r="X255" s="58"/>
      <c r="Y255" s="58"/>
      <c r="Z255" s="58"/>
      <c r="AA255" s="58"/>
      <c r="AB255" s="269"/>
      <c r="AC255" s="58"/>
      <c r="AD255" s="58"/>
      <c r="AE255" s="58"/>
      <c r="AF255" s="58"/>
      <c r="AG255" s="58"/>
      <c r="AH255" s="269"/>
      <c r="AI255" s="58"/>
      <c r="AJ255" s="58"/>
      <c r="AK255" s="58"/>
      <c r="AL255" s="58"/>
      <c r="AM255" s="58"/>
      <c r="AN255" s="59"/>
      <c r="AO255" s="58"/>
      <c r="AP255" s="58"/>
      <c r="AQ255" s="58"/>
      <c r="AR255" s="58"/>
      <c r="AS255" s="58"/>
      <c r="AT255" s="59"/>
      <c r="AU255" s="58"/>
      <c r="AV255" s="58"/>
      <c r="AW255" s="58"/>
      <c r="AX255" s="58"/>
      <c r="AY255" s="58"/>
      <c r="AZ255" s="59"/>
      <c r="BA255" s="58"/>
      <c r="BB255" s="58"/>
      <c r="BC255" s="58"/>
      <c r="BD255" s="58"/>
      <c r="BE255" s="58"/>
      <c r="BF255" s="59"/>
      <c r="BG255" s="58"/>
      <c r="BH255" s="58"/>
      <c r="BI255" s="58"/>
      <c r="BJ255" s="58"/>
      <c r="BK255" s="58"/>
      <c r="BL255" s="59"/>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row>
    <row r="256" spans="1:99" x14ac:dyDescent="0.35">
      <c r="A256" s="46"/>
      <c r="B256" s="46"/>
      <c r="C256" s="46"/>
      <c r="D256" s="46"/>
      <c r="E256" s="46"/>
      <c r="F256" s="46"/>
      <c r="G256" s="46"/>
      <c r="H256" s="46"/>
      <c r="I256" s="46"/>
      <c r="J256" s="47"/>
      <c r="L256" s="58"/>
      <c r="M256" s="58"/>
      <c r="N256" s="58"/>
      <c r="O256" s="58"/>
      <c r="P256" s="269"/>
      <c r="Q256" s="58"/>
      <c r="R256" s="58"/>
      <c r="S256" s="58"/>
      <c r="T256" s="58"/>
      <c r="U256" s="58"/>
      <c r="V256" s="269"/>
      <c r="W256" s="58"/>
      <c r="X256" s="58"/>
      <c r="Y256" s="58"/>
      <c r="Z256" s="58"/>
      <c r="AA256" s="58"/>
      <c r="AB256" s="269"/>
      <c r="AC256" s="58"/>
      <c r="AD256" s="58"/>
      <c r="AE256" s="58"/>
      <c r="AF256" s="58"/>
      <c r="AG256" s="58"/>
      <c r="AH256" s="269"/>
      <c r="AI256" s="58"/>
      <c r="AJ256" s="58"/>
      <c r="AK256" s="58"/>
      <c r="AL256" s="58"/>
      <c r="AM256" s="58"/>
      <c r="AN256" s="59"/>
      <c r="AO256" s="58"/>
      <c r="AP256" s="58"/>
      <c r="AQ256" s="58"/>
      <c r="AR256" s="58"/>
      <c r="AS256" s="58"/>
      <c r="AT256" s="59"/>
      <c r="AU256" s="58"/>
      <c r="AV256" s="58"/>
      <c r="AW256" s="58"/>
      <c r="AX256" s="58"/>
      <c r="AY256" s="58"/>
      <c r="AZ256" s="59"/>
      <c r="BA256" s="58"/>
      <c r="BB256" s="58"/>
      <c r="BC256" s="58"/>
      <c r="BD256" s="58"/>
      <c r="BE256" s="58"/>
      <c r="BF256" s="59"/>
      <c r="BG256" s="58"/>
      <c r="BH256" s="58"/>
      <c r="BI256" s="58"/>
      <c r="BJ256" s="58"/>
      <c r="BK256" s="58"/>
      <c r="BL256" s="59"/>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row>
    <row r="257" spans="1:99" x14ac:dyDescent="0.35">
      <c r="A257" s="46"/>
      <c r="B257" s="46"/>
      <c r="C257" s="46"/>
      <c r="D257" s="46"/>
      <c r="E257" s="46"/>
      <c r="F257" s="46"/>
      <c r="G257" s="46"/>
      <c r="H257" s="46"/>
      <c r="I257" s="46"/>
      <c r="J257" s="47"/>
      <c r="L257" s="58"/>
      <c r="M257" s="58"/>
      <c r="N257" s="58"/>
      <c r="O257" s="58"/>
      <c r="P257" s="269"/>
      <c r="Q257" s="58"/>
      <c r="R257" s="58"/>
      <c r="S257" s="58"/>
      <c r="T257" s="58"/>
      <c r="U257" s="58"/>
      <c r="V257" s="269"/>
      <c r="W257" s="58"/>
      <c r="X257" s="58"/>
      <c r="Y257" s="58"/>
      <c r="Z257" s="58"/>
      <c r="AA257" s="58"/>
      <c r="AB257" s="269"/>
      <c r="AC257" s="58"/>
      <c r="AD257" s="58"/>
      <c r="AE257" s="58"/>
      <c r="AF257" s="58"/>
      <c r="AG257" s="58"/>
      <c r="AH257" s="269"/>
      <c r="AI257" s="58"/>
      <c r="AJ257" s="58"/>
      <c r="AK257" s="58"/>
      <c r="AL257" s="58"/>
      <c r="AM257" s="58"/>
      <c r="AN257" s="59"/>
      <c r="AO257" s="58"/>
      <c r="AP257" s="58"/>
      <c r="AQ257" s="58"/>
      <c r="AR257" s="58"/>
      <c r="AS257" s="58"/>
      <c r="AT257" s="59"/>
      <c r="AU257" s="58"/>
      <c r="AV257" s="58"/>
      <c r="AW257" s="58"/>
      <c r="AX257" s="58"/>
      <c r="AY257" s="58"/>
      <c r="AZ257" s="59"/>
      <c r="BA257" s="58"/>
      <c r="BB257" s="58"/>
      <c r="BC257" s="58"/>
      <c r="BD257" s="58"/>
      <c r="BE257" s="58"/>
      <c r="BF257" s="59"/>
      <c r="BG257" s="58"/>
      <c r="BH257" s="58"/>
      <c r="BI257" s="58"/>
      <c r="BJ257" s="58"/>
      <c r="BK257" s="58"/>
      <c r="BL257" s="59"/>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row>
    <row r="258" spans="1:99" x14ac:dyDescent="0.35">
      <c r="A258" s="46"/>
      <c r="B258" s="46"/>
      <c r="C258" s="46"/>
      <c r="D258" s="46"/>
      <c r="E258" s="46"/>
      <c r="F258" s="46"/>
      <c r="G258" s="46"/>
      <c r="H258" s="46"/>
      <c r="I258" s="46"/>
      <c r="J258" s="47"/>
      <c r="L258" s="58"/>
      <c r="M258" s="58"/>
      <c r="N258" s="58"/>
      <c r="O258" s="58"/>
      <c r="P258" s="269"/>
      <c r="Q258" s="58"/>
      <c r="R258" s="58"/>
      <c r="S258" s="58"/>
      <c r="T258" s="58"/>
      <c r="U258" s="58"/>
      <c r="V258" s="269"/>
      <c r="W258" s="58"/>
      <c r="X258" s="58"/>
      <c r="Y258" s="58"/>
      <c r="Z258" s="58"/>
      <c r="AA258" s="58"/>
      <c r="AB258" s="269"/>
      <c r="AC258" s="58"/>
      <c r="AD258" s="58"/>
      <c r="AE258" s="58"/>
      <c r="AF258" s="58"/>
      <c r="AG258" s="58"/>
      <c r="AH258" s="269"/>
      <c r="AI258" s="58"/>
      <c r="AJ258" s="58"/>
      <c r="AK258" s="58"/>
      <c r="AL258" s="58"/>
      <c r="AM258" s="58"/>
      <c r="AN258" s="59"/>
      <c r="AO258" s="58"/>
      <c r="AP258" s="58"/>
      <c r="AQ258" s="58"/>
      <c r="AR258" s="58"/>
      <c r="AS258" s="58"/>
      <c r="AT258" s="59"/>
      <c r="AU258" s="58"/>
      <c r="AV258" s="58"/>
      <c r="AW258" s="58"/>
      <c r="AX258" s="58"/>
      <c r="AY258" s="58"/>
      <c r="AZ258" s="59"/>
      <c r="BA258" s="58"/>
      <c r="BB258" s="58"/>
      <c r="BC258" s="58"/>
      <c r="BD258" s="58"/>
      <c r="BE258" s="58"/>
      <c r="BF258" s="59"/>
      <c r="BG258" s="58"/>
      <c r="BH258" s="58"/>
      <c r="BI258" s="58"/>
      <c r="BJ258" s="58"/>
      <c r="BK258" s="58"/>
      <c r="BL258" s="59"/>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row>
    <row r="259" spans="1:99" x14ac:dyDescent="0.35">
      <c r="A259" s="46"/>
      <c r="B259" s="46"/>
      <c r="C259" s="46"/>
      <c r="D259" s="46"/>
      <c r="E259" s="46"/>
      <c r="F259" s="46"/>
      <c r="G259" s="46"/>
      <c r="H259" s="46"/>
      <c r="I259" s="46"/>
      <c r="J259" s="47"/>
      <c r="L259" s="58"/>
      <c r="M259" s="58"/>
      <c r="N259" s="58"/>
      <c r="O259" s="58"/>
      <c r="P259" s="269"/>
      <c r="Q259" s="58"/>
      <c r="R259" s="58"/>
      <c r="S259" s="58"/>
      <c r="T259" s="58"/>
      <c r="U259" s="58"/>
      <c r="V259" s="269"/>
      <c r="W259" s="58"/>
      <c r="X259" s="58"/>
      <c r="Y259" s="58"/>
      <c r="Z259" s="58"/>
      <c r="AA259" s="58"/>
      <c r="AB259" s="269"/>
      <c r="AC259" s="58"/>
      <c r="AD259" s="58"/>
      <c r="AE259" s="58"/>
      <c r="AF259" s="58"/>
      <c r="AG259" s="58"/>
      <c r="AH259" s="269"/>
      <c r="AI259" s="58"/>
      <c r="AJ259" s="58"/>
      <c r="AK259" s="58"/>
      <c r="AL259" s="58"/>
      <c r="AM259" s="58"/>
      <c r="AN259" s="59"/>
      <c r="AO259" s="58"/>
      <c r="AP259" s="58"/>
      <c r="AQ259" s="58"/>
      <c r="AR259" s="58"/>
      <c r="AS259" s="58"/>
      <c r="AT259" s="59"/>
      <c r="AU259" s="58"/>
      <c r="AV259" s="58"/>
      <c r="AW259" s="58"/>
      <c r="AX259" s="58"/>
      <c r="AY259" s="58"/>
      <c r="AZ259" s="59"/>
      <c r="BA259" s="58"/>
      <c r="BB259" s="58"/>
      <c r="BC259" s="58"/>
      <c r="BD259" s="58"/>
      <c r="BE259" s="58"/>
      <c r="BF259" s="59"/>
      <c r="BG259" s="58"/>
      <c r="BH259" s="58"/>
      <c r="BI259" s="58"/>
      <c r="BJ259" s="58"/>
      <c r="BK259" s="58"/>
      <c r="BL259" s="59"/>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row>
    <row r="260" spans="1:99" x14ac:dyDescent="0.35">
      <c r="A260" s="46"/>
      <c r="B260" s="46"/>
      <c r="C260" s="46"/>
      <c r="D260" s="46"/>
      <c r="E260" s="46"/>
      <c r="F260" s="46"/>
      <c r="G260" s="46"/>
      <c r="H260" s="46"/>
      <c r="I260" s="46"/>
      <c r="J260" s="47"/>
      <c r="L260" s="58"/>
      <c r="M260" s="58"/>
      <c r="N260" s="58"/>
      <c r="O260" s="58"/>
      <c r="P260" s="269"/>
      <c r="Q260" s="58"/>
      <c r="R260" s="58"/>
      <c r="S260" s="58"/>
      <c r="T260" s="58"/>
      <c r="U260" s="58"/>
      <c r="V260" s="269"/>
      <c r="W260" s="58"/>
      <c r="X260" s="58"/>
      <c r="Y260" s="58"/>
      <c r="Z260" s="58"/>
      <c r="AA260" s="58"/>
      <c r="AB260" s="269"/>
      <c r="AC260" s="58"/>
      <c r="AD260" s="58"/>
      <c r="AE260" s="58"/>
      <c r="AF260" s="58"/>
      <c r="AG260" s="58"/>
      <c r="AH260" s="269"/>
      <c r="AI260" s="58"/>
      <c r="AJ260" s="58"/>
      <c r="AK260" s="58"/>
      <c r="AL260" s="58"/>
      <c r="AM260" s="58"/>
      <c r="AN260" s="59"/>
      <c r="AO260" s="58"/>
      <c r="AP260" s="58"/>
      <c r="AQ260" s="58"/>
      <c r="AR260" s="58"/>
      <c r="AS260" s="58"/>
      <c r="AT260" s="59"/>
      <c r="AU260" s="58"/>
      <c r="AV260" s="58"/>
      <c r="AW260" s="58"/>
      <c r="AX260" s="58"/>
      <c r="AY260" s="58"/>
      <c r="AZ260" s="59"/>
      <c r="BA260" s="58"/>
      <c r="BB260" s="58"/>
      <c r="BC260" s="58"/>
      <c r="BD260" s="58"/>
      <c r="BE260" s="58"/>
      <c r="BF260" s="59"/>
      <c r="BG260" s="58"/>
      <c r="BH260" s="58"/>
      <c r="BI260" s="58"/>
      <c r="BJ260" s="58"/>
      <c r="BK260" s="58"/>
      <c r="BL260" s="59"/>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row>
    <row r="261" spans="1:99" x14ac:dyDescent="0.35">
      <c r="A261" s="46"/>
      <c r="B261" s="46"/>
      <c r="C261" s="46"/>
      <c r="D261" s="46"/>
      <c r="E261" s="46"/>
      <c r="F261" s="46"/>
      <c r="G261" s="46"/>
      <c r="H261" s="46"/>
      <c r="I261" s="46"/>
      <c r="J261" s="47"/>
      <c r="L261" s="58"/>
      <c r="M261" s="58"/>
      <c r="N261" s="58"/>
      <c r="O261" s="58"/>
      <c r="P261" s="269"/>
      <c r="Q261" s="58"/>
      <c r="R261" s="58"/>
      <c r="S261" s="58"/>
      <c r="T261" s="58"/>
      <c r="U261" s="58"/>
      <c r="V261" s="269"/>
      <c r="W261" s="58"/>
      <c r="X261" s="58"/>
      <c r="Y261" s="58"/>
      <c r="Z261" s="58"/>
      <c r="AA261" s="58"/>
      <c r="AB261" s="269"/>
      <c r="AC261" s="58"/>
      <c r="AD261" s="58"/>
      <c r="AE261" s="58"/>
      <c r="AF261" s="58"/>
      <c r="AG261" s="58"/>
      <c r="AH261" s="269"/>
      <c r="AI261" s="58"/>
      <c r="AJ261" s="58"/>
      <c r="AK261" s="58"/>
      <c r="AL261" s="58"/>
      <c r="AM261" s="58"/>
      <c r="AN261" s="59"/>
      <c r="AO261" s="58"/>
      <c r="AP261" s="58"/>
      <c r="AQ261" s="58"/>
      <c r="AR261" s="58"/>
      <c r="AS261" s="58"/>
      <c r="AT261" s="59"/>
      <c r="AU261" s="58"/>
      <c r="AV261" s="58"/>
      <c r="AW261" s="58"/>
      <c r="AX261" s="58"/>
      <c r="AY261" s="58"/>
      <c r="AZ261" s="59"/>
      <c r="BA261" s="58"/>
      <c r="BB261" s="58"/>
      <c r="BC261" s="58"/>
      <c r="BD261" s="58"/>
      <c r="BE261" s="58"/>
      <c r="BF261" s="59"/>
      <c r="BG261" s="58"/>
      <c r="BH261" s="58"/>
      <c r="BI261" s="58"/>
      <c r="BJ261" s="58"/>
      <c r="BK261" s="58"/>
      <c r="BL261" s="59"/>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row>
    <row r="262" spans="1:99" x14ac:dyDescent="0.35">
      <c r="A262" s="46"/>
      <c r="B262" s="46"/>
      <c r="C262" s="46"/>
      <c r="D262" s="46"/>
      <c r="E262" s="46"/>
      <c r="F262" s="46"/>
      <c r="G262" s="46"/>
      <c r="H262" s="46"/>
      <c r="I262" s="46"/>
      <c r="J262" s="47"/>
      <c r="L262" s="58"/>
      <c r="M262" s="58"/>
      <c r="N262" s="58"/>
      <c r="O262" s="58"/>
      <c r="P262" s="269"/>
      <c r="Q262" s="58"/>
      <c r="R262" s="58"/>
      <c r="S262" s="58"/>
      <c r="T262" s="58"/>
      <c r="U262" s="58"/>
      <c r="V262" s="269"/>
      <c r="W262" s="58"/>
      <c r="X262" s="58"/>
      <c r="Y262" s="58"/>
      <c r="Z262" s="58"/>
      <c r="AA262" s="58"/>
      <c r="AB262" s="269"/>
      <c r="AC262" s="58"/>
      <c r="AD262" s="58"/>
      <c r="AE262" s="58"/>
      <c r="AF262" s="58"/>
      <c r="AG262" s="58"/>
      <c r="AH262" s="269"/>
      <c r="AI262" s="58"/>
      <c r="AJ262" s="58"/>
      <c r="AK262" s="58"/>
      <c r="AL262" s="58"/>
      <c r="AM262" s="58"/>
      <c r="AN262" s="59"/>
      <c r="AO262" s="58"/>
      <c r="AP262" s="58"/>
      <c r="AQ262" s="58"/>
      <c r="AR262" s="58"/>
      <c r="AS262" s="58"/>
      <c r="AT262" s="59"/>
      <c r="AU262" s="58"/>
      <c r="AV262" s="58"/>
      <c r="AW262" s="58"/>
      <c r="AX262" s="58"/>
      <c r="AY262" s="58"/>
      <c r="AZ262" s="59"/>
      <c r="BA262" s="58"/>
      <c r="BB262" s="58"/>
      <c r="BC262" s="58"/>
      <c r="BD262" s="58"/>
      <c r="BE262" s="58"/>
      <c r="BF262" s="59"/>
      <c r="BG262" s="58"/>
      <c r="BH262" s="58"/>
      <c r="BI262" s="58"/>
      <c r="BJ262" s="58"/>
      <c r="BK262" s="58"/>
      <c r="BL262" s="59"/>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row>
    <row r="263" spans="1:99" x14ac:dyDescent="0.35">
      <c r="A263" s="46"/>
      <c r="B263" s="46"/>
      <c r="C263" s="46"/>
      <c r="D263" s="46"/>
      <c r="E263" s="46"/>
      <c r="F263" s="46"/>
      <c r="G263" s="46"/>
      <c r="H263" s="46"/>
      <c r="I263" s="46"/>
      <c r="J263" s="47"/>
      <c r="L263" s="58"/>
      <c r="M263" s="58"/>
      <c r="N263" s="58"/>
      <c r="O263" s="58"/>
      <c r="P263" s="269"/>
      <c r="Q263" s="58"/>
      <c r="R263" s="58"/>
      <c r="S263" s="58"/>
      <c r="T263" s="58"/>
      <c r="U263" s="58"/>
      <c r="V263" s="269"/>
      <c r="W263" s="58"/>
      <c r="X263" s="58"/>
      <c r="Y263" s="58"/>
      <c r="Z263" s="58"/>
      <c r="AA263" s="58"/>
      <c r="AB263" s="269"/>
      <c r="AC263" s="58"/>
      <c r="AD263" s="58"/>
      <c r="AE263" s="58"/>
      <c r="AF263" s="58"/>
      <c r="AG263" s="58"/>
      <c r="AH263" s="269"/>
      <c r="AI263" s="58"/>
      <c r="AJ263" s="58"/>
      <c r="AK263" s="58"/>
      <c r="AL263" s="58"/>
      <c r="AM263" s="58"/>
      <c r="AN263" s="59"/>
      <c r="AO263" s="58"/>
      <c r="AP263" s="58"/>
      <c r="AQ263" s="58"/>
      <c r="AR263" s="58"/>
      <c r="AS263" s="58"/>
      <c r="AT263" s="59"/>
      <c r="AU263" s="58"/>
      <c r="AV263" s="58"/>
      <c r="AW263" s="58"/>
      <c r="AX263" s="58"/>
      <c r="AY263" s="58"/>
      <c r="AZ263" s="59"/>
      <c r="BA263" s="58"/>
      <c r="BB263" s="58"/>
      <c r="BC263" s="58"/>
      <c r="BD263" s="58"/>
      <c r="BE263" s="58"/>
      <c r="BF263" s="59"/>
      <c r="BG263" s="58"/>
      <c r="BH263" s="58"/>
      <c r="BI263" s="58"/>
      <c r="BJ263" s="58"/>
      <c r="BK263" s="58"/>
      <c r="BL263" s="59"/>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row>
    <row r="264" spans="1:99" x14ac:dyDescent="0.35">
      <c r="A264" s="46"/>
      <c r="B264" s="46"/>
      <c r="C264" s="46"/>
      <c r="D264" s="46"/>
      <c r="E264" s="46"/>
      <c r="F264" s="46"/>
      <c r="G264" s="46"/>
      <c r="H264" s="46"/>
      <c r="I264" s="46"/>
      <c r="J264" s="47"/>
      <c r="L264" s="58"/>
      <c r="M264" s="58"/>
      <c r="N264" s="58"/>
      <c r="O264" s="58"/>
      <c r="P264" s="269"/>
      <c r="Q264" s="58"/>
      <c r="R264" s="58"/>
      <c r="S264" s="58"/>
      <c r="T264" s="58"/>
      <c r="U264" s="58"/>
      <c r="V264" s="269"/>
      <c r="W264" s="58"/>
      <c r="X264" s="58"/>
      <c r="Y264" s="58"/>
      <c r="Z264" s="58"/>
      <c r="AA264" s="58"/>
      <c r="AB264" s="269"/>
      <c r="AC264" s="58"/>
      <c r="AD264" s="58"/>
      <c r="AE264" s="58"/>
      <c r="AF264" s="58"/>
      <c r="AG264" s="58"/>
      <c r="AH264" s="269"/>
      <c r="AI264" s="58"/>
      <c r="AJ264" s="58"/>
      <c r="AK264" s="58"/>
      <c r="AL264" s="58"/>
      <c r="AM264" s="58"/>
      <c r="AN264" s="59"/>
      <c r="AO264" s="58"/>
      <c r="AP264" s="58"/>
      <c r="AQ264" s="58"/>
      <c r="AR264" s="58"/>
      <c r="AS264" s="58"/>
      <c r="AT264" s="59"/>
      <c r="AU264" s="58"/>
      <c r="AV264" s="58"/>
      <c r="AW264" s="58"/>
      <c r="AX264" s="58"/>
      <c r="AY264" s="58"/>
      <c r="AZ264" s="59"/>
      <c r="BA264" s="58"/>
      <c r="BB264" s="58"/>
      <c r="BC264" s="58"/>
      <c r="BD264" s="58"/>
      <c r="BE264" s="58"/>
      <c r="BF264" s="59"/>
      <c r="BG264" s="58"/>
      <c r="BH264" s="58"/>
      <c r="BI264" s="58"/>
      <c r="BJ264" s="58"/>
      <c r="BK264" s="58"/>
      <c r="BL264" s="59"/>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row>
    <row r="265" spans="1:99" x14ac:dyDescent="0.35">
      <c r="A265" s="46"/>
      <c r="B265" s="46"/>
      <c r="C265" s="46"/>
      <c r="D265" s="46"/>
      <c r="E265" s="46"/>
      <c r="F265" s="46"/>
      <c r="G265" s="46"/>
      <c r="H265" s="46"/>
      <c r="I265" s="46"/>
      <c r="J265" s="47"/>
      <c r="L265" s="58"/>
      <c r="M265" s="58"/>
      <c r="N265" s="58"/>
      <c r="O265" s="58"/>
      <c r="P265" s="269"/>
      <c r="Q265" s="58"/>
      <c r="R265" s="58"/>
      <c r="S265" s="58"/>
      <c r="T265" s="58"/>
      <c r="U265" s="58"/>
      <c r="V265" s="269"/>
      <c r="W265" s="58"/>
      <c r="X265" s="58"/>
      <c r="Y265" s="58"/>
      <c r="Z265" s="58"/>
      <c r="AA265" s="58"/>
      <c r="AB265" s="269"/>
      <c r="AC265" s="58"/>
      <c r="AD265" s="58"/>
      <c r="AE265" s="58"/>
      <c r="AF265" s="58"/>
      <c r="AG265" s="58"/>
      <c r="AH265" s="269"/>
      <c r="AI265" s="58"/>
      <c r="AJ265" s="58"/>
      <c r="AK265" s="58"/>
      <c r="AL265" s="58"/>
      <c r="AM265" s="58"/>
      <c r="AN265" s="59"/>
      <c r="AO265" s="58"/>
      <c r="AP265" s="58"/>
      <c r="AQ265" s="58"/>
      <c r="AR265" s="58"/>
      <c r="AS265" s="58"/>
      <c r="AT265" s="59"/>
      <c r="AU265" s="58"/>
      <c r="AV265" s="58"/>
      <c r="AW265" s="58"/>
      <c r="AX265" s="58"/>
      <c r="AY265" s="58"/>
      <c r="AZ265" s="59"/>
      <c r="BA265" s="58"/>
      <c r="BB265" s="58"/>
      <c r="BC265" s="58"/>
      <c r="BD265" s="58"/>
      <c r="BE265" s="58"/>
      <c r="BF265" s="59"/>
      <c r="BG265" s="58"/>
      <c r="BH265" s="58"/>
      <c r="BI265" s="58"/>
      <c r="BJ265" s="58"/>
      <c r="BK265" s="58"/>
      <c r="BL265" s="59"/>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row>
    <row r="266" spans="1:99" x14ac:dyDescent="0.35">
      <c r="A266" s="46"/>
      <c r="B266" s="46"/>
      <c r="C266" s="46"/>
      <c r="D266" s="46"/>
      <c r="E266" s="46"/>
      <c r="F266" s="46"/>
      <c r="G266" s="46"/>
      <c r="H266" s="46"/>
      <c r="I266" s="46"/>
      <c r="J266" s="47"/>
      <c r="L266" s="58"/>
      <c r="M266" s="58"/>
      <c r="N266" s="58"/>
      <c r="O266" s="58"/>
      <c r="P266" s="269"/>
      <c r="Q266" s="58"/>
      <c r="R266" s="58"/>
      <c r="S266" s="58"/>
      <c r="T266" s="58"/>
      <c r="U266" s="58"/>
      <c r="V266" s="269"/>
      <c r="W266" s="58"/>
      <c r="X266" s="58"/>
      <c r="Y266" s="58"/>
      <c r="Z266" s="58"/>
      <c r="AA266" s="58"/>
      <c r="AB266" s="269"/>
      <c r="AC266" s="58"/>
      <c r="AD266" s="58"/>
      <c r="AE266" s="58"/>
      <c r="AF266" s="58"/>
      <c r="AG266" s="58"/>
      <c r="AH266" s="269"/>
      <c r="AI266" s="58"/>
      <c r="AJ266" s="58"/>
      <c r="AK266" s="58"/>
      <c r="AL266" s="58"/>
      <c r="AM266" s="58"/>
      <c r="AN266" s="59"/>
      <c r="AO266" s="58"/>
      <c r="AP266" s="58"/>
      <c r="AQ266" s="58"/>
      <c r="AR266" s="58"/>
      <c r="AS266" s="58"/>
      <c r="AT266" s="59"/>
      <c r="AU266" s="58"/>
      <c r="AV266" s="58"/>
      <c r="AW266" s="58"/>
      <c r="AX266" s="58"/>
      <c r="AY266" s="58"/>
      <c r="AZ266" s="59"/>
      <c r="BA266" s="58"/>
      <c r="BB266" s="58"/>
      <c r="BC266" s="58"/>
      <c r="BD266" s="58"/>
      <c r="BE266" s="58"/>
      <c r="BF266" s="59"/>
      <c r="BG266" s="58"/>
      <c r="BH266" s="58"/>
      <c r="BI266" s="58"/>
      <c r="BJ266" s="58"/>
      <c r="BK266" s="58"/>
      <c r="BL266" s="59"/>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row>
    <row r="267" spans="1:99" x14ac:dyDescent="0.35">
      <c r="A267" s="46"/>
      <c r="B267" s="46"/>
      <c r="C267" s="46"/>
      <c r="D267" s="46"/>
      <c r="E267" s="46"/>
      <c r="F267" s="46"/>
      <c r="G267" s="46"/>
      <c r="H267" s="46"/>
      <c r="I267" s="46"/>
      <c r="J267" s="47"/>
      <c r="L267" s="58"/>
      <c r="M267" s="58"/>
      <c r="N267" s="58"/>
      <c r="O267" s="58"/>
      <c r="P267" s="269"/>
      <c r="Q267" s="58"/>
      <c r="R267" s="58"/>
      <c r="S267" s="58"/>
      <c r="T267" s="58"/>
      <c r="U267" s="58"/>
      <c r="V267" s="269"/>
      <c r="W267" s="58"/>
      <c r="X267" s="58"/>
      <c r="Y267" s="58"/>
      <c r="Z267" s="58"/>
      <c r="AA267" s="58"/>
      <c r="AB267" s="269"/>
      <c r="AC267" s="58"/>
      <c r="AD267" s="58"/>
      <c r="AE267" s="58"/>
      <c r="AF267" s="58"/>
      <c r="AG267" s="58"/>
      <c r="AH267" s="269"/>
      <c r="AI267" s="58"/>
      <c r="AJ267" s="58"/>
      <c r="AK267" s="58"/>
      <c r="AL267" s="58"/>
      <c r="AM267" s="58"/>
      <c r="AN267" s="59"/>
      <c r="AO267" s="58"/>
      <c r="AP267" s="58"/>
      <c r="AQ267" s="58"/>
      <c r="AR267" s="58"/>
      <c r="AS267" s="58"/>
      <c r="AT267" s="59"/>
      <c r="AU267" s="58"/>
      <c r="AV267" s="58"/>
      <c r="AW267" s="58"/>
      <c r="AX267" s="58"/>
      <c r="AY267" s="58"/>
      <c r="AZ267" s="59"/>
      <c r="BA267" s="58"/>
      <c r="BB267" s="58"/>
      <c r="BC267" s="58"/>
      <c r="BD267" s="58"/>
      <c r="BE267" s="58"/>
      <c r="BF267" s="59"/>
      <c r="BG267" s="58"/>
      <c r="BH267" s="58"/>
      <c r="BI267" s="58"/>
      <c r="BJ267" s="58"/>
      <c r="BK267" s="58"/>
      <c r="BL267" s="59"/>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row>
    <row r="268" spans="1:99" x14ac:dyDescent="0.35">
      <c r="A268" s="46"/>
      <c r="B268" s="46"/>
      <c r="C268" s="46"/>
      <c r="D268" s="46"/>
      <c r="E268" s="46"/>
      <c r="F268" s="46"/>
      <c r="G268" s="46"/>
      <c r="H268" s="46"/>
      <c r="I268" s="46"/>
      <c r="J268" s="47"/>
      <c r="L268" s="58"/>
      <c r="M268" s="58"/>
      <c r="N268" s="58"/>
      <c r="O268" s="58"/>
      <c r="P268" s="269"/>
      <c r="Q268" s="58"/>
      <c r="R268" s="58"/>
      <c r="S268" s="58"/>
      <c r="T268" s="58"/>
      <c r="U268" s="58"/>
      <c r="V268" s="269"/>
      <c r="W268" s="58"/>
      <c r="X268" s="58"/>
      <c r="Y268" s="58"/>
      <c r="Z268" s="58"/>
      <c r="AA268" s="58"/>
      <c r="AB268" s="269"/>
      <c r="AC268" s="58"/>
      <c r="AD268" s="58"/>
      <c r="AE268" s="58"/>
      <c r="AF268" s="58"/>
      <c r="AG268" s="58"/>
      <c r="AH268" s="269"/>
      <c r="AI268" s="58"/>
      <c r="AJ268" s="58"/>
      <c r="AK268" s="58"/>
      <c r="AL268" s="58"/>
      <c r="AM268" s="58"/>
      <c r="AN268" s="59"/>
      <c r="AO268" s="58"/>
      <c r="AP268" s="58"/>
      <c r="AQ268" s="58"/>
      <c r="AR268" s="58"/>
      <c r="AS268" s="58"/>
      <c r="AT268" s="59"/>
      <c r="AU268" s="58"/>
      <c r="AV268" s="58"/>
      <c r="AW268" s="58"/>
      <c r="AX268" s="58"/>
      <c r="AY268" s="58"/>
      <c r="AZ268" s="59"/>
      <c r="BA268" s="58"/>
      <c r="BB268" s="58"/>
      <c r="BC268" s="58"/>
      <c r="BD268" s="58"/>
      <c r="BE268" s="58"/>
      <c r="BF268" s="59"/>
      <c r="BG268" s="58"/>
      <c r="BH268" s="58"/>
      <c r="BI268" s="58"/>
      <c r="BJ268" s="58"/>
      <c r="BK268" s="58"/>
      <c r="BL268" s="59"/>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row>
    <row r="269" spans="1:99" x14ac:dyDescent="0.35">
      <c r="A269" s="46"/>
      <c r="B269" s="46"/>
      <c r="C269" s="46"/>
      <c r="D269" s="46"/>
      <c r="E269" s="46"/>
      <c r="F269" s="46"/>
      <c r="G269" s="46"/>
      <c r="H269" s="46"/>
      <c r="I269" s="46"/>
      <c r="J269" s="47"/>
      <c r="L269" s="58"/>
      <c r="M269" s="58"/>
      <c r="N269" s="58"/>
      <c r="O269" s="58"/>
      <c r="P269" s="269"/>
      <c r="Q269" s="58"/>
      <c r="R269" s="58"/>
      <c r="S269" s="58"/>
      <c r="T269" s="58"/>
      <c r="U269" s="58"/>
      <c r="V269" s="269"/>
      <c r="W269" s="58"/>
      <c r="X269" s="58"/>
      <c r="Y269" s="58"/>
      <c r="Z269" s="58"/>
      <c r="AA269" s="58"/>
      <c r="AB269" s="269"/>
      <c r="AC269" s="58"/>
      <c r="AD269" s="58"/>
      <c r="AE269" s="58"/>
      <c r="AF269" s="58"/>
      <c r="AG269" s="58"/>
      <c r="AH269" s="269"/>
      <c r="AI269" s="58"/>
      <c r="AJ269" s="58"/>
      <c r="AK269" s="58"/>
      <c r="AL269" s="58"/>
      <c r="AM269" s="58"/>
      <c r="AN269" s="59"/>
      <c r="AO269" s="58"/>
      <c r="AP269" s="58"/>
      <c r="AQ269" s="58"/>
      <c r="AR269" s="58"/>
      <c r="AS269" s="58"/>
      <c r="AT269" s="59"/>
      <c r="AU269" s="58"/>
      <c r="AV269" s="58"/>
      <c r="AW269" s="58"/>
      <c r="AX269" s="58"/>
      <c r="AY269" s="58"/>
      <c r="AZ269" s="59"/>
      <c r="BA269" s="58"/>
      <c r="BB269" s="58"/>
      <c r="BC269" s="58"/>
      <c r="BD269" s="58"/>
      <c r="BE269" s="58"/>
      <c r="BF269" s="59"/>
      <c r="BG269" s="58"/>
      <c r="BH269" s="58"/>
      <c r="BI269" s="58"/>
      <c r="BJ269" s="58"/>
      <c r="BK269" s="58"/>
      <c r="BL269" s="59"/>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row>
    <row r="270" spans="1:99" x14ac:dyDescent="0.35">
      <c r="A270" s="46"/>
      <c r="B270" s="46"/>
      <c r="C270" s="46"/>
      <c r="D270" s="46"/>
      <c r="E270" s="46"/>
      <c r="F270" s="46"/>
      <c r="G270" s="46"/>
      <c r="H270" s="46"/>
      <c r="I270" s="46"/>
      <c r="J270" s="47"/>
      <c r="L270" s="58"/>
      <c r="M270" s="58"/>
      <c r="N270" s="58"/>
      <c r="O270" s="58"/>
      <c r="P270" s="269"/>
      <c r="Q270" s="58"/>
      <c r="R270" s="58"/>
      <c r="S270" s="58"/>
      <c r="T270" s="58"/>
      <c r="U270" s="58"/>
      <c r="V270" s="269"/>
      <c r="W270" s="58"/>
      <c r="X270" s="58"/>
      <c r="Y270" s="58"/>
      <c r="Z270" s="58"/>
      <c r="AA270" s="58"/>
      <c r="AB270" s="269"/>
      <c r="AC270" s="58"/>
      <c r="AD270" s="58"/>
      <c r="AE270" s="58"/>
      <c r="AF270" s="58"/>
      <c r="AG270" s="58"/>
      <c r="AH270" s="269"/>
      <c r="AI270" s="58"/>
      <c r="AJ270" s="58"/>
      <c r="AK270" s="58"/>
      <c r="AL270" s="58"/>
      <c r="AM270" s="58"/>
      <c r="AN270" s="59"/>
      <c r="AO270" s="58"/>
      <c r="AP270" s="58"/>
      <c r="AQ270" s="58"/>
      <c r="AR270" s="58"/>
      <c r="AS270" s="58"/>
      <c r="AT270" s="59"/>
      <c r="AU270" s="58"/>
      <c r="AV270" s="58"/>
      <c r="AW270" s="58"/>
      <c r="AX270" s="58"/>
      <c r="AY270" s="58"/>
      <c r="AZ270" s="59"/>
      <c r="BA270" s="58"/>
      <c r="BB270" s="58"/>
      <c r="BC270" s="58"/>
      <c r="BD270" s="58"/>
      <c r="BE270" s="58"/>
      <c r="BF270" s="59"/>
      <c r="BG270" s="58"/>
      <c r="BH270" s="58"/>
      <c r="BI270" s="58"/>
      <c r="BJ270" s="58"/>
      <c r="BK270" s="58"/>
      <c r="BL270" s="59"/>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row>
    <row r="271" spans="1:99" x14ac:dyDescent="0.35">
      <c r="A271" s="46"/>
      <c r="B271" s="46"/>
      <c r="C271" s="46"/>
      <c r="D271" s="46"/>
      <c r="E271" s="46"/>
      <c r="F271" s="46"/>
      <c r="G271" s="46"/>
      <c r="H271" s="46"/>
      <c r="I271" s="46"/>
      <c r="J271" s="47"/>
      <c r="L271" s="58"/>
      <c r="M271" s="58"/>
      <c r="N271" s="58"/>
      <c r="O271" s="58"/>
      <c r="P271" s="269"/>
      <c r="Q271" s="58"/>
      <c r="R271" s="58"/>
      <c r="S271" s="58"/>
      <c r="T271" s="58"/>
      <c r="U271" s="58"/>
      <c r="V271" s="269"/>
      <c r="W271" s="58"/>
      <c r="X271" s="58"/>
      <c r="Y271" s="58"/>
      <c r="Z271" s="58"/>
      <c r="AA271" s="58"/>
      <c r="AB271" s="269"/>
      <c r="AC271" s="58"/>
      <c r="AD271" s="58"/>
      <c r="AE271" s="58"/>
      <c r="AF271" s="58"/>
      <c r="AG271" s="58"/>
      <c r="AH271" s="269"/>
      <c r="AI271" s="58"/>
      <c r="AJ271" s="58"/>
      <c r="AK271" s="58"/>
      <c r="AL271" s="58"/>
      <c r="AM271" s="58"/>
      <c r="AN271" s="59"/>
      <c r="AO271" s="58"/>
      <c r="AP271" s="58"/>
      <c r="AQ271" s="58"/>
      <c r="AR271" s="58"/>
      <c r="AS271" s="58"/>
      <c r="AT271" s="59"/>
      <c r="AU271" s="58"/>
      <c r="AV271" s="58"/>
      <c r="AW271" s="58"/>
      <c r="AX271" s="58"/>
      <c r="AY271" s="58"/>
      <c r="AZ271" s="59"/>
      <c r="BA271" s="58"/>
      <c r="BB271" s="58"/>
      <c r="BC271" s="58"/>
      <c r="BD271" s="58"/>
      <c r="BE271" s="58"/>
      <c r="BF271" s="59"/>
      <c r="BG271" s="58"/>
      <c r="BH271" s="58"/>
      <c r="BI271" s="58"/>
      <c r="BJ271" s="58"/>
      <c r="BK271" s="58"/>
      <c r="BL271" s="59"/>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row>
    <row r="272" spans="1:99" x14ac:dyDescent="0.35">
      <c r="A272" s="46"/>
      <c r="B272" s="46"/>
      <c r="C272" s="46"/>
      <c r="D272" s="46"/>
      <c r="E272" s="46"/>
      <c r="F272" s="46"/>
      <c r="G272" s="46"/>
      <c r="H272" s="46"/>
      <c r="I272" s="46"/>
      <c r="J272" s="47"/>
      <c r="L272" s="58"/>
      <c r="M272" s="58"/>
      <c r="N272" s="58"/>
      <c r="O272" s="58"/>
      <c r="P272" s="269"/>
      <c r="Q272" s="58"/>
      <c r="R272" s="58"/>
      <c r="S272" s="58"/>
      <c r="T272" s="58"/>
      <c r="U272" s="58"/>
      <c r="V272" s="269"/>
      <c r="W272" s="58"/>
      <c r="X272" s="58"/>
      <c r="Y272" s="58"/>
      <c r="Z272" s="58"/>
      <c r="AA272" s="58"/>
      <c r="AB272" s="269"/>
      <c r="AC272" s="58"/>
      <c r="AD272" s="58"/>
      <c r="AE272" s="58"/>
      <c r="AF272" s="58"/>
      <c r="AG272" s="58"/>
      <c r="AH272" s="269"/>
      <c r="AI272" s="58"/>
      <c r="AJ272" s="58"/>
      <c r="AK272" s="58"/>
      <c r="AL272" s="58"/>
      <c r="AM272" s="58"/>
      <c r="AN272" s="59"/>
      <c r="AO272" s="58"/>
      <c r="AP272" s="58"/>
      <c r="AQ272" s="58"/>
      <c r="AR272" s="58"/>
      <c r="AS272" s="58"/>
      <c r="AT272" s="59"/>
      <c r="AU272" s="58"/>
      <c r="AV272" s="58"/>
      <c r="AW272" s="58"/>
      <c r="AX272" s="58"/>
      <c r="AY272" s="58"/>
      <c r="AZ272" s="59"/>
      <c r="BA272" s="58"/>
      <c r="BB272" s="58"/>
      <c r="BC272" s="58"/>
      <c r="BD272" s="58"/>
      <c r="BE272" s="58"/>
      <c r="BF272" s="59"/>
      <c r="BG272" s="58"/>
      <c r="BH272" s="58"/>
      <c r="BI272" s="58"/>
      <c r="BJ272" s="58"/>
      <c r="BK272" s="58"/>
      <c r="BL272" s="59"/>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row>
    <row r="273" spans="1:99" x14ac:dyDescent="0.35">
      <c r="A273" s="46"/>
      <c r="B273" s="46"/>
      <c r="C273" s="46"/>
      <c r="D273" s="46"/>
      <c r="E273" s="46"/>
      <c r="F273" s="46"/>
      <c r="G273" s="46"/>
      <c r="H273" s="46"/>
      <c r="I273" s="46"/>
      <c r="J273" s="47"/>
      <c r="L273" s="58"/>
      <c r="M273" s="58"/>
      <c r="N273" s="58"/>
      <c r="O273" s="58"/>
      <c r="P273" s="269"/>
      <c r="Q273" s="58"/>
      <c r="R273" s="58"/>
      <c r="S273" s="58"/>
      <c r="T273" s="58"/>
      <c r="U273" s="58"/>
      <c r="V273" s="269"/>
      <c r="W273" s="58"/>
      <c r="X273" s="58"/>
      <c r="Y273" s="58"/>
      <c r="Z273" s="58"/>
      <c r="AA273" s="58"/>
      <c r="AB273" s="269"/>
      <c r="AC273" s="58"/>
      <c r="AD273" s="58"/>
      <c r="AE273" s="58"/>
      <c r="AF273" s="58"/>
      <c r="AG273" s="58"/>
      <c r="AH273" s="269"/>
      <c r="AI273" s="58"/>
      <c r="AJ273" s="58"/>
      <c r="AK273" s="58"/>
      <c r="AL273" s="58"/>
      <c r="AM273" s="58"/>
      <c r="AN273" s="59"/>
      <c r="AO273" s="58"/>
      <c r="AP273" s="58"/>
      <c r="AQ273" s="58"/>
      <c r="AR273" s="58"/>
      <c r="AS273" s="58"/>
      <c r="AT273" s="59"/>
      <c r="AU273" s="58"/>
      <c r="AV273" s="58"/>
      <c r="AW273" s="58"/>
      <c r="AX273" s="58"/>
      <c r="AY273" s="58"/>
      <c r="AZ273" s="59"/>
      <c r="BA273" s="58"/>
      <c r="BB273" s="58"/>
      <c r="BC273" s="58"/>
      <c r="BD273" s="58"/>
      <c r="BE273" s="58"/>
      <c r="BF273" s="59"/>
      <c r="BG273" s="58"/>
      <c r="BH273" s="58"/>
      <c r="BI273" s="58"/>
      <c r="BJ273" s="58"/>
      <c r="BK273" s="58"/>
      <c r="BL273" s="59"/>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row>
    <row r="274" spans="1:99" x14ac:dyDescent="0.35">
      <c r="A274" s="46"/>
      <c r="B274" s="46"/>
      <c r="C274" s="46"/>
      <c r="D274" s="46"/>
      <c r="E274" s="46"/>
      <c r="F274" s="46"/>
      <c r="G274" s="46"/>
      <c r="H274" s="46"/>
      <c r="I274" s="46"/>
      <c r="J274" s="47"/>
      <c r="L274" s="58"/>
      <c r="M274" s="58"/>
      <c r="N274" s="58"/>
      <c r="O274" s="58"/>
      <c r="P274" s="269"/>
      <c r="Q274" s="58"/>
      <c r="R274" s="58"/>
      <c r="S274" s="58"/>
      <c r="T274" s="58"/>
      <c r="U274" s="58"/>
      <c r="V274" s="269"/>
      <c r="W274" s="58"/>
      <c r="X274" s="58"/>
      <c r="Y274" s="58"/>
      <c r="Z274" s="58"/>
      <c r="AA274" s="58"/>
      <c r="AB274" s="269"/>
      <c r="AC274" s="58"/>
      <c r="AD274" s="58"/>
      <c r="AE274" s="58"/>
      <c r="AF274" s="58"/>
      <c r="AG274" s="58"/>
      <c r="AH274" s="269"/>
      <c r="AI274" s="58"/>
      <c r="AJ274" s="58"/>
      <c r="AK274" s="58"/>
      <c r="AL274" s="58"/>
      <c r="AM274" s="58"/>
      <c r="AN274" s="59"/>
      <c r="AO274" s="58"/>
      <c r="AP274" s="58"/>
      <c r="AQ274" s="58"/>
      <c r="AR274" s="58"/>
      <c r="AS274" s="58"/>
      <c r="AT274" s="59"/>
      <c r="AU274" s="58"/>
      <c r="AV274" s="58"/>
      <c r="AW274" s="58"/>
      <c r="AX274" s="58"/>
      <c r="AY274" s="58"/>
      <c r="AZ274" s="59"/>
      <c r="BA274" s="58"/>
      <c r="BB274" s="58"/>
      <c r="BC274" s="58"/>
      <c r="BD274" s="58"/>
      <c r="BE274" s="58"/>
      <c r="BF274" s="59"/>
      <c r="BG274" s="58"/>
      <c r="BH274" s="58"/>
      <c r="BI274" s="58"/>
      <c r="BJ274" s="58"/>
      <c r="BK274" s="58"/>
      <c r="BL274" s="59"/>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row>
    <row r="275" spans="1:99" x14ac:dyDescent="0.35">
      <c r="A275" s="46"/>
      <c r="B275" s="46"/>
      <c r="C275" s="46"/>
      <c r="D275" s="46"/>
      <c r="E275" s="46"/>
      <c r="F275" s="46"/>
      <c r="G275" s="46"/>
      <c r="H275" s="46"/>
      <c r="I275" s="46"/>
      <c r="J275" s="47"/>
      <c r="L275" s="58"/>
      <c r="M275" s="58"/>
      <c r="N275" s="58"/>
      <c r="O275" s="58"/>
      <c r="P275" s="269"/>
      <c r="Q275" s="58"/>
      <c r="R275" s="58"/>
      <c r="S275" s="58"/>
      <c r="T275" s="58"/>
      <c r="U275" s="58"/>
      <c r="V275" s="269"/>
      <c r="W275" s="58"/>
      <c r="X275" s="58"/>
      <c r="Y275" s="58"/>
      <c r="Z275" s="58"/>
      <c r="AA275" s="58"/>
      <c r="AB275" s="269"/>
      <c r="AC275" s="58"/>
      <c r="AD275" s="58"/>
      <c r="AE275" s="58"/>
      <c r="AF275" s="58"/>
      <c r="AG275" s="58"/>
      <c r="AH275" s="269"/>
      <c r="AI275" s="58"/>
      <c r="AJ275" s="58"/>
      <c r="AK275" s="58"/>
      <c r="AL275" s="58"/>
      <c r="AM275" s="58"/>
      <c r="AN275" s="59"/>
      <c r="AO275" s="58"/>
      <c r="AP275" s="58"/>
      <c r="AQ275" s="58"/>
      <c r="AR275" s="58"/>
      <c r="AS275" s="58"/>
      <c r="AT275" s="59"/>
      <c r="AU275" s="58"/>
      <c r="AV275" s="58"/>
      <c r="AW275" s="58"/>
      <c r="AX275" s="58"/>
      <c r="AY275" s="58"/>
      <c r="AZ275" s="59"/>
      <c r="BA275" s="58"/>
      <c r="BB275" s="58"/>
      <c r="BC275" s="58"/>
      <c r="BD275" s="58"/>
      <c r="BE275" s="58"/>
      <c r="BF275" s="59"/>
      <c r="BG275" s="58"/>
      <c r="BH275" s="58"/>
      <c r="BI275" s="58"/>
      <c r="BJ275" s="58"/>
      <c r="BK275" s="58"/>
      <c r="BL275" s="59"/>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row>
    <row r="276" spans="1:99" x14ac:dyDescent="0.35">
      <c r="A276" s="46"/>
      <c r="B276" s="46"/>
      <c r="C276" s="46"/>
      <c r="D276" s="46"/>
      <c r="E276" s="46"/>
      <c r="F276" s="46"/>
      <c r="G276" s="46"/>
      <c r="H276" s="46"/>
      <c r="I276" s="46"/>
      <c r="J276" s="47"/>
      <c r="L276" s="58"/>
      <c r="M276" s="58"/>
      <c r="N276" s="58"/>
      <c r="O276" s="58"/>
      <c r="P276" s="269"/>
      <c r="Q276" s="58"/>
      <c r="R276" s="58"/>
      <c r="S276" s="58"/>
      <c r="T276" s="58"/>
      <c r="U276" s="58"/>
      <c r="V276" s="269"/>
      <c r="W276" s="58"/>
      <c r="X276" s="58"/>
      <c r="Y276" s="58"/>
      <c r="Z276" s="58"/>
      <c r="AA276" s="58"/>
      <c r="AB276" s="269"/>
      <c r="AC276" s="58"/>
      <c r="AD276" s="58"/>
      <c r="AE276" s="58"/>
      <c r="AF276" s="58"/>
      <c r="AG276" s="58"/>
      <c r="AH276" s="269"/>
      <c r="AI276" s="58"/>
      <c r="AJ276" s="58"/>
      <c r="AK276" s="58"/>
      <c r="AL276" s="58"/>
      <c r="AM276" s="58"/>
      <c r="AN276" s="59"/>
      <c r="AO276" s="58"/>
      <c r="AP276" s="58"/>
      <c r="AQ276" s="58"/>
      <c r="AR276" s="58"/>
      <c r="AS276" s="58"/>
      <c r="AT276" s="59"/>
      <c r="AU276" s="58"/>
      <c r="AV276" s="58"/>
      <c r="AW276" s="58"/>
      <c r="AX276" s="58"/>
      <c r="AY276" s="58"/>
      <c r="AZ276" s="59"/>
      <c r="BA276" s="58"/>
      <c r="BB276" s="58"/>
      <c r="BC276" s="58"/>
      <c r="BD276" s="58"/>
      <c r="BE276" s="58"/>
      <c r="BF276" s="59"/>
      <c r="BG276" s="58"/>
      <c r="BH276" s="58"/>
      <c r="BI276" s="58"/>
      <c r="BJ276" s="58"/>
      <c r="BK276" s="58"/>
      <c r="BL276" s="59"/>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row>
    <row r="277" spans="1:99" x14ac:dyDescent="0.35">
      <c r="A277" s="46"/>
      <c r="B277" s="46"/>
      <c r="C277" s="46"/>
      <c r="D277" s="46"/>
      <c r="E277" s="46"/>
      <c r="F277" s="46"/>
      <c r="G277" s="46"/>
      <c r="H277" s="46"/>
      <c r="I277" s="46"/>
      <c r="J277" s="47"/>
      <c r="L277" s="58"/>
      <c r="M277" s="58"/>
      <c r="N277" s="58"/>
      <c r="O277" s="58"/>
      <c r="P277" s="269"/>
      <c r="Q277" s="58"/>
      <c r="R277" s="58"/>
      <c r="S277" s="58"/>
      <c r="T277" s="58"/>
      <c r="U277" s="58"/>
      <c r="V277" s="269"/>
      <c r="W277" s="58"/>
      <c r="X277" s="58"/>
      <c r="Y277" s="58"/>
      <c r="Z277" s="58"/>
      <c r="AA277" s="58"/>
      <c r="AB277" s="269"/>
      <c r="AC277" s="58"/>
      <c r="AD277" s="58"/>
      <c r="AE277" s="58"/>
      <c r="AF277" s="58"/>
      <c r="AG277" s="58"/>
      <c r="AH277" s="269"/>
      <c r="AI277" s="58"/>
      <c r="AJ277" s="58"/>
      <c r="AK277" s="58"/>
      <c r="AL277" s="58"/>
      <c r="AM277" s="58"/>
      <c r="AN277" s="59"/>
      <c r="AO277" s="58"/>
      <c r="AP277" s="58"/>
      <c r="AQ277" s="58"/>
      <c r="AR277" s="58"/>
      <c r="AS277" s="58"/>
      <c r="AT277" s="59"/>
      <c r="AU277" s="58"/>
      <c r="AV277" s="58"/>
      <c r="AW277" s="58"/>
      <c r="AX277" s="58"/>
      <c r="AY277" s="58"/>
      <c r="AZ277" s="59"/>
      <c r="BA277" s="58"/>
      <c r="BB277" s="58"/>
      <c r="BC277" s="58"/>
      <c r="BD277" s="58"/>
      <c r="BE277" s="58"/>
      <c r="BF277" s="59"/>
      <c r="BG277" s="58"/>
      <c r="BH277" s="58"/>
      <c r="BI277" s="58"/>
      <c r="BJ277" s="58"/>
      <c r="BK277" s="58"/>
      <c r="BL277" s="59"/>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row>
    <row r="278" spans="1:99" x14ac:dyDescent="0.35">
      <c r="A278" s="46"/>
      <c r="B278" s="46"/>
      <c r="C278" s="46"/>
      <c r="D278" s="46"/>
      <c r="E278" s="46"/>
      <c r="F278" s="46"/>
      <c r="G278" s="46"/>
      <c r="H278" s="46"/>
      <c r="I278" s="46"/>
      <c r="J278" s="47"/>
      <c r="L278" s="58"/>
      <c r="M278" s="58"/>
      <c r="N278" s="58"/>
      <c r="O278" s="58"/>
      <c r="P278" s="269"/>
      <c r="Q278" s="58"/>
      <c r="R278" s="58"/>
      <c r="S278" s="58"/>
      <c r="T278" s="58"/>
      <c r="U278" s="58"/>
      <c r="V278" s="269"/>
      <c r="W278" s="58"/>
      <c r="X278" s="58"/>
      <c r="Y278" s="58"/>
      <c r="Z278" s="58"/>
      <c r="AA278" s="58"/>
      <c r="AB278" s="269"/>
      <c r="AC278" s="58"/>
      <c r="AD278" s="58"/>
      <c r="AE278" s="58"/>
      <c r="AF278" s="58"/>
      <c r="AG278" s="58"/>
      <c r="AH278" s="269"/>
      <c r="AI278" s="58"/>
      <c r="AJ278" s="58"/>
      <c r="AK278" s="58"/>
      <c r="AL278" s="58"/>
      <c r="AM278" s="58"/>
      <c r="AN278" s="59"/>
      <c r="AO278" s="58"/>
      <c r="AP278" s="58"/>
      <c r="AQ278" s="58"/>
      <c r="AR278" s="58"/>
      <c r="AS278" s="58"/>
      <c r="AT278" s="59"/>
      <c r="AU278" s="58"/>
      <c r="AV278" s="58"/>
      <c r="AW278" s="58"/>
      <c r="AX278" s="58"/>
      <c r="AY278" s="58"/>
      <c r="AZ278" s="59"/>
      <c r="BA278" s="58"/>
      <c r="BB278" s="58"/>
      <c r="BC278" s="58"/>
      <c r="BD278" s="58"/>
      <c r="BE278" s="58"/>
      <c r="BF278" s="59"/>
      <c r="BG278" s="58"/>
      <c r="BH278" s="58"/>
      <c r="BI278" s="58"/>
      <c r="BJ278" s="58"/>
      <c r="BK278" s="58"/>
      <c r="BL278" s="59"/>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row>
    <row r="279" spans="1:99" x14ac:dyDescent="0.35">
      <c r="A279" s="46"/>
      <c r="B279" s="46"/>
      <c r="C279" s="46"/>
      <c r="D279" s="46"/>
      <c r="E279" s="46"/>
      <c r="F279" s="46"/>
      <c r="G279" s="46"/>
      <c r="H279" s="46"/>
      <c r="I279" s="46"/>
      <c r="J279" s="47"/>
      <c r="L279" s="58"/>
      <c r="M279" s="58"/>
      <c r="N279" s="58"/>
      <c r="O279" s="58"/>
      <c r="P279" s="269"/>
      <c r="Q279" s="58"/>
      <c r="R279" s="58"/>
      <c r="S279" s="58"/>
      <c r="T279" s="58"/>
      <c r="U279" s="58"/>
      <c r="V279" s="269"/>
      <c r="W279" s="58"/>
      <c r="X279" s="58"/>
      <c r="Y279" s="58"/>
      <c r="Z279" s="58"/>
      <c r="AA279" s="58"/>
      <c r="AB279" s="269"/>
      <c r="AC279" s="58"/>
      <c r="AD279" s="58"/>
      <c r="AE279" s="58"/>
      <c r="AF279" s="58"/>
      <c r="AG279" s="58"/>
      <c r="AH279" s="269"/>
      <c r="AI279" s="58"/>
      <c r="AJ279" s="58"/>
      <c r="AK279" s="58"/>
      <c r="AL279" s="58"/>
      <c r="AM279" s="58"/>
      <c r="AN279" s="59"/>
      <c r="AO279" s="58"/>
      <c r="AP279" s="58"/>
      <c r="AQ279" s="58"/>
      <c r="AR279" s="58"/>
      <c r="AS279" s="58"/>
      <c r="AT279" s="59"/>
      <c r="AU279" s="58"/>
      <c r="AV279" s="58"/>
      <c r="AW279" s="58"/>
      <c r="AX279" s="58"/>
      <c r="AY279" s="58"/>
      <c r="AZ279" s="59"/>
      <c r="BA279" s="58"/>
      <c r="BB279" s="58"/>
      <c r="BC279" s="58"/>
      <c r="BD279" s="58"/>
      <c r="BE279" s="58"/>
      <c r="BF279" s="59"/>
      <c r="BG279" s="58"/>
      <c r="BH279" s="58"/>
      <c r="BI279" s="58"/>
      <c r="BJ279" s="58"/>
      <c r="BK279" s="58"/>
      <c r="BL279" s="59"/>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row>
    <row r="280" spans="1:99" x14ac:dyDescent="0.35">
      <c r="A280" s="46"/>
      <c r="B280" s="46"/>
      <c r="C280" s="46"/>
      <c r="D280" s="46"/>
      <c r="E280" s="46"/>
      <c r="F280" s="46"/>
      <c r="G280" s="46"/>
      <c r="H280" s="46"/>
      <c r="I280" s="46"/>
      <c r="J280" s="47"/>
      <c r="L280" s="58"/>
      <c r="M280" s="58"/>
      <c r="N280" s="58"/>
      <c r="O280" s="58"/>
      <c r="P280" s="269"/>
      <c r="Q280" s="58"/>
      <c r="R280" s="58"/>
      <c r="S280" s="58"/>
      <c r="T280" s="58"/>
      <c r="U280" s="58"/>
      <c r="V280" s="269"/>
      <c r="W280" s="58"/>
      <c r="X280" s="58"/>
      <c r="Y280" s="58"/>
      <c r="Z280" s="58"/>
      <c r="AA280" s="58"/>
      <c r="AB280" s="269"/>
      <c r="AC280" s="58"/>
      <c r="AD280" s="58"/>
      <c r="AE280" s="58"/>
      <c r="AF280" s="58"/>
      <c r="AG280" s="58"/>
      <c r="AH280" s="269"/>
      <c r="AI280" s="58"/>
      <c r="AJ280" s="58"/>
      <c r="AK280" s="58"/>
      <c r="AL280" s="58"/>
      <c r="AM280" s="58"/>
      <c r="AN280" s="59"/>
      <c r="AO280" s="58"/>
      <c r="AP280" s="58"/>
      <c r="AQ280" s="58"/>
      <c r="AR280" s="58"/>
      <c r="AS280" s="58"/>
      <c r="AT280" s="59"/>
      <c r="AU280" s="58"/>
      <c r="AV280" s="58"/>
      <c r="AW280" s="58"/>
      <c r="AX280" s="58"/>
      <c r="AY280" s="58"/>
      <c r="AZ280" s="59"/>
      <c r="BA280" s="58"/>
      <c r="BB280" s="58"/>
      <c r="BC280" s="58"/>
      <c r="BD280" s="58"/>
      <c r="BE280" s="58"/>
      <c r="BF280" s="59"/>
      <c r="BG280" s="58"/>
      <c r="BH280" s="58"/>
      <c r="BI280" s="58"/>
      <c r="BJ280" s="58"/>
      <c r="BK280" s="58"/>
      <c r="BL280" s="59"/>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row>
    <row r="281" spans="1:99" x14ac:dyDescent="0.35">
      <c r="A281" s="46"/>
      <c r="B281" s="46"/>
      <c r="C281" s="46"/>
      <c r="D281" s="46"/>
      <c r="E281" s="46"/>
      <c r="F281" s="46"/>
      <c r="G281" s="46"/>
      <c r="H281" s="46"/>
      <c r="I281" s="46"/>
      <c r="J281" s="47"/>
      <c r="L281" s="58"/>
      <c r="M281" s="58"/>
      <c r="N281" s="58"/>
      <c r="O281" s="58"/>
      <c r="P281" s="269"/>
      <c r="Q281" s="58"/>
      <c r="R281" s="58"/>
      <c r="S281" s="58"/>
      <c r="T281" s="58"/>
      <c r="U281" s="58"/>
      <c r="V281" s="269"/>
      <c r="W281" s="58"/>
      <c r="X281" s="58"/>
      <c r="Y281" s="58"/>
      <c r="Z281" s="58"/>
      <c r="AA281" s="58"/>
      <c r="AB281" s="269"/>
      <c r="AC281" s="58"/>
      <c r="AD281" s="58"/>
      <c r="AE281" s="58"/>
      <c r="AF281" s="58"/>
      <c r="AG281" s="58"/>
      <c r="AH281" s="269"/>
      <c r="AI281" s="58"/>
      <c r="AJ281" s="58"/>
      <c r="AK281" s="58"/>
      <c r="AL281" s="58"/>
      <c r="AM281" s="58"/>
      <c r="AN281" s="59"/>
      <c r="AO281" s="58"/>
      <c r="AP281" s="58"/>
      <c r="AQ281" s="58"/>
      <c r="AR281" s="58"/>
      <c r="AS281" s="58"/>
      <c r="AT281" s="59"/>
      <c r="AU281" s="58"/>
      <c r="AV281" s="58"/>
      <c r="AW281" s="58"/>
      <c r="AX281" s="58"/>
      <c r="AY281" s="58"/>
      <c r="AZ281" s="59"/>
      <c r="BA281" s="58"/>
      <c r="BB281" s="58"/>
      <c r="BC281" s="58"/>
      <c r="BD281" s="58"/>
      <c r="BE281" s="58"/>
      <c r="BF281" s="59"/>
      <c r="BG281" s="58"/>
      <c r="BH281" s="58"/>
      <c r="BI281" s="58"/>
      <c r="BJ281" s="58"/>
      <c r="BK281" s="58"/>
      <c r="BL281" s="59"/>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row>
    <row r="282" spans="1:99" x14ac:dyDescent="0.35">
      <c r="A282" s="46"/>
      <c r="B282" s="46"/>
      <c r="C282" s="46"/>
      <c r="D282" s="46"/>
      <c r="E282" s="46"/>
      <c r="F282" s="46"/>
      <c r="G282" s="46"/>
      <c r="H282" s="46"/>
      <c r="I282" s="46"/>
      <c r="J282" s="47"/>
      <c r="L282" s="58"/>
      <c r="M282" s="58"/>
      <c r="N282" s="58"/>
      <c r="O282" s="58"/>
      <c r="P282" s="269"/>
      <c r="Q282" s="58"/>
      <c r="R282" s="58"/>
      <c r="S282" s="58"/>
      <c r="T282" s="58"/>
      <c r="U282" s="58"/>
      <c r="V282" s="269"/>
      <c r="W282" s="58"/>
      <c r="X282" s="58"/>
      <c r="Y282" s="58"/>
      <c r="Z282" s="58"/>
      <c r="AA282" s="58"/>
      <c r="AB282" s="269"/>
      <c r="AC282" s="58"/>
      <c r="AD282" s="58"/>
      <c r="AE282" s="58"/>
      <c r="AF282" s="58"/>
      <c r="AG282" s="58"/>
      <c r="AH282" s="269"/>
      <c r="AI282" s="58"/>
      <c r="AJ282" s="58"/>
      <c r="AK282" s="58"/>
      <c r="AL282" s="58"/>
      <c r="AM282" s="58"/>
      <c r="AN282" s="59"/>
      <c r="AO282" s="58"/>
      <c r="AP282" s="58"/>
      <c r="AQ282" s="58"/>
      <c r="AR282" s="58"/>
      <c r="AS282" s="58"/>
      <c r="AT282" s="59"/>
      <c r="AU282" s="58"/>
      <c r="AV282" s="58"/>
      <c r="AW282" s="58"/>
      <c r="AX282" s="58"/>
      <c r="AY282" s="58"/>
      <c r="AZ282" s="59"/>
      <c r="BA282" s="58"/>
      <c r="BB282" s="58"/>
      <c r="BC282" s="58"/>
      <c r="BD282" s="58"/>
      <c r="BE282" s="58"/>
      <c r="BF282" s="59"/>
      <c r="BG282" s="58"/>
      <c r="BH282" s="58"/>
      <c r="BI282" s="58"/>
      <c r="BJ282" s="58"/>
      <c r="BK282" s="58"/>
      <c r="BL282" s="59"/>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row>
    <row r="283" spans="1:99" x14ac:dyDescent="0.35">
      <c r="A283" s="46"/>
      <c r="B283" s="46"/>
      <c r="C283" s="46"/>
      <c r="D283" s="46"/>
      <c r="E283" s="46"/>
      <c r="F283" s="46"/>
      <c r="G283" s="46"/>
      <c r="H283" s="46"/>
      <c r="I283" s="46"/>
      <c r="J283" s="47"/>
      <c r="L283" s="58"/>
      <c r="M283" s="58"/>
      <c r="N283" s="58"/>
      <c r="O283" s="58"/>
      <c r="P283" s="269"/>
      <c r="Q283" s="58"/>
      <c r="R283" s="58"/>
      <c r="S283" s="58"/>
      <c r="T283" s="58"/>
      <c r="U283" s="58"/>
      <c r="V283" s="269"/>
      <c r="W283" s="58"/>
      <c r="X283" s="58"/>
      <c r="Y283" s="58"/>
      <c r="Z283" s="58"/>
      <c r="AA283" s="58"/>
      <c r="AB283" s="269"/>
      <c r="AC283" s="58"/>
      <c r="AD283" s="58"/>
      <c r="AE283" s="58"/>
      <c r="AF283" s="58"/>
      <c r="AG283" s="58"/>
      <c r="AH283" s="269"/>
      <c r="AI283" s="58"/>
      <c r="AJ283" s="58"/>
      <c r="AK283" s="58"/>
      <c r="AL283" s="58"/>
      <c r="AM283" s="58"/>
      <c r="AN283" s="59"/>
      <c r="AO283" s="58"/>
      <c r="AP283" s="58"/>
      <c r="AQ283" s="58"/>
      <c r="AR283" s="58"/>
      <c r="AS283" s="58"/>
      <c r="AT283" s="59"/>
      <c r="AU283" s="58"/>
      <c r="AV283" s="58"/>
      <c r="AW283" s="58"/>
      <c r="AX283" s="58"/>
      <c r="AY283" s="58"/>
      <c r="AZ283" s="59"/>
      <c r="BA283" s="58"/>
      <c r="BB283" s="58"/>
      <c r="BC283" s="58"/>
      <c r="BD283" s="58"/>
      <c r="BE283" s="58"/>
      <c r="BF283" s="59"/>
      <c r="BG283" s="58"/>
      <c r="BH283" s="58"/>
      <c r="BI283" s="58"/>
      <c r="BJ283" s="58"/>
      <c r="BK283" s="58"/>
      <c r="BL283" s="59"/>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row>
    <row r="284" spans="1:99" x14ac:dyDescent="0.35">
      <c r="A284" s="46"/>
      <c r="B284" s="46"/>
      <c r="C284" s="46"/>
      <c r="D284" s="46"/>
      <c r="E284" s="46"/>
      <c r="F284" s="46"/>
      <c r="G284" s="46"/>
      <c r="H284" s="46"/>
      <c r="I284" s="46"/>
      <c r="J284" s="47"/>
      <c r="L284" s="58"/>
      <c r="M284" s="58"/>
      <c r="N284" s="58"/>
      <c r="O284" s="58"/>
      <c r="P284" s="269"/>
      <c r="Q284" s="58"/>
      <c r="R284" s="58"/>
      <c r="S284" s="58"/>
      <c r="T284" s="58"/>
      <c r="U284" s="58"/>
      <c r="V284" s="269"/>
      <c r="W284" s="58"/>
      <c r="X284" s="58"/>
      <c r="Y284" s="58"/>
      <c r="Z284" s="58"/>
      <c r="AA284" s="58"/>
      <c r="AB284" s="269"/>
      <c r="AC284" s="58"/>
      <c r="AD284" s="58"/>
      <c r="AE284" s="58"/>
      <c r="AF284" s="58"/>
      <c r="AG284" s="58"/>
      <c r="AH284" s="269"/>
      <c r="AI284" s="58"/>
      <c r="AJ284" s="58"/>
      <c r="AK284" s="58"/>
      <c r="AL284" s="58"/>
      <c r="AM284" s="58"/>
      <c r="AN284" s="59"/>
      <c r="AO284" s="58"/>
      <c r="AP284" s="58"/>
      <c r="AQ284" s="58"/>
      <c r="AR284" s="58"/>
      <c r="AS284" s="58"/>
      <c r="AT284" s="59"/>
      <c r="AU284" s="58"/>
      <c r="AV284" s="58"/>
      <c r="AW284" s="58"/>
      <c r="AX284" s="58"/>
      <c r="AY284" s="58"/>
      <c r="AZ284" s="59"/>
      <c r="BA284" s="58"/>
      <c r="BB284" s="58"/>
      <c r="BC284" s="58"/>
      <c r="BD284" s="58"/>
      <c r="BE284" s="58"/>
      <c r="BF284" s="59"/>
      <c r="BG284" s="58"/>
      <c r="BH284" s="58"/>
      <c r="BI284" s="58"/>
      <c r="BJ284" s="58"/>
      <c r="BK284" s="58"/>
      <c r="BL284" s="59"/>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row>
    <row r="285" spans="1:99" x14ac:dyDescent="0.35">
      <c r="A285" s="46"/>
      <c r="B285" s="46"/>
      <c r="C285" s="46"/>
      <c r="D285" s="46"/>
      <c r="E285" s="46"/>
      <c r="F285" s="46"/>
      <c r="G285" s="46"/>
      <c r="H285" s="46"/>
      <c r="I285" s="46"/>
      <c r="J285" s="47"/>
      <c r="L285" s="58"/>
      <c r="M285" s="58"/>
      <c r="N285" s="58"/>
      <c r="O285" s="58"/>
      <c r="P285" s="269"/>
      <c r="Q285" s="58"/>
      <c r="R285" s="58"/>
      <c r="S285" s="58"/>
      <c r="T285" s="58"/>
      <c r="U285" s="58"/>
      <c r="V285" s="269"/>
      <c r="W285" s="58"/>
      <c r="X285" s="58"/>
      <c r="Y285" s="58"/>
      <c r="Z285" s="58"/>
      <c r="AA285" s="58"/>
      <c r="AB285" s="269"/>
      <c r="AC285" s="58"/>
      <c r="AD285" s="58"/>
      <c r="AE285" s="58"/>
      <c r="AF285" s="58"/>
      <c r="AG285" s="58"/>
      <c r="AH285" s="269"/>
      <c r="AI285" s="58"/>
      <c r="AJ285" s="58"/>
      <c r="AK285" s="58"/>
      <c r="AL285" s="58"/>
      <c r="AM285" s="58"/>
      <c r="AN285" s="59"/>
      <c r="AO285" s="58"/>
      <c r="AP285" s="58"/>
      <c r="AQ285" s="58"/>
      <c r="AR285" s="58"/>
      <c r="AS285" s="58"/>
      <c r="AT285" s="59"/>
      <c r="AU285" s="58"/>
      <c r="AV285" s="58"/>
      <c r="AW285" s="58"/>
      <c r="AX285" s="58"/>
      <c r="AY285" s="58"/>
      <c r="AZ285" s="59"/>
      <c r="BA285" s="58"/>
      <c r="BB285" s="58"/>
      <c r="BC285" s="58"/>
      <c r="BD285" s="58"/>
      <c r="BE285" s="58"/>
      <c r="BF285" s="59"/>
      <c r="BG285" s="58"/>
      <c r="BH285" s="58"/>
      <c r="BI285" s="58"/>
      <c r="BJ285" s="58"/>
      <c r="BK285" s="58"/>
      <c r="BL285" s="59"/>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row>
    <row r="286" spans="1:99" x14ac:dyDescent="0.35">
      <c r="A286" s="46"/>
      <c r="B286" s="46"/>
      <c r="C286" s="46"/>
      <c r="D286" s="46"/>
      <c r="E286" s="46"/>
      <c r="F286" s="46"/>
      <c r="G286" s="46"/>
      <c r="H286" s="46"/>
      <c r="I286" s="46"/>
      <c r="J286" s="47"/>
      <c r="L286" s="58"/>
      <c r="M286" s="58"/>
      <c r="N286" s="58"/>
      <c r="O286" s="58"/>
      <c r="P286" s="269"/>
      <c r="Q286" s="58"/>
      <c r="R286" s="58"/>
      <c r="S286" s="58"/>
      <c r="T286" s="58"/>
      <c r="U286" s="58"/>
      <c r="V286" s="269"/>
      <c r="W286" s="58"/>
      <c r="X286" s="58"/>
      <c r="Y286" s="58"/>
      <c r="Z286" s="58"/>
      <c r="AA286" s="58"/>
      <c r="AB286" s="269"/>
      <c r="AC286" s="58"/>
      <c r="AD286" s="58"/>
      <c r="AE286" s="58"/>
      <c r="AF286" s="58"/>
      <c r="AG286" s="58"/>
      <c r="AH286" s="269"/>
      <c r="AI286" s="58"/>
      <c r="AJ286" s="58"/>
      <c r="AK286" s="58"/>
      <c r="AL286" s="58"/>
      <c r="AM286" s="58"/>
      <c r="AN286" s="59"/>
      <c r="AO286" s="58"/>
      <c r="AP286" s="58"/>
      <c r="AQ286" s="58"/>
      <c r="AR286" s="58"/>
      <c r="AS286" s="58"/>
      <c r="AT286" s="59"/>
      <c r="AU286" s="58"/>
      <c r="AV286" s="58"/>
      <c r="AW286" s="58"/>
      <c r="AX286" s="58"/>
      <c r="AY286" s="58"/>
      <c r="AZ286" s="59"/>
      <c r="BA286" s="58"/>
      <c r="BB286" s="58"/>
      <c r="BC286" s="58"/>
      <c r="BD286" s="58"/>
      <c r="BE286" s="58"/>
      <c r="BF286" s="59"/>
      <c r="BG286" s="58"/>
      <c r="BH286" s="58"/>
      <c r="BI286" s="58"/>
      <c r="BJ286" s="58"/>
      <c r="BK286" s="58"/>
      <c r="BL286" s="59"/>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row>
    <row r="287" spans="1:99" x14ac:dyDescent="0.35">
      <c r="A287" s="46"/>
      <c r="B287" s="46"/>
      <c r="C287" s="46"/>
      <c r="D287" s="46"/>
      <c r="E287" s="46"/>
      <c r="F287" s="46"/>
      <c r="G287" s="46"/>
      <c r="H287" s="46"/>
      <c r="I287" s="46"/>
      <c r="J287" s="47"/>
      <c r="L287" s="58"/>
      <c r="M287" s="58"/>
      <c r="N287" s="58"/>
      <c r="O287" s="58"/>
      <c r="P287" s="269"/>
      <c r="Q287" s="58"/>
      <c r="R287" s="58"/>
      <c r="S287" s="58"/>
      <c r="T287" s="58"/>
      <c r="U287" s="58"/>
      <c r="V287" s="269"/>
      <c r="W287" s="58"/>
      <c r="X287" s="58"/>
      <c r="Y287" s="58"/>
      <c r="Z287" s="58"/>
      <c r="AA287" s="58"/>
      <c r="AB287" s="269"/>
      <c r="AC287" s="58"/>
      <c r="AD287" s="58"/>
      <c r="AE287" s="58"/>
      <c r="AF287" s="58"/>
      <c r="AG287" s="58"/>
      <c r="AH287" s="269"/>
      <c r="AI287" s="58"/>
      <c r="AJ287" s="58"/>
      <c r="AK287" s="58"/>
      <c r="AL287" s="58"/>
      <c r="AM287" s="58"/>
      <c r="AN287" s="59"/>
      <c r="AO287" s="58"/>
      <c r="AP287" s="58"/>
      <c r="AQ287" s="58"/>
      <c r="AR287" s="58"/>
      <c r="AS287" s="58"/>
      <c r="AT287" s="59"/>
      <c r="AU287" s="58"/>
      <c r="AV287" s="58"/>
      <c r="AW287" s="58"/>
      <c r="AX287" s="58"/>
      <c r="AY287" s="58"/>
      <c r="AZ287" s="59"/>
      <c r="BA287" s="58"/>
      <c r="BB287" s="58"/>
      <c r="BC287" s="58"/>
      <c r="BD287" s="58"/>
      <c r="BE287" s="58"/>
      <c r="BF287" s="59"/>
      <c r="BG287" s="58"/>
      <c r="BH287" s="58"/>
      <c r="BI287" s="58"/>
      <c r="BJ287" s="58"/>
      <c r="BK287" s="58"/>
      <c r="BL287" s="59"/>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row>
    <row r="288" spans="1:99" x14ac:dyDescent="0.35">
      <c r="A288" s="46"/>
      <c r="B288" s="46"/>
      <c r="C288" s="46"/>
      <c r="D288" s="46"/>
      <c r="E288" s="46"/>
      <c r="F288" s="46"/>
      <c r="G288" s="46"/>
      <c r="H288" s="46"/>
      <c r="I288" s="46"/>
      <c r="J288" s="47"/>
      <c r="L288" s="58"/>
      <c r="M288" s="58"/>
      <c r="N288" s="58"/>
      <c r="O288" s="58"/>
      <c r="P288" s="269"/>
      <c r="Q288" s="58"/>
      <c r="R288" s="58"/>
      <c r="S288" s="58"/>
      <c r="T288" s="58"/>
      <c r="U288" s="58"/>
      <c r="V288" s="269"/>
      <c r="W288" s="58"/>
      <c r="X288" s="58"/>
      <c r="Y288" s="58"/>
      <c r="Z288" s="58"/>
      <c r="AA288" s="58"/>
      <c r="AB288" s="269"/>
      <c r="AC288" s="58"/>
      <c r="AD288" s="58"/>
      <c r="AE288" s="58"/>
      <c r="AF288" s="58"/>
      <c r="AG288" s="58"/>
      <c r="AH288" s="269"/>
      <c r="AI288" s="58"/>
      <c r="AJ288" s="58"/>
      <c r="AK288" s="58"/>
      <c r="AL288" s="58"/>
      <c r="AM288" s="58"/>
      <c r="AN288" s="59"/>
      <c r="AO288" s="58"/>
      <c r="AP288" s="58"/>
      <c r="AQ288" s="58"/>
      <c r="AR288" s="58"/>
      <c r="AS288" s="58"/>
      <c r="AT288" s="59"/>
      <c r="AU288" s="58"/>
      <c r="AV288" s="58"/>
      <c r="AW288" s="58"/>
      <c r="AX288" s="58"/>
      <c r="AY288" s="58"/>
      <c r="AZ288" s="59"/>
      <c r="BA288" s="58"/>
      <c r="BB288" s="58"/>
      <c r="BC288" s="58"/>
      <c r="BD288" s="58"/>
      <c r="BE288" s="58"/>
      <c r="BF288" s="59"/>
      <c r="BG288" s="58"/>
      <c r="BH288" s="58"/>
      <c r="BI288" s="58"/>
      <c r="BJ288" s="58"/>
      <c r="BK288" s="58"/>
      <c r="BL288" s="59"/>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row>
    <row r="289" spans="1:99" x14ac:dyDescent="0.35">
      <c r="A289" s="46"/>
      <c r="B289" s="46"/>
      <c r="C289" s="46"/>
      <c r="D289" s="46"/>
      <c r="E289" s="46"/>
      <c r="F289" s="46"/>
      <c r="G289" s="46"/>
      <c r="H289" s="46"/>
      <c r="I289" s="46"/>
      <c r="J289" s="47"/>
      <c r="L289" s="58"/>
      <c r="M289" s="58"/>
      <c r="N289" s="58"/>
      <c r="O289" s="58"/>
      <c r="P289" s="269"/>
      <c r="Q289" s="58"/>
      <c r="R289" s="58"/>
      <c r="S289" s="58"/>
      <c r="T289" s="58"/>
      <c r="U289" s="58"/>
      <c r="V289" s="269"/>
      <c r="W289" s="58"/>
      <c r="X289" s="58"/>
      <c r="Y289" s="58"/>
      <c r="Z289" s="58"/>
      <c r="AA289" s="58"/>
      <c r="AB289" s="269"/>
      <c r="AC289" s="58"/>
      <c r="AD289" s="58"/>
      <c r="AE289" s="58"/>
      <c r="AF289" s="58"/>
      <c r="AG289" s="58"/>
      <c r="AH289" s="269"/>
      <c r="AI289" s="58"/>
      <c r="AJ289" s="58"/>
      <c r="AK289" s="58"/>
      <c r="AL289" s="58"/>
      <c r="AM289" s="58"/>
      <c r="AN289" s="59"/>
      <c r="AO289" s="58"/>
      <c r="AP289" s="58"/>
      <c r="AQ289" s="58"/>
      <c r="AR289" s="58"/>
      <c r="AS289" s="58"/>
      <c r="AT289" s="59"/>
      <c r="AU289" s="58"/>
      <c r="AV289" s="58"/>
      <c r="AW289" s="58"/>
      <c r="AX289" s="58"/>
      <c r="AY289" s="58"/>
      <c r="AZ289" s="59"/>
      <c r="BA289" s="58"/>
      <c r="BB289" s="58"/>
      <c r="BC289" s="58"/>
      <c r="BD289" s="58"/>
      <c r="BE289" s="58"/>
      <c r="BF289" s="59"/>
      <c r="BG289" s="58"/>
      <c r="BH289" s="58"/>
      <c r="BI289" s="58"/>
      <c r="BJ289" s="58"/>
      <c r="BK289" s="58"/>
      <c r="BL289" s="59"/>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row>
    <row r="290" spans="1:99" x14ac:dyDescent="0.35">
      <c r="A290" s="46"/>
      <c r="B290" s="46"/>
      <c r="C290" s="46"/>
      <c r="D290" s="46"/>
      <c r="E290" s="46"/>
      <c r="F290" s="46"/>
      <c r="G290" s="46"/>
      <c r="H290" s="46"/>
      <c r="I290" s="46"/>
      <c r="J290" s="47"/>
      <c r="L290" s="58"/>
      <c r="M290" s="58"/>
      <c r="N290" s="58"/>
      <c r="O290" s="58"/>
      <c r="P290" s="269"/>
      <c r="Q290" s="58"/>
      <c r="R290" s="58"/>
      <c r="S290" s="58"/>
      <c r="T290" s="58"/>
      <c r="U290" s="58"/>
      <c r="V290" s="269"/>
      <c r="W290" s="58"/>
      <c r="X290" s="58"/>
      <c r="Y290" s="58"/>
      <c r="Z290" s="58"/>
      <c r="AA290" s="58"/>
      <c r="AB290" s="269"/>
      <c r="AC290" s="58"/>
      <c r="AD290" s="58"/>
      <c r="AE290" s="58"/>
      <c r="AF290" s="58"/>
      <c r="AG290" s="58"/>
      <c r="AH290" s="269"/>
      <c r="AI290" s="58"/>
      <c r="AJ290" s="58"/>
      <c r="AK290" s="58"/>
      <c r="AL290" s="58"/>
      <c r="AM290" s="58"/>
      <c r="AN290" s="59"/>
      <c r="AO290" s="58"/>
      <c r="AP290" s="58"/>
      <c r="AQ290" s="58"/>
      <c r="AR290" s="58"/>
      <c r="AS290" s="58"/>
      <c r="AT290" s="59"/>
      <c r="AU290" s="58"/>
      <c r="AV290" s="58"/>
      <c r="AW290" s="58"/>
      <c r="AX290" s="58"/>
      <c r="AY290" s="58"/>
      <c r="AZ290" s="59"/>
      <c r="BA290" s="58"/>
      <c r="BB290" s="58"/>
      <c r="BC290" s="58"/>
      <c r="BD290" s="58"/>
      <c r="BE290" s="58"/>
      <c r="BF290" s="59"/>
      <c r="BG290" s="58"/>
      <c r="BH290" s="58"/>
      <c r="BI290" s="58"/>
      <c r="BJ290" s="58"/>
      <c r="BK290" s="58"/>
      <c r="BL290" s="59"/>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row>
    <row r="291" spans="1:99" x14ac:dyDescent="0.35">
      <c r="A291" s="46"/>
      <c r="B291" s="46"/>
      <c r="C291" s="46"/>
      <c r="D291" s="46"/>
      <c r="E291" s="46"/>
      <c r="F291" s="46"/>
      <c r="G291" s="46"/>
      <c r="H291" s="46"/>
      <c r="I291" s="46"/>
      <c r="J291" s="47"/>
      <c r="L291" s="58"/>
      <c r="M291" s="58"/>
      <c r="N291" s="58"/>
      <c r="O291" s="58"/>
      <c r="P291" s="269"/>
      <c r="Q291" s="58"/>
      <c r="R291" s="58"/>
      <c r="S291" s="58"/>
      <c r="T291" s="58"/>
      <c r="U291" s="58"/>
      <c r="V291" s="269"/>
      <c r="W291" s="58"/>
      <c r="X291" s="58"/>
      <c r="Y291" s="58"/>
      <c r="Z291" s="58"/>
      <c r="AA291" s="58"/>
      <c r="AB291" s="269"/>
      <c r="AC291" s="58"/>
      <c r="AD291" s="58"/>
      <c r="AE291" s="58"/>
      <c r="AF291" s="58"/>
      <c r="AG291" s="58"/>
      <c r="AH291" s="269"/>
      <c r="AI291" s="58"/>
      <c r="AJ291" s="58"/>
      <c r="AK291" s="58"/>
      <c r="AL291" s="58"/>
      <c r="AM291" s="58"/>
      <c r="AN291" s="59"/>
      <c r="AO291" s="58"/>
      <c r="AP291" s="58"/>
      <c r="AQ291" s="58"/>
      <c r="AR291" s="58"/>
      <c r="AS291" s="58"/>
      <c r="AT291" s="59"/>
      <c r="AU291" s="58"/>
      <c r="AV291" s="58"/>
      <c r="AW291" s="58"/>
      <c r="AX291" s="58"/>
      <c r="AY291" s="58"/>
      <c r="AZ291" s="59"/>
      <c r="BA291" s="58"/>
      <c r="BB291" s="58"/>
      <c r="BC291" s="58"/>
      <c r="BD291" s="58"/>
      <c r="BE291" s="58"/>
      <c r="BF291" s="59"/>
      <c r="BG291" s="58"/>
      <c r="BH291" s="58"/>
      <c r="BI291" s="58"/>
      <c r="BJ291" s="58"/>
      <c r="BK291" s="58"/>
      <c r="BL291" s="59"/>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row>
    <row r="292" spans="1:99" x14ac:dyDescent="0.35">
      <c r="A292" s="46"/>
      <c r="B292" s="46"/>
      <c r="C292" s="46"/>
      <c r="D292" s="46"/>
      <c r="E292" s="46"/>
      <c r="F292" s="46"/>
      <c r="G292" s="46"/>
      <c r="H292" s="46"/>
      <c r="I292" s="46"/>
      <c r="J292" s="47"/>
      <c r="L292" s="58"/>
      <c r="M292" s="58"/>
      <c r="N292" s="58"/>
      <c r="O292" s="58"/>
      <c r="P292" s="269"/>
      <c r="Q292" s="58"/>
      <c r="R292" s="58"/>
      <c r="S292" s="58"/>
      <c r="T292" s="58"/>
      <c r="U292" s="58"/>
      <c r="V292" s="269"/>
      <c r="W292" s="58"/>
      <c r="X292" s="58"/>
      <c r="Y292" s="58"/>
      <c r="Z292" s="58"/>
      <c r="AA292" s="58"/>
      <c r="AB292" s="269"/>
      <c r="AC292" s="58"/>
      <c r="AD292" s="58"/>
      <c r="AE292" s="58"/>
      <c r="AF292" s="58"/>
      <c r="AG292" s="58"/>
      <c r="AH292" s="269"/>
      <c r="AI292" s="58"/>
      <c r="AJ292" s="58"/>
      <c r="AK292" s="58"/>
      <c r="AL292" s="58"/>
      <c r="AM292" s="58"/>
      <c r="AN292" s="59"/>
      <c r="AO292" s="58"/>
      <c r="AP292" s="58"/>
      <c r="AQ292" s="58"/>
      <c r="AR292" s="58"/>
      <c r="AS292" s="58"/>
      <c r="AT292" s="59"/>
      <c r="AU292" s="58"/>
      <c r="AV292" s="58"/>
      <c r="AW292" s="58"/>
      <c r="AX292" s="58"/>
      <c r="AY292" s="58"/>
      <c r="AZ292" s="59"/>
      <c r="BA292" s="58"/>
      <c r="BB292" s="58"/>
      <c r="BC292" s="58"/>
      <c r="BD292" s="58"/>
      <c r="BE292" s="58"/>
      <c r="BF292" s="59"/>
      <c r="BG292" s="58"/>
      <c r="BH292" s="58"/>
      <c r="BI292" s="58"/>
      <c r="BJ292" s="58"/>
      <c r="BK292" s="58"/>
      <c r="BL292" s="59"/>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row>
    <row r="293" spans="1:99" x14ac:dyDescent="0.35">
      <c r="A293" s="46"/>
      <c r="B293" s="46"/>
      <c r="C293" s="46"/>
      <c r="D293" s="46"/>
      <c r="E293" s="46"/>
      <c r="F293" s="46"/>
      <c r="G293" s="46"/>
      <c r="H293" s="46"/>
      <c r="I293" s="46"/>
      <c r="J293" s="47"/>
      <c r="L293" s="58"/>
      <c r="M293" s="58"/>
      <c r="N293" s="58"/>
      <c r="O293" s="58"/>
      <c r="P293" s="269"/>
      <c r="Q293" s="58"/>
      <c r="R293" s="58"/>
      <c r="S293" s="58"/>
      <c r="T293" s="58"/>
      <c r="U293" s="58"/>
      <c r="V293" s="269"/>
      <c r="W293" s="58"/>
      <c r="X293" s="58"/>
      <c r="Y293" s="58"/>
      <c r="Z293" s="58"/>
      <c r="AA293" s="58"/>
      <c r="AB293" s="269"/>
      <c r="AC293" s="58"/>
      <c r="AD293" s="58"/>
      <c r="AE293" s="58"/>
      <c r="AF293" s="58"/>
      <c r="AG293" s="58"/>
      <c r="AH293" s="269"/>
      <c r="AI293" s="58"/>
      <c r="AJ293" s="58"/>
      <c r="AK293" s="58"/>
      <c r="AL293" s="58"/>
      <c r="AM293" s="58"/>
      <c r="AN293" s="59"/>
      <c r="AO293" s="58"/>
      <c r="AP293" s="58"/>
      <c r="AQ293" s="58"/>
      <c r="AR293" s="58"/>
      <c r="AS293" s="58"/>
      <c r="AT293" s="59"/>
      <c r="AU293" s="58"/>
      <c r="AV293" s="58"/>
      <c r="AW293" s="58"/>
      <c r="AX293" s="58"/>
      <c r="AY293" s="58"/>
      <c r="AZ293" s="59"/>
      <c r="BA293" s="58"/>
      <c r="BB293" s="58"/>
      <c r="BC293" s="58"/>
      <c r="BD293" s="58"/>
      <c r="BE293" s="58"/>
      <c r="BF293" s="59"/>
      <c r="BG293" s="58"/>
      <c r="BH293" s="58"/>
      <c r="BI293" s="58"/>
      <c r="BJ293" s="58"/>
      <c r="BK293" s="58"/>
      <c r="BL293" s="59"/>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row>
    <row r="294" spans="1:99" ht="15" thickBot="1" x14ac:dyDescent="0.4">
      <c r="A294" s="44"/>
      <c r="B294" s="44"/>
      <c r="C294" s="44"/>
      <c r="D294" s="44"/>
      <c r="E294" s="44"/>
      <c r="F294" s="44"/>
      <c r="G294" s="44"/>
      <c r="H294" s="44"/>
      <c r="I294" s="44"/>
      <c r="J294" s="45"/>
      <c r="L294" s="58"/>
      <c r="M294" s="58"/>
      <c r="N294" s="58"/>
      <c r="O294" s="58"/>
      <c r="P294" s="269"/>
      <c r="Q294" s="58"/>
      <c r="R294" s="58"/>
      <c r="S294" s="58"/>
      <c r="T294" s="58"/>
      <c r="U294" s="58"/>
      <c r="V294" s="269"/>
      <c r="W294" s="58"/>
      <c r="X294" s="58"/>
      <c r="Y294" s="58"/>
      <c r="Z294" s="58"/>
      <c r="AA294" s="58"/>
      <c r="AB294" s="269"/>
      <c r="AC294" s="58"/>
      <c r="AD294" s="58"/>
      <c r="AE294" s="58"/>
      <c r="AF294" s="58"/>
      <c r="AG294" s="58"/>
      <c r="AH294" s="269"/>
      <c r="AI294" s="58"/>
      <c r="AJ294" s="58"/>
      <c r="AK294" s="58"/>
      <c r="AL294" s="58"/>
      <c r="AM294" s="58"/>
      <c r="AN294" s="59"/>
      <c r="AO294" s="58"/>
      <c r="AP294" s="58"/>
      <c r="AQ294" s="58"/>
      <c r="AR294" s="58"/>
      <c r="AS294" s="58"/>
      <c r="AT294" s="59"/>
      <c r="AU294" s="58"/>
      <c r="AV294" s="58"/>
      <c r="AW294" s="58"/>
      <c r="AX294" s="58"/>
      <c r="AY294" s="58"/>
      <c r="AZ294" s="59"/>
      <c r="BA294" s="58"/>
      <c r="BB294" s="58"/>
      <c r="BC294" s="58"/>
      <c r="BD294" s="58"/>
      <c r="BE294" s="58"/>
      <c r="BF294" s="59"/>
      <c r="BG294" s="58"/>
      <c r="BH294" s="58"/>
      <c r="BI294" s="58"/>
      <c r="BJ294" s="58"/>
      <c r="BK294" s="58"/>
      <c r="BL294" s="59"/>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row>
    <row r="295" spans="1:99" ht="15" thickBot="1" x14ac:dyDescent="0.4">
      <c r="A295" s="14"/>
      <c r="B295" s="14"/>
      <c r="C295" s="14"/>
      <c r="D295" s="14"/>
      <c r="E295" s="14"/>
      <c r="F295" s="14"/>
      <c r="G295" s="14"/>
      <c r="H295" s="14"/>
      <c r="I295" s="14"/>
      <c r="J295" s="15"/>
      <c r="L295" s="58"/>
      <c r="M295" s="58"/>
      <c r="N295" s="58"/>
      <c r="O295" s="58"/>
      <c r="P295" s="269"/>
      <c r="Q295" s="58"/>
      <c r="R295" s="58"/>
      <c r="S295" s="58"/>
      <c r="T295" s="58"/>
      <c r="U295" s="58"/>
      <c r="V295" s="269"/>
      <c r="W295" s="58"/>
      <c r="X295" s="58"/>
      <c r="Y295" s="58"/>
      <c r="Z295" s="58"/>
      <c r="AA295" s="58"/>
      <c r="AB295" s="269"/>
      <c r="AC295" s="58"/>
      <c r="AD295" s="58"/>
      <c r="AE295" s="58"/>
      <c r="AF295" s="58"/>
      <c r="AG295" s="58"/>
      <c r="AH295" s="269"/>
      <c r="AI295" s="58"/>
      <c r="AJ295" s="58"/>
      <c r="AK295" s="58"/>
      <c r="AL295" s="58"/>
      <c r="AM295" s="58"/>
      <c r="AN295" s="59"/>
      <c r="AO295" s="58"/>
      <c r="AP295" s="58"/>
      <c r="AQ295" s="58"/>
      <c r="AR295" s="58"/>
      <c r="AS295" s="58"/>
      <c r="AT295" s="59"/>
      <c r="AU295" s="58"/>
      <c r="AV295" s="58"/>
      <c r="AW295" s="58"/>
      <c r="AX295" s="58"/>
      <c r="AY295" s="58"/>
      <c r="AZ295" s="59"/>
      <c r="BA295" s="58"/>
      <c r="BB295" s="58"/>
      <c r="BC295" s="58"/>
      <c r="BD295" s="58"/>
      <c r="BE295" s="58"/>
      <c r="BF295" s="59"/>
      <c r="BG295" s="58"/>
      <c r="BH295" s="58"/>
      <c r="BI295" s="58"/>
      <c r="BJ295" s="58"/>
      <c r="BK295" s="58"/>
      <c r="BL295" s="59"/>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row>
    <row r="296" spans="1:99" ht="15" thickBot="1" x14ac:dyDescent="0.4">
      <c r="A296" s="14"/>
      <c r="B296" s="14"/>
      <c r="C296" s="14"/>
      <c r="D296" s="14"/>
      <c r="E296" s="14"/>
      <c r="F296" s="14"/>
      <c r="G296" s="14"/>
      <c r="H296" s="14"/>
      <c r="I296" s="14"/>
      <c r="J296" s="15"/>
      <c r="L296" s="58"/>
      <c r="M296" s="58"/>
      <c r="N296" s="58"/>
      <c r="O296" s="58"/>
      <c r="P296" s="269"/>
      <c r="Q296" s="58"/>
      <c r="R296" s="58"/>
      <c r="S296" s="58"/>
      <c r="T296" s="58"/>
      <c r="U296" s="58"/>
      <c r="V296" s="269"/>
      <c r="W296" s="58"/>
      <c r="X296" s="58"/>
      <c r="Y296" s="58"/>
      <c r="Z296" s="58"/>
      <c r="AA296" s="58"/>
      <c r="AB296" s="269"/>
      <c r="AC296" s="58"/>
      <c r="AD296" s="58"/>
      <c r="AE296" s="58"/>
      <c r="AF296" s="58"/>
      <c r="AG296" s="58"/>
      <c r="AH296" s="269"/>
      <c r="AI296" s="58"/>
      <c r="AJ296" s="58"/>
      <c r="AK296" s="58"/>
      <c r="AL296" s="58"/>
      <c r="AM296" s="58"/>
      <c r="AN296" s="59"/>
      <c r="AO296" s="58"/>
      <c r="AP296" s="58"/>
      <c r="AQ296" s="58"/>
      <c r="AR296" s="58"/>
      <c r="AS296" s="58"/>
      <c r="AT296" s="59"/>
      <c r="AU296" s="58"/>
      <c r="AV296" s="58"/>
      <c r="AW296" s="58"/>
      <c r="AX296" s="58"/>
      <c r="AY296" s="58"/>
      <c r="AZ296" s="59"/>
      <c r="BA296" s="58"/>
      <c r="BB296" s="58"/>
      <c r="BC296" s="58"/>
      <c r="BD296" s="58"/>
      <c r="BE296" s="58"/>
      <c r="BF296" s="59"/>
      <c r="BG296" s="58"/>
      <c r="BH296" s="58"/>
      <c r="BI296" s="58"/>
      <c r="BJ296" s="58"/>
      <c r="BK296" s="58"/>
      <c r="BL296" s="59"/>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row>
    <row r="297" spans="1:99" ht="15" thickBot="1" x14ac:dyDescent="0.4">
      <c r="A297" s="14"/>
      <c r="B297" s="14"/>
      <c r="C297" s="14"/>
      <c r="D297" s="14"/>
      <c r="E297" s="14"/>
      <c r="F297" s="14"/>
      <c r="G297" s="14"/>
      <c r="H297" s="14"/>
      <c r="I297" s="14"/>
      <c r="J297" s="15"/>
      <c r="L297" s="58"/>
      <c r="M297" s="58"/>
      <c r="N297" s="58"/>
      <c r="O297" s="58"/>
      <c r="P297" s="269"/>
      <c r="Q297" s="58"/>
      <c r="R297" s="58"/>
      <c r="S297" s="58"/>
      <c r="T297" s="58"/>
      <c r="U297" s="58"/>
      <c r="V297" s="269"/>
      <c r="W297" s="58"/>
      <c r="X297" s="58"/>
      <c r="Y297" s="58"/>
      <c r="Z297" s="58"/>
      <c r="AA297" s="58"/>
      <c r="AB297" s="269"/>
      <c r="AC297" s="58"/>
      <c r="AD297" s="58"/>
      <c r="AE297" s="58"/>
      <c r="AF297" s="58"/>
      <c r="AG297" s="58"/>
      <c r="AH297" s="269"/>
      <c r="AI297" s="58"/>
      <c r="AJ297" s="58"/>
      <c r="AK297" s="58"/>
      <c r="AL297" s="58"/>
      <c r="AM297" s="58"/>
      <c r="AN297" s="59"/>
      <c r="AO297" s="58"/>
      <c r="AP297" s="58"/>
      <c r="AQ297" s="58"/>
      <c r="AR297" s="58"/>
      <c r="AS297" s="58"/>
      <c r="AT297" s="59"/>
      <c r="AU297" s="58"/>
      <c r="AV297" s="58"/>
      <c r="AW297" s="58"/>
      <c r="AX297" s="58"/>
      <c r="AY297" s="58"/>
      <c r="AZ297" s="59"/>
      <c r="BA297" s="58"/>
      <c r="BB297" s="58"/>
      <c r="BC297" s="58"/>
      <c r="BD297" s="58"/>
      <c r="BE297" s="58"/>
      <c r="BF297" s="59"/>
      <c r="BG297" s="58"/>
      <c r="BH297" s="58"/>
      <c r="BI297" s="58"/>
      <c r="BJ297" s="58"/>
      <c r="BK297" s="58"/>
      <c r="BL297" s="59"/>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row>
    <row r="298" spans="1:99" ht="15" thickBot="1" x14ac:dyDescent="0.4">
      <c r="A298" s="14"/>
      <c r="B298" s="14"/>
      <c r="C298" s="14"/>
      <c r="D298" s="14"/>
      <c r="E298" s="14"/>
      <c r="F298" s="14"/>
      <c r="G298" s="14"/>
      <c r="H298" s="14"/>
      <c r="I298" s="14"/>
      <c r="J298" s="15"/>
      <c r="L298" s="58"/>
      <c r="M298" s="58"/>
      <c r="N298" s="58"/>
      <c r="O298" s="58"/>
      <c r="P298" s="269"/>
      <c r="Q298" s="58"/>
      <c r="R298" s="58"/>
      <c r="S298" s="58"/>
      <c r="T298" s="58"/>
      <c r="U298" s="58"/>
      <c r="V298" s="269"/>
      <c r="W298" s="58"/>
      <c r="X298" s="58"/>
      <c r="Y298" s="58"/>
      <c r="Z298" s="58"/>
      <c r="AA298" s="58"/>
      <c r="AB298" s="269"/>
      <c r="AC298" s="58"/>
      <c r="AD298" s="58"/>
      <c r="AE298" s="58"/>
      <c r="AF298" s="58"/>
      <c r="AG298" s="58"/>
      <c r="AH298" s="269"/>
      <c r="AI298" s="58"/>
      <c r="AJ298" s="58"/>
      <c r="AK298" s="58"/>
      <c r="AL298" s="58"/>
      <c r="AM298" s="58"/>
      <c r="AN298" s="59"/>
      <c r="AO298" s="58"/>
      <c r="AP298" s="58"/>
      <c r="AQ298" s="58"/>
      <c r="AR298" s="58"/>
      <c r="AS298" s="58"/>
      <c r="AT298" s="59"/>
      <c r="AU298" s="58"/>
      <c r="AV298" s="58"/>
      <c r="AW298" s="58"/>
      <c r="AX298" s="58"/>
      <c r="AY298" s="58"/>
      <c r="AZ298" s="59"/>
      <c r="BA298" s="58"/>
      <c r="BB298" s="58"/>
      <c r="BC298" s="58"/>
      <c r="BD298" s="58"/>
      <c r="BE298" s="58"/>
      <c r="BF298" s="59"/>
      <c r="BG298" s="58"/>
      <c r="BH298" s="58"/>
      <c r="BI298" s="58"/>
      <c r="BJ298" s="58"/>
      <c r="BK298" s="58"/>
      <c r="BL298" s="59"/>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row>
    <row r="299" spans="1:99" ht="15" thickBot="1" x14ac:dyDescent="0.4">
      <c r="A299" s="14"/>
      <c r="B299" s="14"/>
      <c r="C299" s="14"/>
      <c r="D299" s="14"/>
      <c r="E299" s="14"/>
      <c r="F299" s="14"/>
      <c r="G299" s="14"/>
      <c r="H299" s="14"/>
      <c r="I299" s="14"/>
      <c r="J299" s="15"/>
      <c r="L299" s="58"/>
      <c r="M299" s="58"/>
      <c r="N299" s="58"/>
      <c r="O299" s="58"/>
      <c r="P299" s="269"/>
      <c r="Q299" s="58"/>
      <c r="R299" s="58"/>
      <c r="S299" s="58"/>
      <c r="T299" s="58"/>
      <c r="U299" s="58"/>
      <c r="V299" s="269"/>
      <c r="W299" s="58"/>
      <c r="X299" s="58"/>
      <c r="Y299" s="58"/>
      <c r="Z299" s="58"/>
      <c r="AA299" s="58"/>
      <c r="AB299" s="269"/>
      <c r="AC299" s="58"/>
      <c r="AD299" s="58"/>
      <c r="AE299" s="58"/>
      <c r="AF299" s="58"/>
      <c r="AG299" s="58"/>
      <c r="AH299" s="269"/>
      <c r="AI299" s="58"/>
      <c r="AJ299" s="58"/>
      <c r="AK299" s="58"/>
      <c r="AL299" s="58"/>
      <c r="AM299" s="58"/>
      <c r="AN299" s="59"/>
      <c r="AO299" s="58"/>
      <c r="AP299" s="58"/>
      <c r="AQ299" s="58"/>
      <c r="AR299" s="58"/>
      <c r="AS299" s="58"/>
      <c r="AT299" s="59"/>
      <c r="AU299" s="58"/>
      <c r="AV299" s="58"/>
      <c r="AW299" s="58"/>
      <c r="AX299" s="58"/>
      <c r="AY299" s="58"/>
      <c r="AZ299" s="59"/>
      <c r="BA299" s="58"/>
      <c r="BB299" s="58"/>
      <c r="BC299" s="58"/>
      <c r="BD299" s="58"/>
      <c r="BE299" s="58"/>
      <c r="BF299" s="59"/>
      <c r="BG299" s="58"/>
      <c r="BH299" s="58"/>
      <c r="BI299" s="58"/>
      <c r="BJ299" s="58"/>
      <c r="BK299" s="58"/>
      <c r="BL299" s="59"/>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row>
    <row r="300" spans="1:99" ht="15" thickBot="1" x14ac:dyDescent="0.4">
      <c r="A300" s="14"/>
      <c r="B300" s="14"/>
      <c r="C300" s="14"/>
      <c r="D300" s="14"/>
      <c r="E300" s="14"/>
      <c r="F300" s="14"/>
      <c r="G300" s="14"/>
      <c r="H300" s="14"/>
      <c r="I300" s="14"/>
      <c r="J300" s="15"/>
      <c r="L300" s="58"/>
      <c r="M300" s="58"/>
      <c r="N300" s="58"/>
      <c r="O300" s="58"/>
      <c r="P300" s="269"/>
      <c r="Q300" s="58"/>
      <c r="R300" s="58"/>
      <c r="S300" s="58"/>
      <c r="T300" s="58"/>
      <c r="U300" s="58"/>
      <c r="V300" s="269"/>
      <c r="W300" s="58"/>
      <c r="X300" s="58"/>
      <c r="Y300" s="58"/>
      <c r="Z300" s="58"/>
      <c r="AA300" s="58"/>
      <c r="AB300" s="269"/>
      <c r="AC300" s="58"/>
      <c r="AD300" s="58"/>
      <c r="AE300" s="58"/>
      <c r="AF300" s="58"/>
      <c r="AG300" s="58"/>
      <c r="AH300" s="269"/>
      <c r="AI300" s="58"/>
      <c r="AJ300" s="58"/>
      <c r="AK300" s="58"/>
      <c r="AL300" s="58"/>
      <c r="AM300" s="58"/>
      <c r="AN300" s="59"/>
      <c r="AO300" s="58"/>
      <c r="AP300" s="58"/>
      <c r="AQ300" s="58"/>
      <c r="AR300" s="58"/>
      <c r="AS300" s="58"/>
      <c r="AT300" s="59"/>
      <c r="AU300" s="58"/>
      <c r="AV300" s="58"/>
      <c r="AW300" s="58"/>
      <c r="AX300" s="58"/>
      <c r="AY300" s="58"/>
      <c r="AZ300" s="59"/>
      <c r="BA300" s="58"/>
      <c r="BB300" s="58"/>
      <c r="BC300" s="58"/>
      <c r="BD300" s="58"/>
      <c r="BE300" s="58"/>
      <c r="BF300" s="59"/>
      <c r="BG300" s="58"/>
      <c r="BH300" s="58"/>
      <c r="BI300" s="58"/>
      <c r="BJ300" s="58"/>
      <c r="BK300" s="58"/>
      <c r="BL300" s="59"/>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row>
    <row r="301" spans="1:99" ht="15" thickBot="1" x14ac:dyDescent="0.4">
      <c r="A301" s="14"/>
      <c r="B301" s="14"/>
      <c r="C301" s="14"/>
      <c r="D301" s="14"/>
      <c r="E301" s="14"/>
      <c r="F301" s="14"/>
      <c r="G301" s="14"/>
      <c r="H301" s="14"/>
      <c r="I301" s="14"/>
      <c r="J301" s="15"/>
      <c r="L301" s="58"/>
      <c r="M301" s="58"/>
      <c r="N301" s="58"/>
      <c r="O301" s="58"/>
      <c r="P301" s="269"/>
      <c r="Q301" s="58"/>
      <c r="R301" s="58"/>
      <c r="S301" s="58"/>
      <c r="T301" s="58"/>
      <c r="U301" s="58"/>
      <c r="V301" s="269"/>
      <c r="W301" s="58"/>
      <c r="X301" s="58"/>
      <c r="Y301" s="58"/>
      <c r="Z301" s="58"/>
      <c r="AA301" s="58"/>
      <c r="AB301" s="269"/>
      <c r="AC301" s="58"/>
      <c r="AD301" s="58"/>
      <c r="AE301" s="58"/>
      <c r="AF301" s="58"/>
      <c r="AG301" s="58"/>
      <c r="AH301" s="269"/>
      <c r="AI301" s="58"/>
      <c r="AJ301" s="58"/>
      <c r="AK301" s="58"/>
      <c r="AL301" s="58"/>
      <c r="AM301" s="58"/>
      <c r="AN301" s="59"/>
      <c r="AO301" s="58"/>
      <c r="AP301" s="58"/>
      <c r="AQ301" s="58"/>
      <c r="AR301" s="58"/>
      <c r="AS301" s="58"/>
      <c r="AT301" s="59"/>
      <c r="AU301" s="58"/>
      <c r="AV301" s="58"/>
      <c r="AW301" s="58"/>
      <c r="AX301" s="58"/>
      <c r="AY301" s="58"/>
      <c r="AZ301" s="59"/>
      <c r="BA301" s="58"/>
      <c r="BB301" s="58"/>
      <c r="BC301" s="58"/>
      <c r="BD301" s="58"/>
      <c r="BE301" s="58"/>
      <c r="BF301" s="59"/>
      <c r="BG301" s="58"/>
      <c r="BH301" s="58"/>
      <c r="BI301" s="58"/>
      <c r="BJ301" s="58"/>
      <c r="BK301" s="58"/>
      <c r="BL301" s="59"/>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row>
    <row r="302" spans="1:99" ht="15" thickBot="1" x14ac:dyDescent="0.4">
      <c r="A302" s="14"/>
      <c r="B302" s="14"/>
      <c r="C302" s="14"/>
      <c r="D302" s="14"/>
      <c r="E302" s="14"/>
      <c r="F302" s="14"/>
      <c r="G302" s="14"/>
      <c r="H302" s="14"/>
      <c r="I302" s="14"/>
      <c r="J302" s="15"/>
      <c r="L302" s="58"/>
      <c r="M302" s="58"/>
      <c r="N302" s="58"/>
      <c r="O302" s="58"/>
      <c r="P302" s="269"/>
      <c r="Q302" s="58"/>
      <c r="R302" s="58"/>
      <c r="S302" s="58"/>
      <c r="T302" s="58"/>
      <c r="U302" s="58"/>
      <c r="V302" s="269"/>
      <c r="W302" s="58"/>
      <c r="X302" s="58"/>
      <c r="Y302" s="58"/>
      <c r="Z302" s="58"/>
      <c r="AA302" s="58"/>
      <c r="AB302" s="269"/>
      <c r="AC302" s="58"/>
      <c r="AD302" s="58"/>
      <c r="AE302" s="58"/>
      <c r="AF302" s="58"/>
      <c r="AG302" s="58"/>
      <c r="AH302" s="269"/>
      <c r="AI302" s="58"/>
      <c r="AJ302" s="58"/>
      <c r="AK302" s="58"/>
      <c r="AL302" s="58"/>
      <c r="AM302" s="58"/>
      <c r="AN302" s="59"/>
      <c r="AO302" s="58"/>
      <c r="AP302" s="58"/>
      <c r="AQ302" s="58"/>
      <c r="AR302" s="58"/>
      <c r="AS302" s="58"/>
      <c r="AT302" s="59"/>
      <c r="AU302" s="58"/>
      <c r="AV302" s="58"/>
      <c r="AW302" s="58"/>
      <c r="AX302" s="58"/>
      <c r="AY302" s="58"/>
      <c r="AZ302" s="59"/>
      <c r="BA302" s="58"/>
      <c r="BB302" s="58"/>
      <c r="BC302" s="58"/>
      <c r="BD302" s="58"/>
      <c r="BE302" s="58"/>
      <c r="BF302" s="59"/>
      <c r="BG302" s="58"/>
      <c r="BH302" s="58"/>
      <c r="BI302" s="58"/>
      <c r="BJ302" s="58"/>
      <c r="BK302" s="58"/>
      <c r="BL302" s="59"/>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row>
    <row r="303" spans="1:99" ht="15" thickBot="1" x14ac:dyDescent="0.4">
      <c r="A303" s="14"/>
      <c r="B303" s="14"/>
      <c r="C303" s="14"/>
      <c r="D303" s="14"/>
      <c r="E303" s="14"/>
      <c r="F303" s="14"/>
      <c r="G303" s="14"/>
      <c r="H303" s="14"/>
      <c r="I303" s="14"/>
      <c r="J303" s="15"/>
      <c r="L303" s="58"/>
      <c r="M303" s="58"/>
      <c r="N303" s="58"/>
      <c r="O303" s="58"/>
      <c r="P303" s="269"/>
      <c r="Q303" s="58"/>
      <c r="R303" s="58"/>
      <c r="S303" s="58"/>
      <c r="T303" s="58"/>
      <c r="U303" s="58"/>
      <c r="V303" s="269"/>
      <c r="W303" s="58"/>
      <c r="X303" s="58"/>
      <c r="Y303" s="58"/>
      <c r="Z303" s="58"/>
      <c r="AA303" s="58"/>
      <c r="AB303" s="269"/>
      <c r="AC303" s="58"/>
      <c r="AD303" s="58"/>
      <c r="AE303" s="58"/>
      <c r="AF303" s="58"/>
      <c r="AG303" s="58"/>
      <c r="AH303" s="269"/>
      <c r="AI303" s="58"/>
      <c r="AJ303" s="58"/>
      <c r="AK303" s="58"/>
      <c r="AL303" s="58"/>
      <c r="AM303" s="58"/>
      <c r="AN303" s="59"/>
      <c r="AO303" s="58"/>
      <c r="AP303" s="58"/>
      <c r="AQ303" s="58"/>
      <c r="AR303" s="58"/>
      <c r="AS303" s="58"/>
      <c r="AT303" s="59"/>
      <c r="AU303" s="58"/>
      <c r="AV303" s="58"/>
      <c r="AW303" s="58"/>
      <c r="AX303" s="58"/>
      <c r="AY303" s="58"/>
      <c r="AZ303" s="59"/>
      <c r="BA303" s="58"/>
      <c r="BB303" s="58"/>
      <c r="BC303" s="58"/>
      <c r="BD303" s="58"/>
      <c r="BE303" s="58"/>
      <c r="BF303" s="59"/>
      <c r="BG303" s="58"/>
      <c r="BH303" s="58"/>
      <c r="BI303" s="58"/>
      <c r="BJ303" s="58"/>
      <c r="BK303" s="58"/>
      <c r="BL303" s="59"/>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row>
    <row r="304" spans="1:99" ht="15" thickBot="1" x14ac:dyDescent="0.4">
      <c r="A304" s="14"/>
      <c r="B304" s="14"/>
      <c r="C304" s="14"/>
      <c r="D304" s="14"/>
      <c r="E304" s="14"/>
      <c r="F304" s="14"/>
      <c r="G304" s="14"/>
      <c r="H304" s="14"/>
      <c r="I304" s="14"/>
      <c r="J304" s="15"/>
      <c r="L304" s="58"/>
      <c r="M304" s="58"/>
      <c r="N304" s="58"/>
      <c r="O304" s="58"/>
      <c r="P304" s="269"/>
      <c r="Q304" s="58"/>
      <c r="R304" s="58"/>
      <c r="S304" s="58"/>
      <c r="T304" s="58"/>
      <c r="U304" s="58"/>
      <c r="V304" s="269"/>
      <c r="W304" s="58"/>
      <c r="X304" s="58"/>
      <c r="Y304" s="58"/>
      <c r="Z304" s="58"/>
      <c r="AA304" s="58"/>
      <c r="AB304" s="269"/>
      <c r="AC304" s="58"/>
      <c r="AD304" s="58"/>
      <c r="AE304" s="58"/>
      <c r="AF304" s="58"/>
      <c r="AG304" s="58"/>
      <c r="AH304" s="269"/>
      <c r="AI304" s="58"/>
      <c r="AJ304" s="58"/>
      <c r="AK304" s="58"/>
      <c r="AL304" s="58"/>
      <c r="AM304" s="58"/>
      <c r="AN304" s="59"/>
      <c r="AO304" s="58"/>
      <c r="AP304" s="58"/>
      <c r="AQ304" s="58"/>
      <c r="AR304" s="58"/>
      <c r="AS304" s="58"/>
      <c r="AT304" s="59"/>
      <c r="AU304" s="58"/>
      <c r="AV304" s="58"/>
      <c r="AW304" s="58"/>
      <c r="AX304" s="58"/>
      <c r="AY304" s="58"/>
      <c r="AZ304" s="59"/>
      <c r="BA304" s="58"/>
      <c r="BB304" s="58"/>
      <c r="BC304" s="58"/>
      <c r="BD304" s="58"/>
      <c r="BE304" s="58"/>
      <c r="BF304" s="59"/>
      <c r="BG304" s="58"/>
      <c r="BH304" s="58"/>
      <c r="BI304" s="58"/>
      <c r="BJ304" s="58"/>
      <c r="BK304" s="58"/>
      <c r="BL304" s="59"/>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row>
    <row r="305" spans="1:99" ht="15" thickBot="1" x14ac:dyDescent="0.4">
      <c r="A305" s="14"/>
      <c r="B305" s="14"/>
      <c r="C305" s="14"/>
      <c r="D305" s="14"/>
      <c r="E305" s="14"/>
      <c r="F305" s="14"/>
      <c r="G305" s="14"/>
      <c r="H305" s="14"/>
      <c r="I305" s="14"/>
      <c r="J305" s="15"/>
      <c r="L305" s="58"/>
      <c r="M305" s="58"/>
      <c r="N305" s="58"/>
      <c r="O305" s="58"/>
      <c r="P305" s="269"/>
      <c r="Q305" s="58"/>
      <c r="R305" s="58"/>
      <c r="S305" s="58"/>
      <c r="T305" s="58"/>
      <c r="U305" s="58"/>
      <c r="V305" s="269"/>
      <c r="W305" s="58"/>
      <c r="X305" s="58"/>
      <c r="Y305" s="58"/>
      <c r="Z305" s="58"/>
      <c r="AA305" s="58"/>
      <c r="AB305" s="269"/>
      <c r="AC305" s="58"/>
      <c r="AD305" s="58"/>
      <c r="AE305" s="58"/>
      <c r="AF305" s="58"/>
      <c r="AG305" s="58"/>
      <c r="AH305" s="269"/>
      <c r="AI305" s="58"/>
      <c r="AJ305" s="58"/>
      <c r="AK305" s="58"/>
      <c r="AL305" s="58"/>
      <c r="AM305" s="58"/>
      <c r="AN305" s="59"/>
      <c r="AO305" s="58"/>
      <c r="AP305" s="58"/>
      <c r="AQ305" s="58"/>
      <c r="AR305" s="58"/>
      <c r="AS305" s="58"/>
      <c r="AT305" s="59"/>
      <c r="AU305" s="58"/>
      <c r="AV305" s="58"/>
      <c r="AW305" s="58"/>
      <c r="AX305" s="58"/>
      <c r="AY305" s="58"/>
      <c r="AZ305" s="59"/>
      <c r="BA305" s="58"/>
      <c r="BB305" s="58"/>
      <c r="BC305" s="58"/>
      <c r="BD305" s="58"/>
      <c r="BE305" s="58"/>
      <c r="BF305" s="59"/>
      <c r="BG305" s="58"/>
      <c r="BH305" s="58"/>
      <c r="BI305" s="58"/>
      <c r="BJ305" s="58"/>
      <c r="BK305" s="58"/>
      <c r="BL305" s="59"/>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row>
    <row r="306" spans="1:99" ht="15" thickBot="1" x14ac:dyDescent="0.4">
      <c r="A306" s="14"/>
      <c r="B306" s="14"/>
      <c r="C306" s="14"/>
      <c r="D306" s="14"/>
      <c r="E306" s="14"/>
      <c r="F306" s="14"/>
      <c r="G306" s="14"/>
      <c r="H306" s="14"/>
      <c r="I306" s="14"/>
      <c r="J306" s="15"/>
      <c r="L306" s="58"/>
      <c r="M306" s="58"/>
      <c r="N306" s="58"/>
      <c r="O306" s="58"/>
      <c r="P306" s="269"/>
      <c r="Q306" s="58"/>
      <c r="R306" s="58"/>
      <c r="S306" s="58"/>
      <c r="T306" s="58"/>
      <c r="U306" s="58"/>
      <c r="V306" s="269"/>
      <c r="W306" s="58"/>
      <c r="X306" s="58"/>
      <c r="Y306" s="58"/>
      <c r="Z306" s="58"/>
      <c r="AA306" s="58"/>
      <c r="AB306" s="269"/>
      <c r="AC306" s="58"/>
      <c r="AD306" s="58"/>
      <c r="AE306" s="58"/>
      <c r="AF306" s="58"/>
      <c r="AG306" s="58"/>
      <c r="AH306" s="269"/>
      <c r="AI306" s="58"/>
      <c r="AJ306" s="58"/>
      <c r="AK306" s="58"/>
      <c r="AL306" s="58"/>
      <c r="AM306" s="58"/>
      <c r="AN306" s="59"/>
      <c r="AO306" s="58"/>
      <c r="AP306" s="58"/>
      <c r="AQ306" s="58"/>
      <c r="AR306" s="58"/>
      <c r="AS306" s="58"/>
      <c r="AT306" s="59"/>
      <c r="AU306" s="58"/>
      <c r="AV306" s="58"/>
      <c r="AW306" s="58"/>
      <c r="AX306" s="58"/>
      <c r="AY306" s="58"/>
      <c r="AZ306" s="59"/>
      <c r="BA306" s="58"/>
      <c r="BB306" s="58"/>
      <c r="BC306" s="58"/>
      <c r="BD306" s="58"/>
      <c r="BE306" s="58"/>
      <c r="BF306" s="59"/>
      <c r="BG306" s="58"/>
      <c r="BH306" s="58"/>
      <c r="BI306" s="58"/>
      <c r="BJ306" s="58"/>
      <c r="BK306" s="58"/>
      <c r="BL306" s="59"/>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row>
    <row r="307" spans="1:99" ht="15" thickBot="1" x14ac:dyDescent="0.4">
      <c r="A307" s="14"/>
      <c r="B307" s="14"/>
      <c r="C307" s="14"/>
      <c r="D307" s="14"/>
      <c r="E307" s="14"/>
      <c r="F307" s="14"/>
      <c r="G307" s="14"/>
      <c r="H307" s="14"/>
      <c r="I307" s="14"/>
      <c r="J307" s="15"/>
      <c r="L307" s="58"/>
      <c r="M307" s="58"/>
      <c r="N307" s="58"/>
      <c r="O307" s="58"/>
      <c r="P307" s="269"/>
      <c r="Q307" s="58"/>
      <c r="R307" s="58"/>
      <c r="S307" s="58"/>
      <c r="T307" s="58"/>
      <c r="U307" s="58"/>
      <c r="V307" s="269"/>
      <c r="W307" s="58"/>
      <c r="X307" s="58"/>
      <c r="Y307" s="58"/>
      <c r="Z307" s="58"/>
      <c r="AA307" s="58"/>
      <c r="AB307" s="269"/>
      <c r="AC307" s="58"/>
      <c r="AD307" s="58"/>
      <c r="AE307" s="58"/>
      <c r="AF307" s="58"/>
      <c r="AG307" s="58"/>
      <c r="AH307" s="269"/>
      <c r="AI307" s="58"/>
      <c r="AJ307" s="58"/>
      <c r="AK307" s="58"/>
      <c r="AL307" s="58"/>
      <c r="AM307" s="58"/>
      <c r="AN307" s="59"/>
      <c r="AO307" s="58"/>
      <c r="AP307" s="58"/>
      <c r="AQ307" s="58"/>
      <c r="AR307" s="58"/>
      <c r="AS307" s="58"/>
      <c r="AT307" s="59"/>
      <c r="AU307" s="58"/>
      <c r="AV307" s="58"/>
      <c r="AW307" s="58"/>
      <c r="AX307" s="58"/>
      <c r="AY307" s="58"/>
      <c r="AZ307" s="59"/>
      <c r="BA307" s="58"/>
      <c r="BB307" s="58"/>
      <c r="BC307" s="58"/>
      <c r="BD307" s="58"/>
      <c r="BE307" s="58"/>
      <c r="BF307" s="59"/>
      <c r="BG307" s="58"/>
      <c r="BH307" s="58"/>
      <c r="BI307" s="58"/>
      <c r="BJ307" s="58"/>
      <c r="BK307" s="58"/>
      <c r="BL307" s="59"/>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row>
    <row r="308" spans="1:99" ht="15" thickBot="1" x14ac:dyDescent="0.4">
      <c r="A308" s="14"/>
      <c r="B308" s="14"/>
      <c r="C308" s="14"/>
      <c r="D308" s="14"/>
      <c r="E308" s="14"/>
      <c r="F308" s="14"/>
      <c r="G308" s="14"/>
      <c r="H308" s="14"/>
      <c r="I308" s="14"/>
      <c r="J308" s="15"/>
      <c r="L308" s="58"/>
      <c r="M308" s="58"/>
      <c r="N308" s="58"/>
      <c r="O308" s="58"/>
      <c r="P308" s="269"/>
      <c r="Q308" s="58"/>
      <c r="R308" s="58"/>
      <c r="S308" s="58"/>
      <c r="T308" s="58"/>
      <c r="U308" s="58"/>
      <c r="V308" s="269"/>
      <c r="W308" s="58"/>
      <c r="X308" s="58"/>
      <c r="Y308" s="58"/>
      <c r="Z308" s="58"/>
      <c r="AA308" s="58"/>
      <c r="AB308" s="269"/>
      <c r="AC308" s="58"/>
      <c r="AD308" s="58"/>
      <c r="AE308" s="58"/>
      <c r="AF308" s="58"/>
      <c r="AG308" s="58"/>
      <c r="AH308" s="269"/>
      <c r="AI308" s="58"/>
      <c r="AJ308" s="58"/>
      <c r="AK308" s="58"/>
      <c r="AL308" s="58"/>
      <c r="AM308" s="58"/>
      <c r="AN308" s="59"/>
      <c r="AO308" s="58"/>
      <c r="AP308" s="58"/>
      <c r="AQ308" s="58"/>
      <c r="AR308" s="58"/>
      <c r="AS308" s="58"/>
      <c r="AT308" s="59"/>
      <c r="AU308" s="58"/>
      <c r="AV308" s="58"/>
      <c r="AW308" s="58"/>
      <c r="AX308" s="58"/>
      <c r="AY308" s="58"/>
      <c r="AZ308" s="59"/>
      <c r="BA308" s="58"/>
      <c r="BB308" s="58"/>
      <c r="BC308" s="58"/>
      <c r="BD308" s="58"/>
      <c r="BE308" s="58"/>
      <c r="BF308" s="59"/>
      <c r="BG308" s="58"/>
      <c r="BH308" s="58"/>
      <c r="BI308" s="58"/>
      <c r="BJ308" s="58"/>
      <c r="BK308" s="58"/>
      <c r="BL308" s="59"/>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row>
    <row r="309" spans="1:99" ht="15" thickBot="1" x14ac:dyDescent="0.4">
      <c r="A309" s="14"/>
      <c r="B309" s="14"/>
      <c r="C309" s="14"/>
      <c r="D309" s="14"/>
      <c r="E309" s="14"/>
      <c r="F309" s="14"/>
      <c r="G309" s="14"/>
      <c r="H309" s="14"/>
      <c r="I309" s="14"/>
      <c r="J309" s="15"/>
      <c r="L309" s="58"/>
      <c r="M309" s="58"/>
      <c r="N309" s="58"/>
      <c r="O309" s="58"/>
      <c r="P309" s="269"/>
      <c r="Q309" s="58"/>
      <c r="R309" s="58"/>
      <c r="S309" s="58"/>
      <c r="T309" s="58"/>
      <c r="U309" s="58"/>
      <c r="V309" s="269"/>
      <c r="W309" s="58"/>
      <c r="X309" s="58"/>
      <c r="Y309" s="58"/>
      <c r="Z309" s="58"/>
      <c r="AA309" s="58"/>
      <c r="AB309" s="269"/>
      <c r="AC309" s="58"/>
      <c r="AD309" s="58"/>
      <c r="AE309" s="58"/>
      <c r="AF309" s="58"/>
      <c r="AG309" s="58"/>
      <c r="AH309" s="269"/>
      <c r="AI309" s="58"/>
      <c r="AJ309" s="58"/>
      <c r="AK309" s="58"/>
      <c r="AL309" s="58"/>
      <c r="AM309" s="58"/>
      <c r="AN309" s="59"/>
      <c r="AO309" s="58"/>
      <c r="AP309" s="58"/>
      <c r="AQ309" s="58"/>
      <c r="AR309" s="58"/>
      <c r="AS309" s="58"/>
      <c r="AT309" s="59"/>
      <c r="AU309" s="58"/>
      <c r="AV309" s="58"/>
      <c r="AW309" s="58"/>
      <c r="AX309" s="58"/>
      <c r="AY309" s="58"/>
      <c r="AZ309" s="59"/>
      <c r="BA309" s="58"/>
      <c r="BB309" s="58"/>
      <c r="BC309" s="58"/>
      <c r="BD309" s="58"/>
      <c r="BE309" s="58"/>
      <c r="BF309" s="59"/>
      <c r="BG309" s="58"/>
      <c r="BH309" s="58"/>
      <c r="BI309" s="58"/>
      <c r="BJ309" s="58"/>
      <c r="BK309" s="58"/>
      <c r="BL309" s="59"/>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row>
    <row r="310" spans="1:99" ht="15" thickBot="1" x14ac:dyDescent="0.4">
      <c r="A310" s="14"/>
      <c r="B310" s="14"/>
      <c r="C310" s="14"/>
      <c r="D310" s="14"/>
      <c r="E310" s="14"/>
      <c r="F310" s="14"/>
      <c r="G310" s="14"/>
      <c r="H310" s="14"/>
      <c r="I310" s="14"/>
      <c r="J310" s="15"/>
      <c r="L310" s="58"/>
      <c r="M310" s="58"/>
      <c r="N310" s="58"/>
      <c r="O310" s="58"/>
      <c r="P310" s="269"/>
      <c r="Q310" s="58"/>
      <c r="R310" s="58"/>
      <c r="S310" s="58"/>
      <c r="T310" s="58"/>
      <c r="U310" s="58"/>
      <c r="V310" s="269"/>
      <c r="W310" s="58"/>
      <c r="X310" s="58"/>
      <c r="Y310" s="58"/>
      <c r="Z310" s="58"/>
      <c r="AA310" s="58"/>
      <c r="AB310" s="269"/>
      <c r="AC310" s="58"/>
      <c r="AD310" s="58"/>
      <c r="AE310" s="58"/>
      <c r="AF310" s="58"/>
      <c r="AG310" s="58"/>
      <c r="AH310" s="269"/>
      <c r="AI310" s="58"/>
      <c r="AJ310" s="58"/>
      <c r="AK310" s="58"/>
      <c r="AL310" s="58"/>
      <c r="AM310" s="58"/>
      <c r="AN310" s="59"/>
      <c r="AO310" s="58"/>
      <c r="AP310" s="58"/>
      <c r="AQ310" s="58"/>
      <c r="AR310" s="58"/>
      <c r="AS310" s="58"/>
      <c r="AT310" s="59"/>
      <c r="AU310" s="58"/>
      <c r="AV310" s="58"/>
      <c r="AW310" s="58"/>
      <c r="AX310" s="58"/>
      <c r="AY310" s="58"/>
      <c r="AZ310" s="59"/>
      <c r="BA310" s="58"/>
      <c r="BB310" s="58"/>
      <c r="BC310" s="58"/>
      <c r="BD310" s="58"/>
      <c r="BE310" s="58"/>
      <c r="BF310" s="59"/>
      <c r="BG310" s="58"/>
      <c r="BH310" s="58"/>
      <c r="BI310" s="58"/>
      <c r="BJ310" s="58"/>
      <c r="BK310" s="58"/>
      <c r="BL310" s="59"/>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row>
    <row r="311" spans="1:99" ht="15" thickBot="1" x14ac:dyDescent="0.4">
      <c r="A311" s="14"/>
      <c r="B311" s="14"/>
      <c r="C311" s="14"/>
      <c r="D311" s="14"/>
      <c r="E311" s="14"/>
      <c r="F311" s="14"/>
      <c r="G311" s="14"/>
      <c r="H311" s="14"/>
      <c r="I311" s="14"/>
      <c r="J311" s="15"/>
      <c r="L311" s="58"/>
      <c r="M311" s="58"/>
      <c r="N311" s="58"/>
      <c r="O311" s="58"/>
      <c r="P311" s="269"/>
      <c r="Q311" s="58"/>
      <c r="R311" s="58"/>
      <c r="S311" s="58"/>
      <c r="T311" s="58"/>
      <c r="U311" s="58"/>
      <c r="V311" s="269"/>
      <c r="W311" s="58"/>
      <c r="X311" s="58"/>
      <c r="Y311" s="58"/>
      <c r="Z311" s="58"/>
      <c r="AA311" s="58"/>
      <c r="AB311" s="269"/>
      <c r="AC311" s="58"/>
      <c r="AD311" s="58"/>
      <c r="AE311" s="58"/>
      <c r="AF311" s="58"/>
      <c r="AG311" s="58"/>
      <c r="AH311" s="269"/>
      <c r="AI311" s="58"/>
      <c r="AJ311" s="58"/>
      <c r="AK311" s="58"/>
      <c r="AL311" s="58"/>
      <c r="AM311" s="58"/>
      <c r="AN311" s="59"/>
      <c r="AO311" s="58"/>
      <c r="AP311" s="58"/>
      <c r="AQ311" s="58"/>
      <c r="AR311" s="58"/>
      <c r="AS311" s="58"/>
      <c r="AT311" s="59"/>
      <c r="AU311" s="58"/>
      <c r="AV311" s="58"/>
      <c r="AW311" s="58"/>
      <c r="AX311" s="58"/>
      <c r="AY311" s="58"/>
      <c r="AZ311" s="59"/>
      <c r="BA311" s="58"/>
      <c r="BB311" s="58"/>
      <c r="BC311" s="58"/>
      <c r="BD311" s="58"/>
      <c r="BE311" s="58"/>
      <c r="BF311" s="59"/>
      <c r="BG311" s="58"/>
      <c r="BH311" s="58"/>
      <c r="BI311" s="58"/>
      <c r="BJ311" s="58"/>
      <c r="BK311" s="58"/>
      <c r="BL311" s="59"/>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row>
    <row r="312" spans="1:99" ht="15" thickBot="1" x14ac:dyDescent="0.4">
      <c r="A312" s="14"/>
      <c r="B312" s="14"/>
      <c r="C312" s="14"/>
      <c r="D312" s="14"/>
      <c r="E312" s="14"/>
      <c r="F312" s="14"/>
      <c r="G312" s="14"/>
      <c r="H312" s="14"/>
      <c r="I312" s="14"/>
      <c r="J312" s="15"/>
      <c r="L312" s="58"/>
      <c r="M312" s="58"/>
      <c r="N312" s="58"/>
      <c r="O312" s="58"/>
      <c r="P312" s="269"/>
      <c r="Q312" s="58"/>
      <c r="R312" s="58"/>
      <c r="S312" s="58"/>
      <c r="T312" s="58"/>
      <c r="U312" s="58"/>
      <c r="V312" s="269"/>
      <c r="W312" s="58"/>
      <c r="X312" s="58"/>
      <c r="Y312" s="58"/>
      <c r="Z312" s="58"/>
      <c r="AA312" s="58"/>
      <c r="AB312" s="269"/>
      <c r="AC312" s="58"/>
      <c r="AD312" s="58"/>
      <c r="AE312" s="58"/>
      <c r="AF312" s="58"/>
      <c r="AG312" s="58"/>
      <c r="AH312" s="269"/>
      <c r="AI312" s="58"/>
      <c r="AJ312" s="58"/>
      <c r="AK312" s="58"/>
      <c r="AL312" s="58"/>
      <c r="AM312" s="58"/>
      <c r="AN312" s="59"/>
      <c r="AO312" s="58"/>
      <c r="AP312" s="58"/>
      <c r="AQ312" s="58"/>
      <c r="AR312" s="58"/>
      <c r="AS312" s="58"/>
      <c r="AT312" s="59"/>
      <c r="AU312" s="58"/>
      <c r="AV312" s="58"/>
      <c r="AW312" s="58"/>
      <c r="AX312" s="58"/>
      <c r="AY312" s="58"/>
      <c r="AZ312" s="59"/>
      <c r="BA312" s="58"/>
      <c r="BB312" s="58"/>
      <c r="BC312" s="58"/>
      <c r="BD312" s="58"/>
      <c r="BE312" s="58"/>
      <c r="BF312" s="59"/>
      <c r="BG312" s="58"/>
      <c r="BH312" s="58"/>
      <c r="BI312" s="58"/>
      <c r="BJ312" s="58"/>
      <c r="BK312" s="58"/>
      <c r="BL312" s="59"/>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row>
    <row r="313" spans="1:99" ht="15" thickBot="1" x14ac:dyDescent="0.4">
      <c r="A313" s="14"/>
      <c r="B313" s="14"/>
      <c r="C313" s="14"/>
      <c r="D313" s="14"/>
      <c r="E313" s="14"/>
      <c r="F313" s="14"/>
      <c r="G313" s="14"/>
      <c r="H313" s="14"/>
      <c r="I313" s="14"/>
      <c r="J313" s="15"/>
      <c r="L313" s="58"/>
      <c r="M313" s="58"/>
      <c r="N313" s="58"/>
      <c r="O313" s="58"/>
      <c r="P313" s="269"/>
      <c r="Q313" s="58"/>
      <c r="R313" s="58"/>
      <c r="S313" s="58"/>
      <c r="T313" s="58"/>
      <c r="U313" s="58"/>
      <c r="V313" s="269"/>
      <c r="W313" s="58"/>
      <c r="X313" s="58"/>
      <c r="Y313" s="58"/>
      <c r="Z313" s="58"/>
      <c r="AA313" s="58"/>
      <c r="AB313" s="269"/>
      <c r="AC313" s="58"/>
      <c r="AD313" s="58"/>
      <c r="AE313" s="58"/>
      <c r="AF313" s="58"/>
      <c r="AG313" s="58"/>
      <c r="AH313" s="269"/>
      <c r="AI313" s="58"/>
      <c r="AJ313" s="58"/>
      <c r="AK313" s="58"/>
      <c r="AL313" s="58"/>
      <c r="AM313" s="58"/>
      <c r="AN313" s="59"/>
      <c r="AO313" s="58"/>
      <c r="AP313" s="58"/>
      <c r="AQ313" s="58"/>
      <c r="AR313" s="58"/>
      <c r="AS313" s="58"/>
      <c r="AT313" s="59"/>
      <c r="AU313" s="58"/>
      <c r="AV313" s="58"/>
      <c r="AW313" s="58"/>
      <c r="AX313" s="58"/>
      <c r="AY313" s="58"/>
      <c r="AZ313" s="59"/>
      <c r="BA313" s="58"/>
      <c r="BB313" s="58"/>
      <c r="BC313" s="58"/>
      <c r="BD313" s="58"/>
      <c r="BE313" s="58"/>
      <c r="BF313" s="59"/>
      <c r="BG313" s="58"/>
      <c r="BH313" s="58"/>
      <c r="BI313" s="58"/>
      <c r="BJ313" s="58"/>
      <c r="BK313" s="58"/>
      <c r="BL313" s="59"/>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row>
    <row r="314" spans="1:99" ht="15" thickBot="1" x14ac:dyDescent="0.4">
      <c r="A314" s="14"/>
      <c r="B314" s="14"/>
      <c r="C314" s="14"/>
      <c r="D314" s="14"/>
      <c r="E314" s="14"/>
      <c r="F314" s="14"/>
      <c r="G314" s="14"/>
      <c r="H314" s="14"/>
      <c r="I314" s="14"/>
      <c r="J314" s="15"/>
      <c r="L314" s="58"/>
      <c r="M314" s="58"/>
      <c r="N314" s="58"/>
      <c r="O314" s="58"/>
      <c r="P314" s="269"/>
      <c r="Q314" s="58"/>
      <c r="R314" s="58"/>
      <c r="S314" s="58"/>
      <c r="T314" s="58"/>
      <c r="U314" s="58"/>
      <c r="V314" s="269"/>
      <c r="W314" s="58"/>
      <c r="X314" s="58"/>
      <c r="Y314" s="58"/>
      <c r="Z314" s="58"/>
      <c r="AA314" s="58"/>
      <c r="AB314" s="269"/>
      <c r="AC314" s="58"/>
      <c r="AD314" s="58"/>
      <c r="AE314" s="58"/>
      <c r="AF314" s="58"/>
      <c r="AG314" s="58"/>
      <c r="AH314" s="269"/>
      <c r="AI314" s="58"/>
      <c r="AJ314" s="58"/>
      <c r="AK314" s="58"/>
      <c r="AL314" s="58"/>
      <c r="AM314" s="58"/>
      <c r="AN314" s="59"/>
      <c r="AO314" s="58"/>
      <c r="AP314" s="58"/>
      <c r="AQ314" s="58"/>
      <c r="AR314" s="58"/>
      <c r="AS314" s="58"/>
      <c r="AT314" s="59"/>
      <c r="AU314" s="58"/>
      <c r="AV314" s="58"/>
      <c r="AW314" s="58"/>
      <c r="AX314" s="58"/>
      <c r="AY314" s="58"/>
      <c r="AZ314" s="59"/>
      <c r="BA314" s="58"/>
      <c r="BB314" s="58"/>
      <c r="BC314" s="58"/>
      <c r="BD314" s="58"/>
      <c r="BE314" s="58"/>
      <c r="BF314" s="59"/>
      <c r="BG314" s="58"/>
      <c r="BH314" s="58"/>
      <c r="BI314" s="58"/>
      <c r="BJ314" s="58"/>
      <c r="BK314" s="58"/>
      <c r="BL314" s="59"/>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row>
    <row r="315" spans="1:99" ht="15" thickBot="1" x14ac:dyDescent="0.4">
      <c r="A315" s="14"/>
      <c r="B315" s="14"/>
      <c r="C315" s="14"/>
      <c r="D315" s="14"/>
      <c r="E315" s="14"/>
      <c r="F315" s="14"/>
      <c r="G315" s="14"/>
      <c r="H315" s="14"/>
      <c r="I315" s="14"/>
      <c r="J315" s="15"/>
      <c r="L315" s="58"/>
      <c r="M315" s="58"/>
      <c r="N315" s="58"/>
      <c r="O315" s="58"/>
      <c r="P315" s="269"/>
      <c r="Q315" s="58"/>
      <c r="R315" s="58"/>
      <c r="S315" s="58"/>
      <c r="T315" s="58"/>
      <c r="U315" s="58"/>
      <c r="V315" s="269"/>
      <c r="W315" s="58"/>
      <c r="X315" s="58"/>
      <c r="Y315" s="58"/>
      <c r="Z315" s="58"/>
      <c r="AA315" s="58"/>
      <c r="AB315" s="269"/>
      <c r="AC315" s="58"/>
      <c r="AD315" s="58"/>
      <c r="AE315" s="58"/>
      <c r="AF315" s="58"/>
      <c r="AG315" s="58"/>
      <c r="AH315" s="269"/>
      <c r="AI315" s="58"/>
      <c r="AJ315" s="58"/>
      <c r="AK315" s="58"/>
      <c r="AL315" s="58"/>
      <c r="AM315" s="58"/>
      <c r="AN315" s="59"/>
      <c r="AO315" s="58"/>
      <c r="AP315" s="58"/>
      <c r="AQ315" s="58"/>
      <c r="AR315" s="58"/>
      <c r="AS315" s="58"/>
      <c r="AT315" s="59"/>
      <c r="AU315" s="58"/>
      <c r="AV315" s="58"/>
      <c r="AW315" s="58"/>
      <c r="AX315" s="58"/>
      <c r="AY315" s="58"/>
      <c r="AZ315" s="59"/>
      <c r="BA315" s="58"/>
      <c r="BB315" s="58"/>
      <c r="BC315" s="58"/>
      <c r="BD315" s="58"/>
      <c r="BE315" s="58"/>
      <c r="BF315" s="59"/>
      <c r="BG315" s="58"/>
      <c r="BH315" s="58"/>
      <c r="BI315" s="58"/>
      <c r="BJ315" s="58"/>
      <c r="BK315" s="58"/>
      <c r="BL315" s="59"/>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row>
    <row r="316" spans="1:99" ht="15" thickBot="1" x14ac:dyDescent="0.4">
      <c r="A316" s="14"/>
      <c r="B316" s="14"/>
      <c r="C316" s="14"/>
      <c r="D316" s="14"/>
      <c r="E316" s="14"/>
      <c r="F316" s="14"/>
      <c r="G316" s="14"/>
      <c r="H316" s="14"/>
      <c r="I316" s="14"/>
      <c r="J316" s="15"/>
      <c r="L316" s="58"/>
      <c r="M316" s="58"/>
      <c r="N316" s="58"/>
      <c r="O316" s="58"/>
      <c r="P316" s="269"/>
      <c r="Q316" s="58"/>
      <c r="R316" s="58"/>
      <c r="S316" s="58"/>
      <c r="T316" s="58"/>
      <c r="U316" s="58"/>
      <c r="V316" s="269"/>
      <c r="W316" s="58"/>
      <c r="X316" s="58"/>
      <c r="Y316" s="58"/>
      <c r="Z316" s="58"/>
      <c r="AA316" s="58"/>
      <c r="AB316" s="269"/>
      <c r="AC316" s="58"/>
      <c r="AD316" s="58"/>
      <c r="AE316" s="58"/>
      <c r="AF316" s="58"/>
      <c r="AG316" s="58"/>
      <c r="AH316" s="269"/>
      <c r="AI316" s="58"/>
      <c r="AJ316" s="58"/>
      <c r="AK316" s="58"/>
      <c r="AL316" s="58"/>
      <c r="AM316" s="58"/>
      <c r="AN316" s="59"/>
      <c r="AO316" s="58"/>
      <c r="AP316" s="58"/>
      <c r="AQ316" s="58"/>
      <c r="AR316" s="58"/>
      <c r="AS316" s="58"/>
      <c r="AT316" s="59"/>
      <c r="AU316" s="58"/>
      <c r="AV316" s="58"/>
      <c r="AW316" s="58"/>
      <c r="AX316" s="58"/>
      <c r="AY316" s="58"/>
      <c r="AZ316" s="59"/>
      <c r="BA316" s="58"/>
      <c r="BB316" s="58"/>
      <c r="BC316" s="58"/>
      <c r="BD316" s="58"/>
      <c r="BE316" s="58"/>
      <c r="BF316" s="59"/>
      <c r="BG316" s="58"/>
      <c r="BH316" s="58"/>
      <c r="BI316" s="58"/>
      <c r="BJ316" s="58"/>
      <c r="BK316" s="58"/>
      <c r="BL316" s="59"/>
      <c r="BM316" s="58"/>
      <c r="BN316" s="58"/>
      <c r="BO316" s="58"/>
      <c r="BP316" s="58"/>
      <c r="BQ316" s="58"/>
      <c r="BR316" s="58"/>
      <c r="BS316" s="58"/>
      <c r="BT316" s="58"/>
      <c r="BU316" s="58"/>
      <c r="BV316" s="58"/>
      <c r="BW316" s="58"/>
      <c r="BX316" s="58"/>
      <c r="BY316" s="58"/>
      <c r="BZ316" s="58"/>
      <c r="CA316" s="58"/>
      <c r="CB316" s="58"/>
      <c r="CC316" s="58"/>
      <c r="CD316" s="58"/>
      <c r="CE316" s="58"/>
      <c r="CF316" s="58"/>
      <c r="CG316" s="58"/>
      <c r="CH316" s="58"/>
      <c r="CI316" s="58"/>
      <c r="CJ316" s="58"/>
      <c r="CK316" s="58"/>
      <c r="CL316" s="58"/>
      <c r="CM316" s="58"/>
      <c r="CN316" s="58"/>
      <c r="CO316" s="58"/>
      <c r="CP316" s="58"/>
      <c r="CQ316" s="58"/>
      <c r="CR316" s="58"/>
      <c r="CS316" s="58"/>
      <c r="CT316" s="58"/>
      <c r="CU316" s="58"/>
    </row>
    <row r="317" spans="1:99" ht="15" thickBot="1" x14ac:dyDescent="0.4">
      <c r="A317" s="14"/>
      <c r="B317" s="14"/>
      <c r="C317" s="14"/>
      <c r="D317" s="14"/>
      <c r="E317" s="14"/>
      <c r="F317" s="14"/>
      <c r="G317" s="14"/>
      <c r="H317" s="14"/>
      <c r="I317" s="14"/>
      <c r="J317" s="15"/>
      <c r="L317" s="58"/>
      <c r="M317" s="58"/>
      <c r="N317" s="58"/>
      <c r="O317" s="58"/>
      <c r="P317" s="269"/>
      <c r="Q317" s="58"/>
      <c r="R317" s="58"/>
      <c r="S317" s="58"/>
      <c r="T317" s="58"/>
      <c r="U317" s="58"/>
      <c r="V317" s="269"/>
      <c r="W317" s="58"/>
      <c r="X317" s="58"/>
      <c r="Y317" s="58"/>
      <c r="Z317" s="58"/>
      <c r="AA317" s="58"/>
      <c r="AB317" s="269"/>
      <c r="AC317" s="58"/>
      <c r="AD317" s="58"/>
      <c r="AE317" s="58"/>
      <c r="AF317" s="58"/>
      <c r="AG317" s="58"/>
      <c r="AH317" s="269"/>
      <c r="AI317" s="58"/>
      <c r="AJ317" s="58"/>
      <c r="AK317" s="58"/>
      <c r="AL317" s="58"/>
      <c r="AM317" s="58"/>
      <c r="AN317" s="59"/>
      <c r="AO317" s="58"/>
      <c r="AP317" s="58"/>
      <c r="AQ317" s="58"/>
      <c r="AR317" s="58"/>
      <c r="AS317" s="58"/>
      <c r="AT317" s="59"/>
      <c r="AU317" s="58"/>
      <c r="AV317" s="58"/>
      <c r="AW317" s="58"/>
      <c r="AX317" s="58"/>
      <c r="AY317" s="58"/>
      <c r="AZ317" s="59"/>
      <c r="BA317" s="58"/>
      <c r="BB317" s="58"/>
      <c r="BC317" s="58"/>
      <c r="BD317" s="58"/>
      <c r="BE317" s="58"/>
      <c r="BF317" s="59"/>
      <c r="BG317" s="58"/>
      <c r="BH317" s="58"/>
      <c r="BI317" s="58"/>
      <c r="BJ317" s="58"/>
      <c r="BK317" s="58"/>
      <c r="BL317" s="59"/>
      <c r="BM317" s="58"/>
      <c r="BN317" s="58"/>
      <c r="BO317" s="58"/>
      <c r="BP317" s="58"/>
      <c r="BQ317" s="58"/>
      <c r="BR317" s="58"/>
      <c r="BS317" s="58"/>
      <c r="BT317" s="58"/>
      <c r="BU317" s="58"/>
      <c r="BV317" s="58"/>
      <c r="BW317" s="58"/>
      <c r="BX317" s="58"/>
      <c r="BY317" s="58"/>
      <c r="BZ317" s="58"/>
      <c r="CA317" s="58"/>
      <c r="CB317" s="58"/>
      <c r="CC317" s="58"/>
      <c r="CD317" s="58"/>
      <c r="CE317" s="58"/>
      <c r="CF317" s="58"/>
      <c r="CG317" s="58"/>
      <c r="CH317" s="58"/>
      <c r="CI317" s="58"/>
      <c r="CJ317" s="58"/>
      <c r="CK317" s="58"/>
      <c r="CL317" s="58"/>
      <c r="CM317" s="58"/>
      <c r="CN317" s="58"/>
      <c r="CO317" s="58"/>
      <c r="CP317" s="58"/>
      <c r="CQ317" s="58"/>
      <c r="CR317" s="58"/>
      <c r="CS317" s="58"/>
      <c r="CT317" s="58"/>
      <c r="CU317" s="58"/>
    </row>
    <row r="318" spans="1:99" ht="15" thickBot="1" x14ac:dyDescent="0.4">
      <c r="A318" s="14"/>
      <c r="B318" s="14"/>
      <c r="C318" s="14"/>
      <c r="D318" s="14"/>
      <c r="E318" s="14"/>
      <c r="F318" s="14"/>
      <c r="G318" s="14"/>
      <c r="H318" s="14"/>
      <c r="I318" s="14"/>
      <c r="J318" s="15"/>
      <c r="L318" s="58"/>
      <c r="M318" s="58"/>
      <c r="N318" s="58"/>
      <c r="O318" s="58"/>
      <c r="P318" s="269"/>
      <c r="Q318" s="58"/>
      <c r="R318" s="58"/>
      <c r="S318" s="58"/>
      <c r="T318" s="58"/>
      <c r="U318" s="58"/>
      <c r="V318" s="269"/>
      <c r="W318" s="58"/>
      <c r="X318" s="58"/>
      <c r="Y318" s="58"/>
      <c r="Z318" s="58"/>
      <c r="AA318" s="58"/>
      <c r="AB318" s="269"/>
      <c r="AC318" s="58"/>
      <c r="AD318" s="58"/>
      <c r="AE318" s="58"/>
      <c r="AF318" s="58"/>
      <c r="AG318" s="58"/>
      <c r="AH318" s="269"/>
      <c r="AI318" s="58"/>
      <c r="AJ318" s="58"/>
      <c r="AK318" s="58"/>
      <c r="AL318" s="58"/>
      <c r="AM318" s="58"/>
      <c r="AN318" s="59"/>
      <c r="AO318" s="58"/>
      <c r="AP318" s="58"/>
      <c r="AQ318" s="58"/>
      <c r="AR318" s="58"/>
      <c r="AS318" s="58"/>
      <c r="AT318" s="59"/>
      <c r="AU318" s="58"/>
      <c r="AV318" s="58"/>
      <c r="AW318" s="58"/>
      <c r="AX318" s="58"/>
      <c r="AY318" s="58"/>
      <c r="AZ318" s="59"/>
      <c r="BA318" s="58"/>
      <c r="BB318" s="58"/>
      <c r="BC318" s="58"/>
      <c r="BD318" s="58"/>
      <c r="BE318" s="58"/>
      <c r="BF318" s="59"/>
      <c r="BG318" s="58"/>
      <c r="BH318" s="58"/>
      <c r="BI318" s="58"/>
      <c r="BJ318" s="58"/>
      <c r="BK318" s="58"/>
      <c r="BL318" s="59"/>
      <c r="BM318" s="58"/>
      <c r="BN318" s="58"/>
      <c r="BO318" s="58"/>
      <c r="BP318" s="58"/>
      <c r="BQ318" s="58"/>
      <c r="BR318" s="58"/>
      <c r="BS318" s="58"/>
      <c r="BT318" s="58"/>
      <c r="BU318" s="58"/>
      <c r="BV318" s="58"/>
      <c r="BW318" s="58"/>
      <c r="BX318" s="58"/>
      <c r="BY318" s="58"/>
      <c r="BZ318" s="58"/>
      <c r="CA318" s="58"/>
      <c r="CB318" s="58"/>
      <c r="CC318" s="58"/>
      <c r="CD318" s="58"/>
      <c r="CE318" s="58"/>
      <c r="CF318" s="58"/>
      <c r="CG318" s="58"/>
      <c r="CH318" s="58"/>
      <c r="CI318" s="58"/>
      <c r="CJ318" s="58"/>
      <c r="CK318" s="58"/>
      <c r="CL318" s="58"/>
      <c r="CM318" s="58"/>
      <c r="CN318" s="58"/>
      <c r="CO318" s="58"/>
      <c r="CP318" s="58"/>
      <c r="CQ318" s="58"/>
      <c r="CR318" s="58"/>
      <c r="CS318" s="58"/>
      <c r="CT318" s="58"/>
      <c r="CU318" s="58"/>
    </row>
    <row r="319" spans="1:99" ht="15" thickBot="1" x14ac:dyDescent="0.4">
      <c r="A319" s="14"/>
      <c r="B319" s="14"/>
      <c r="C319" s="14"/>
      <c r="D319" s="14"/>
      <c r="E319" s="14"/>
      <c r="F319" s="14"/>
      <c r="G319" s="14"/>
      <c r="H319" s="14"/>
      <c r="I319" s="14"/>
      <c r="J319" s="15"/>
      <c r="L319" s="58"/>
      <c r="M319" s="58"/>
      <c r="N319" s="58"/>
      <c r="O319" s="58"/>
      <c r="P319" s="269"/>
      <c r="Q319" s="58"/>
      <c r="R319" s="58"/>
      <c r="S319" s="58"/>
      <c r="T319" s="58"/>
      <c r="U319" s="58"/>
      <c r="V319" s="269"/>
      <c r="W319" s="58"/>
      <c r="X319" s="58"/>
      <c r="Y319" s="58"/>
      <c r="Z319" s="58"/>
      <c r="AA319" s="58"/>
      <c r="AB319" s="269"/>
      <c r="AC319" s="58"/>
      <c r="AD319" s="58"/>
      <c r="AE319" s="58"/>
      <c r="AF319" s="58"/>
      <c r="AG319" s="58"/>
      <c r="AH319" s="269"/>
      <c r="AI319" s="58"/>
      <c r="AJ319" s="58"/>
      <c r="AK319" s="58"/>
      <c r="AL319" s="58"/>
      <c r="AM319" s="58"/>
      <c r="AN319" s="59"/>
      <c r="AO319" s="58"/>
      <c r="AP319" s="58"/>
      <c r="AQ319" s="58"/>
      <c r="AR319" s="58"/>
      <c r="AS319" s="58"/>
      <c r="AT319" s="59"/>
      <c r="AU319" s="58"/>
      <c r="AV319" s="58"/>
      <c r="AW319" s="58"/>
      <c r="AX319" s="58"/>
      <c r="AY319" s="58"/>
      <c r="AZ319" s="59"/>
      <c r="BA319" s="58"/>
      <c r="BB319" s="58"/>
      <c r="BC319" s="58"/>
      <c r="BD319" s="58"/>
      <c r="BE319" s="58"/>
      <c r="BF319" s="59"/>
      <c r="BG319" s="58"/>
      <c r="BH319" s="58"/>
      <c r="BI319" s="58"/>
      <c r="BJ319" s="58"/>
      <c r="BK319" s="58"/>
      <c r="BL319" s="59"/>
      <c r="BM319" s="58"/>
      <c r="BN319" s="58"/>
      <c r="BO319" s="58"/>
      <c r="BP319" s="58"/>
      <c r="BQ319" s="58"/>
      <c r="BR319" s="58"/>
      <c r="BS319" s="58"/>
      <c r="BT319" s="58"/>
      <c r="BU319" s="58"/>
      <c r="BV319" s="58"/>
      <c r="BW319" s="58"/>
      <c r="BX319" s="58"/>
      <c r="BY319" s="58"/>
      <c r="BZ319" s="58"/>
      <c r="CA319" s="58"/>
      <c r="CB319" s="58"/>
      <c r="CC319" s="58"/>
      <c r="CD319" s="58"/>
      <c r="CE319" s="58"/>
      <c r="CF319" s="58"/>
      <c r="CG319" s="58"/>
      <c r="CH319" s="58"/>
      <c r="CI319" s="58"/>
      <c r="CJ319" s="58"/>
      <c r="CK319" s="58"/>
      <c r="CL319" s="58"/>
      <c r="CM319" s="58"/>
      <c r="CN319" s="58"/>
      <c r="CO319" s="58"/>
      <c r="CP319" s="58"/>
      <c r="CQ319" s="58"/>
      <c r="CR319" s="58"/>
      <c r="CS319" s="58"/>
      <c r="CT319" s="58"/>
      <c r="CU319" s="58"/>
    </row>
    <row r="320" spans="1:99" ht="15" thickBot="1" x14ac:dyDescent="0.4">
      <c r="A320" s="14"/>
      <c r="B320" s="14"/>
      <c r="C320" s="14"/>
      <c r="D320" s="14"/>
      <c r="E320" s="14"/>
      <c r="F320" s="14"/>
      <c r="G320" s="14"/>
      <c r="H320" s="14"/>
      <c r="I320" s="14"/>
      <c r="J320" s="15"/>
      <c r="L320" s="58"/>
      <c r="M320" s="58"/>
      <c r="N320" s="58"/>
      <c r="O320" s="58"/>
      <c r="P320" s="269"/>
      <c r="Q320" s="58"/>
      <c r="R320" s="58"/>
      <c r="S320" s="58"/>
      <c r="T320" s="58"/>
      <c r="U320" s="58"/>
      <c r="V320" s="269"/>
      <c r="W320" s="58"/>
      <c r="X320" s="58"/>
      <c r="Y320" s="58"/>
      <c r="Z320" s="58"/>
      <c r="AA320" s="58"/>
      <c r="AB320" s="269"/>
      <c r="AC320" s="58"/>
      <c r="AD320" s="58"/>
      <c r="AE320" s="58"/>
      <c r="AF320" s="58"/>
      <c r="AG320" s="58"/>
      <c r="AH320" s="269"/>
      <c r="AI320" s="58"/>
      <c r="AJ320" s="58"/>
      <c r="AK320" s="58"/>
      <c r="AL320" s="58"/>
      <c r="AM320" s="58"/>
      <c r="AN320" s="59"/>
      <c r="AO320" s="58"/>
      <c r="AP320" s="58"/>
      <c r="AQ320" s="58"/>
      <c r="AR320" s="58"/>
      <c r="AS320" s="58"/>
      <c r="AT320" s="59"/>
      <c r="AU320" s="58"/>
      <c r="AV320" s="58"/>
      <c r="AW320" s="58"/>
      <c r="AX320" s="58"/>
      <c r="AY320" s="58"/>
      <c r="AZ320" s="59"/>
      <c r="BA320" s="58"/>
      <c r="BB320" s="58"/>
      <c r="BC320" s="58"/>
      <c r="BD320" s="58"/>
      <c r="BE320" s="58"/>
      <c r="BF320" s="59"/>
      <c r="BG320" s="58"/>
      <c r="BH320" s="58"/>
      <c r="BI320" s="58"/>
      <c r="BJ320" s="58"/>
      <c r="BK320" s="58"/>
      <c r="BL320" s="59"/>
      <c r="BM320" s="58"/>
      <c r="BN320" s="58"/>
      <c r="BO320" s="58"/>
      <c r="BP320" s="58"/>
      <c r="BQ320" s="58"/>
      <c r="BR320" s="58"/>
      <c r="BS320" s="58"/>
      <c r="BT320" s="58"/>
      <c r="BU320" s="58"/>
      <c r="BV320" s="58"/>
      <c r="BW320" s="58"/>
      <c r="BX320" s="58"/>
      <c r="BY320" s="58"/>
      <c r="BZ320" s="58"/>
      <c r="CA320" s="58"/>
      <c r="CB320" s="58"/>
      <c r="CC320" s="58"/>
      <c r="CD320" s="58"/>
      <c r="CE320" s="58"/>
      <c r="CF320" s="58"/>
      <c r="CG320" s="58"/>
      <c r="CH320" s="58"/>
      <c r="CI320" s="58"/>
      <c r="CJ320" s="58"/>
      <c r="CK320" s="58"/>
      <c r="CL320" s="58"/>
      <c r="CM320" s="58"/>
      <c r="CN320" s="58"/>
      <c r="CO320" s="58"/>
      <c r="CP320" s="58"/>
      <c r="CQ320" s="58"/>
      <c r="CR320" s="58"/>
      <c r="CS320" s="58"/>
      <c r="CT320" s="58"/>
      <c r="CU320" s="58"/>
    </row>
    <row r="321" spans="1:99" ht="15" thickBot="1" x14ac:dyDescent="0.4">
      <c r="A321" s="14"/>
      <c r="B321" s="14"/>
      <c r="C321" s="14"/>
      <c r="D321" s="14"/>
      <c r="E321" s="14"/>
      <c r="F321" s="14"/>
      <c r="G321" s="14"/>
      <c r="H321" s="14"/>
      <c r="I321" s="14"/>
      <c r="J321" s="15"/>
      <c r="L321" s="58"/>
      <c r="M321" s="58"/>
      <c r="N321" s="58"/>
      <c r="O321" s="58"/>
      <c r="P321" s="269"/>
      <c r="Q321" s="58"/>
      <c r="R321" s="58"/>
      <c r="S321" s="58"/>
      <c r="T321" s="58"/>
      <c r="U321" s="58"/>
      <c r="V321" s="269"/>
      <c r="W321" s="58"/>
      <c r="X321" s="58"/>
      <c r="Y321" s="58"/>
      <c r="Z321" s="58"/>
      <c r="AA321" s="58"/>
      <c r="AB321" s="269"/>
      <c r="AC321" s="58"/>
      <c r="AD321" s="58"/>
      <c r="AE321" s="58"/>
      <c r="AF321" s="58"/>
      <c r="AG321" s="58"/>
      <c r="AH321" s="269"/>
      <c r="AI321" s="58"/>
      <c r="AJ321" s="58"/>
      <c r="AK321" s="58"/>
      <c r="AL321" s="58"/>
      <c r="AM321" s="58"/>
      <c r="AN321" s="59"/>
      <c r="AO321" s="58"/>
      <c r="AP321" s="58"/>
      <c r="AQ321" s="58"/>
      <c r="AR321" s="58"/>
      <c r="AS321" s="58"/>
      <c r="AT321" s="59"/>
      <c r="AU321" s="58"/>
      <c r="AV321" s="58"/>
      <c r="AW321" s="58"/>
      <c r="AX321" s="58"/>
      <c r="AY321" s="58"/>
      <c r="AZ321" s="59"/>
      <c r="BA321" s="58"/>
      <c r="BB321" s="58"/>
      <c r="BC321" s="58"/>
      <c r="BD321" s="58"/>
      <c r="BE321" s="58"/>
      <c r="BF321" s="59"/>
      <c r="BG321" s="58"/>
      <c r="BH321" s="58"/>
      <c r="BI321" s="58"/>
      <c r="BJ321" s="58"/>
      <c r="BK321" s="58"/>
      <c r="BL321" s="59"/>
      <c r="BM321" s="58"/>
      <c r="BN321" s="58"/>
      <c r="BO321" s="58"/>
      <c r="BP321" s="58"/>
      <c r="BQ321" s="58"/>
      <c r="BR321" s="58"/>
      <c r="BS321" s="58"/>
      <c r="BT321" s="58"/>
      <c r="BU321" s="58"/>
      <c r="BV321" s="58"/>
      <c r="BW321" s="58"/>
      <c r="BX321" s="58"/>
      <c r="BY321" s="58"/>
      <c r="BZ321" s="58"/>
      <c r="CA321" s="58"/>
      <c r="CB321" s="58"/>
      <c r="CC321" s="58"/>
      <c r="CD321" s="58"/>
      <c r="CE321" s="58"/>
      <c r="CF321" s="58"/>
      <c r="CG321" s="58"/>
      <c r="CH321" s="58"/>
      <c r="CI321" s="58"/>
      <c r="CJ321" s="58"/>
      <c r="CK321" s="58"/>
      <c r="CL321" s="58"/>
      <c r="CM321" s="58"/>
      <c r="CN321" s="58"/>
      <c r="CO321" s="58"/>
      <c r="CP321" s="58"/>
      <c r="CQ321" s="58"/>
      <c r="CR321" s="58"/>
      <c r="CS321" s="58"/>
      <c r="CT321" s="58"/>
      <c r="CU321" s="58"/>
    </row>
    <row r="322" spans="1:99" ht="15" thickBot="1" x14ac:dyDescent="0.4">
      <c r="A322" s="14"/>
      <c r="B322" s="14"/>
      <c r="C322" s="14"/>
      <c r="D322" s="14"/>
      <c r="E322" s="14"/>
      <c r="F322" s="14"/>
      <c r="G322" s="14"/>
      <c r="H322" s="14"/>
      <c r="I322" s="14"/>
      <c r="J322" s="15"/>
      <c r="L322" s="58"/>
      <c r="M322" s="58"/>
      <c r="N322" s="58"/>
      <c r="O322" s="58"/>
      <c r="P322" s="269"/>
      <c r="Q322" s="58"/>
      <c r="R322" s="58"/>
      <c r="S322" s="58"/>
      <c r="T322" s="58"/>
      <c r="U322" s="58"/>
      <c r="V322" s="269"/>
      <c r="W322" s="58"/>
      <c r="X322" s="58"/>
      <c r="Y322" s="58"/>
      <c r="Z322" s="58"/>
      <c r="AA322" s="58"/>
      <c r="AB322" s="269"/>
      <c r="AC322" s="58"/>
      <c r="AD322" s="58"/>
      <c r="AE322" s="58"/>
      <c r="AF322" s="58"/>
      <c r="AG322" s="58"/>
      <c r="AH322" s="269"/>
      <c r="AI322" s="58"/>
      <c r="AJ322" s="58"/>
      <c r="AK322" s="58"/>
      <c r="AL322" s="58"/>
      <c r="AM322" s="58"/>
      <c r="AN322" s="59"/>
      <c r="AO322" s="58"/>
      <c r="AP322" s="58"/>
      <c r="AQ322" s="58"/>
      <c r="AR322" s="58"/>
      <c r="AS322" s="58"/>
      <c r="AT322" s="59"/>
      <c r="AU322" s="58"/>
      <c r="AV322" s="58"/>
      <c r="AW322" s="58"/>
      <c r="AX322" s="58"/>
      <c r="AY322" s="58"/>
      <c r="AZ322" s="59"/>
      <c r="BA322" s="58"/>
      <c r="BB322" s="58"/>
      <c r="BC322" s="58"/>
      <c r="BD322" s="58"/>
      <c r="BE322" s="58"/>
      <c r="BF322" s="59"/>
      <c r="BG322" s="58"/>
      <c r="BH322" s="58"/>
      <c r="BI322" s="58"/>
      <c r="BJ322" s="58"/>
      <c r="BK322" s="58"/>
      <c r="BL322" s="59"/>
      <c r="BM322" s="58"/>
      <c r="BN322" s="58"/>
      <c r="BO322" s="58"/>
      <c r="BP322" s="58"/>
      <c r="BQ322" s="58"/>
      <c r="BR322" s="58"/>
      <c r="BS322" s="58"/>
      <c r="BT322" s="58"/>
      <c r="BU322" s="58"/>
      <c r="BV322" s="58"/>
      <c r="BW322" s="58"/>
      <c r="BX322" s="58"/>
      <c r="BY322" s="58"/>
      <c r="BZ322" s="58"/>
      <c r="CA322" s="58"/>
      <c r="CB322" s="58"/>
      <c r="CC322" s="58"/>
      <c r="CD322" s="58"/>
      <c r="CE322" s="58"/>
      <c r="CF322" s="58"/>
      <c r="CG322" s="58"/>
      <c r="CH322" s="58"/>
      <c r="CI322" s="58"/>
      <c r="CJ322" s="58"/>
      <c r="CK322" s="58"/>
      <c r="CL322" s="58"/>
      <c r="CM322" s="58"/>
      <c r="CN322" s="58"/>
      <c r="CO322" s="58"/>
      <c r="CP322" s="58"/>
      <c r="CQ322" s="58"/>
      <c r="CR322" s="58"/>
      <c r="CS322" s="58"/>
      <c r="CT322" s="58"/>
      <c r="CU322" s="58"/>
    </row>
    <row r="323" spans="1:99" ht="15" thickBot="1" x14ac:dyDescent="0.4">
      <c r="A323" s="14"/>
      <c r="B323" s="14"/>
      <c r="C323" s="14"/>
      <c r="D323" s="14"/>
      <c r="E323" s="14"/>
      <c r="F323" s="14"/>
      <c r="G323" s="14"/>
      <c r="H323" s="14"/>
      <c r="I323" s="14"/>
      <c r="J323" s="15"/>
      <c r="L323" s="58"/>
      <c r="M323" s="58"/>
      <c r="N323" s="58"/>
      <c r="O323" s="58"/>
      <c r="P323" s="269"/>
      <c r="Q323" s="58"/>
      <c r="R323" s="58"/>
      <c r="S323" s="58"/>
      <c r="T323" s="58"/>
      <c r="U323" s="58"/>
      <c r="V323" s="269"/>
      <c r="W323" s="58"/>
      <c r="X323" s="58"/>
      <c r="Y323" s="58"/>
      <c r="Z323" s="58"/>
      <c r="AA323" s="58"/>
      <c r="AB323" s="269"/>
      <c r="AC323" s="58"/>
      <c r="AD323" s="58"/>
      <c r="AE323" s="58"/>
      <c r="AF323" s="58"/>
      <c r="AG323" s="58"/>
      <c r="AH323" s="269"/>
      <c r="AI323" s="58"/>
      <c r="AJ323" s="58"/>
      <c r="AK323" s="58"/>
      <c r="AL323" s="58"/>
      <c r="AM323" s="58"/>
      <c r="AN323" s="59"/>
      <c r="AO323" s="58"/>
      <c r="AP323" s="58"/>
      <c r="AQ323" s="58"/>
      <c r="AR323" s="58"/>
      <c r="AS323" s="58"/>
      <c r="AT323" s="59"/>
      <c r="AU323" s="58"/>
      <c r="AV323" s="58"/>
      <c r="AW323" s="58"/>
      <c r="AX323" s="58"/>
      <c r="AY323" s="58"/>
      <c r="AZ323" s="59"/>
      <c r="BA323" s="58"/>
      <c r="BB323" s="58"/>
      <c r="BC323" s="58"/>
      <c r="BD323" s="58"/>
      <c r="BE323" s="58"/>
      <c r="BF323" s="59"/>
      <c r="BG323" s="58"/>
      <c r="BH323" s="58"/>
      <c r="BI323" s="58"/>
      <c r="BJ323" s="58"/>
      <c r="BK323" s="58"/>
      <c r="BL323" s="59"/>
      <c r="BM323" s="58"/>
      <c r="BN323" s="58"/>
      <c r="BO323" s="58"/>
      <c r="BP323" s="58"/>
      <c r="BQ323" s="58"/>
      <c r="BR323" s="58"/>
      <c r="BS323" s="58"/>
      <c r="BT323" s="58"/>
      <c r="BU323" s="58"/>
      <c r="BV323" s="58"/>
      <c r="BW323" s="58"/>
      <c r="BX323" s="58"/>
      <c r="BY323" s="58"/>
      <c r="BZ323" s="58"/>
      <c r="CA323" s="58"/>
      <c r="CB323" s="58"/>
      <c r="CC323" s="58"/>
      <c r="CD323" s="58"/>
      <c r="CE323" s="58"/>
      <c r="CF323" s="58"/>
      <c r="CG323" s="58"/>
      <c r="CH323" s="58"/>
      <c r="CI323" s="58"/>
      <c r="CJ323" s="58"/>
      <c r="CK323" s="58"/>
      <c r="CL323" s="58"/>
      <c r="CM323" s="58"/>
      <c r="CN323" s="58"/>
      <c r="CO323" s="58"/>
      <c r="CP323" s="58"/>
      <c r="CQ323" s="58"/>
      <c r="CR323" s="58"/>
      <c r="CS323" s="58"/>
      <c r="CT323" s="58"/>
      <c r="CU323" s="58"/>
    </row>
    <row r="324" spans="1:99" ht="15" thickBot="1" x14ac:dyDescent="0.4">
      <c r="A324" s="14"/>
      <c r="B324" s="14"/>
      <c r="C324" s="14"/>
      <c r="D324" s="14"/>
      <c r="E324" s="14"/>
      <c r="F324" s="14"/>
      <c r="G324" s="14"/>
      <c r="H324" s="14"/>
      <c r="I324" s="14"/>
      <c r="J324" s="15"/>
      <c r="L324" s="58"/>
      <c r="M324" s="58"/>
      <c r="N324" s="58"/>
      <c r="O324" s="58"/>
      <c r="P324" s="269"/>
      <c r="Q324" s="58"/>
      <c r="R324" s="58"/>
      <c r="S324" s="58"/>
      <c r="T324" s="58"/>
      <c r="U324" s="58"/>
      <c r="V324" s="269"/>
      <c r="W324" s="58"/>
      <c r="X324" s="58"/>
      <c r="Y324" s="58"/>
      <c r="Z324" s="58"/>
      <c r="AA324" s="58"/>
      <c r="AB324" s="269"/>
      <c r="AC324" s="58"/>
      <c r="AD324" s="58"/>
      <c r="AE324" s="58"/>
      <c r="AF324" s="58"/>
      <c r="AG324" s="58"/>
      <c r="AH324" s="269"/>
      <c r="AI324" s="58"/>
      <c r="AJ324" s="58"/>
      <c r="AK324" s="58"/>
      <c r="AL324" s="58"/>
      <c r="AM324" s="58"/>
      <c r="AN324" s="59"/>
      <c r="AO324" s="58"/>
      <c r="AP324" s="58"/>
      <c r="AQ324" s="58"/>
      <c r="AR324" s="58"/>
      <c r="AS324" s="58"/>
      <c r="AT324" s="59"/>
      <c r="AU324" s="58"/>
      <c r="AV324" s="58"/>
      <c r="AW324" s="58"/>
      <c r="AX324" s="58"/>
      <c r="AY324" s="58"/>
      <c r="AZ324" s="59"/>
      <c r="BA324" s="58"/>
      <c r="BB324" s="58"/>
      <c r="BC324" s="58"/>
      <c r="BD324" s="58"/>
      <c r="BE324" s="58"/>
      <c r="BF324" s="59"/>
      <c r="BG324" s="58"/>
      <c r="BH324" s="58"/>
      <c r="BI324" s="58"/>
      <c r="BJ324" s="58"/>
      <c r="BK324" s="58"/>
      <c r="BL324" s="59"/>
      <c r="BM324" s="58"/>
      <c r="BN324" s="58"/>
      <c r="BO324" s="58"/>
      <c r="BP324" s="58"/>
      <c r="BQ324" s="58"/>
      <c r="BR324" s="58"/>
      <c r="BS324" s="58"/>
      <c r="BT324" s="58"/>
      <c r="BU324" s="58"/>
      <c r="BV324" s="58"/>
      <c r="BW324" s="58"/>
      <c r="BX324" s="58"/>
      <c r="BY324" s="58"/>
      <c r="BZ324" s="58"/>
      <c r="CA324" s="58"/>
      <c r="CB324" s="58"/>
      <c r="CC324" s="58"/>
      <c r="CD324" s="58"/>
      <c r="CE324" s="58"/>
      <c r="CF324" s="58"/>
      <c r="CG324" s="58"/>
      <c r="CH324" s="58"/>
      <c r="CI324" s="58"/>
      <c r="CJ324" s="58"/>
      <c r="CK324" s="58"/>
      <c r="CL324" s="58"/>
      <c r="CM324" s="58"/>
      <c r="CN324" s="58"/>
      <c r="CO324" s="58"/>
      <c r="CP324" s="58"/>
      <c r="CQ324" s="58"/>
      <c r="CR324" s="58"/>
      <c r="CS324" s="58"/>
      <c r="CT324" s="58"/>
      <c r="CU324" s="58"/>
    </row>
    <row r="325" spans="1:99" ht="15" thickBot="1" x14ac:dyDescent="0.4">
      <c r="A325" s="14"/>
      <c r="B325" s="14"/>
      <c r="C325" s="14"/>
      <c r="D325" s="14"/>
      <c r="E325" s="14"/>
      <c r="F325" s="14"/>
      <c r="G325" s="14"/>
      <c r="H325" s="14"/>
      <c r="I325" s="14"/>
      <c r="J325" s="15"/>
      <c r="L325" s="58"/>
      <c r="M325" s="58"/>
      <c r="N325" s="58"/>
      <c r="O325" s="58"/>
      <c r="P325" s="269"/>
      <c r="Q325" s="58"/>
      <c r="R325" s="58"/>
      <c r="S325" s="58"/>
      <c r="T325" s="58"/>
      <c r="U325" s="58"/>
      <c r="V325" s="269"/>
      <c r="W325" s="58"/>
      <c r="X325" s="58"/>
      <c r="Y325" s="58"/>
      <c r="Z325" s="58"/>
      <c r="AA325" s="58"/>
      <c r="AB325" s="269"/>
      <c r="AC325" s="58"/>
      <c r="AD325" s="58"/>
      <c r="AE325" s="58"/>
      <c r="AF325" s="58"/>
      <c r="AG325" s="58"/>
      <c r="AH325" s="269"/>
      <c r="AI325" s="58"/>
      <c r="AJ325" s="58"/>
      <c r="AK325" s="58"/>
      <c r="AL325" s="58"/>
      <c r="AM325" s="58"/>
      <c r="AN325" s="59"/>
      <c r="AO325" s="58"/>
      <c r="AP325" s="58"/>
      <c r="AQ325" s="58"/>
      <c r="AR325" s="58"/>
      <c r="AS325" s="58"/>
      <c r="AT325" s="59"/>
      <c r="AU325" s="58"/>
      <c r="AV325" s="58"/>
      <c r="AW325" s="58"/>
      <c r="AX325" s="58"/>
      <c r="AY325" s="58"/>
      <c r="AZ325" s="59"/>
      <c r="BA325" s="58"/>
      <c r="BB325" s="58"/>
      <c r="BC325" s="58"/>
      <c r="BD325" s="58"/>
      <c r="BE325" s="58"/>
      <c r="BF325" s="59"/>
      <c r="BG325" s="58"/>
      <c r="BH325" s="58"/>
      <c r="BI325" s="58"/>
      <c r="BJ325" s="58"/>
      <c r="BK325" s="58"/>
      <c r="BL325" s="59"/>
      <c r="BM325" s="58"/>
      <c r="BN325" s="58"/>
      <c r="BO325" s="58"/>
      <c r="BP325" s="58"/>
      <c r="BQ325" s="58"/>
      <c r="BR325" s="58"/>
      <c r="BS325" s="58"/>
      <c r="BT325" s="58"/>
      <c r="BU325" s="58"/>
      <c r="BV325" s="58"/>
      <c r="BW325" s="58"/>
      <c r="BX325" s="58"/>
      <c r="BY325" s="58"/>
      <c r="BZ325" s="58"/>
      <c r="CA325" s="58"/>
      <c r="CB325" s="58"/>
      <c r="CC325" s="58"/>
      <c r="CD325" s="58"/>
      <c r="CE325" s="58"/>
      <c r="CF325" s="58"/>
      <c r="CG325" s="58"/>
      <c r="CH325" s="58"/>
      <c r="CI325" s="58"/>
      <c r="CJ325" s="58"/>
      <c r="CK325" s="58"/>
      <c r="CL325" s="58"/>
      <c r="CM325" s="58"/>
      <c r="CN325" s="58"/>
      <c r="CO325" s="58"/>
      <c r="CP325" s="58"/>
      <c r="CQ325" s="58"/>
      <c r="CR325" s="58"/>
      <c r="CS325" s="58"/>
      <c r="CT325" s="58"/>
      <c r="CU325" s="58"/>
    </row>
    <row r="326" spans="1:99" ht="15" thickBot="1" x14ac:dyDescent="0.4">
      <c r="A326" s="14"/>
      <c r="B326" s="14"/>
      <c r="C326" s="14"/>
      <c r="D326" s="14"/>
      <c r="E326" s="14"/>
      <c r="F326" s="14"/>
      <c r="G326" s="14"/>
      <c r="H326" s="14"/>
      <c r="I326" s="14"/>
      <c r="J326" s="15"/>
      <c r="L326" s="58"/>
      <c r="M326" s="58"/>
      <c r="N326" s="58"/>
      <c r="O326" s="58"/>
      <c r="P326" s="269"/>
      <c r="Q326" s="58"/>
      <c r="R326" s="58"/>
      <c r="S326" s="58"/>
      <c r="T326" s="58"/>
      <c r="U326" s="58"/>
      <c r="V326" s="269"/>
      <c r="W326" s="58"/>
      <c r="X326" s="58"/>
      <c r="Y326" s="58"/>
      <c r="Z326" s="58"/>
      <c r="AA326" s="58"/>
      <c r="AB326" s="269"/>
      <c r="AC326" s="58"/>
      <c r="AD326" s="58"/>
      <c r="AE326" s="58"/>
      <c r="AF326" s="58"/>
      <c r="AG326" s="58"/>
      <c r="AH326" s="269"/>
      <c r="AI326" s="58"/>
      <c r="AJ326" s="58"/>
      <c r="AK326" s="58"/>
      <c r="AL326" s="58"/>
      <c r="AM326" s="58"/>
      <c r="AN326" s="59"/>
      <c r="AO326" s="58"/>
      <c r="AP326" s="58"/>
      <c r="AQ326" s="58"/>
      <c r="AR326" s="58"/>
      <c r="AS326" s="58"/>
      <c r="AT326" s="59"/>
      <c r="AU326" s="58"/>
      <c r="AV326" s="58"/>
      <c r="AW326" s="58"/>
      <c r="AX326" s="58"/>
      <c r="AY326" s="58"/>
      <c r="AZ326" s="59"/>
      <c r="BA326" s="58"/>
      <c r="BB326" s="58"/>
      <c r="BC326" s="58"/>
      <c r="BD326" s="58"/>
      <c r="BE326" s="58"/>
      <c r="BF326" s="59"/>
      <c r="BG326" s="58"/>
      <c r="BH326" s="58"/>
      <c r="BI326" s="58"/>
      <c r="BJ326" s="58"/>
      <c r="BK326" s="58"/>
      <c r="BL326" s="59"/>
      <c r="BM326" s="58"/>
      <c r="BN326" s="58"/>
      <c r="BO326" s="58"/>
      <c r="BP326" s="58"/>
      <c r="BQ326" s="58"/>
      <c r="BR326" s="58"/>
      <c r="BS326" s="58"/>
      <c r="BT326" s="58"/>
      <c r="BU326" s="58"/>
      <c r="BV326" s="58"/>
      <c r="BW326" s="58"/>
      <c r="BX326" s="58"/>
      <c r="BY326" s="58"/>
      <c r="BZ326" s="58"/>
      <c r="CA326" s="58"/>
      <c r="CB326" s="58"/>
      <c r="CC326" s="58"/>
      <c r="CD326" s="58"/>
      <c r="CE326" s="58"/>
      <c r="CF326" s="58"/>
      <c r="CG326" s="58"/>
      <c r="CH326" s="58"/>
      <c r="CI326" s="58"/>
      <c r="CJ326" s="58"/>
      <c r="CK326" s="58"/>
      <c r="CL326" s="58"/>
      <c r="CM326" s="58"/>
      <c r="CN326" s="58"/>
      <c r="CO326" s="58"/>
      <c r="CP326" s="58"/>
      <c r="CQ326" s="58"/>
      <c r="CR326" s="58"/>
      <c r="CS326" s="58"/>
      <c r="CT326" s="58"/>
      <c r="CU326" s="58"/>
    </row>
    <row r="327" spans="1:99" ht="15" thickBot="1" x14ac:dyDescent="0.4">
      <c r="A327" s="14"/>
      <c r="B327" s="14"/>
      <c r="C327" s="14"/>
      <c r="D327" s="14"/>
      <c r="E327" s="14"/>
      <c r="F327" s="14"/>
      <c r="G327" s="14"/>
      <c r="H327" s="14"/>
      <c r="I327" s="14"/>
      <c r="J327" s="15"/>
      <c r="L327" s="58"/>
      <c r="M327" s="58"/>
      <c r="N327" s="58"/>
      <c r="O327" s="58"/>
      <c r="P327" s="269"/>
      <c r="Q327" s="58"/>
      <c r="R327" s="58"/>
      <c r="S327" s="58"/>
      <c r="T327" s="58"/>
      <c r="U327" s="58"/>
      <c r="V327" s="269"/>
      <c r="W327" s="58"/>
      <c r="X327" s="58"/>
      <c r="Y327" s="58"/>
      <c r="Z327" s="58"/>
      <c r="AA327" s="58"/>
      <c r="AB327" s="269"/>
      <c r="AC327" s="58"/>
      <c r="AD327" s="58"/>
      <c r="AE327" s="58"/>
      <c r="AF327" s="58"/>
      <c r="AG327" s="58"/>
      <c r="AH327" s="269"/>
      <c r="AI327" s="58"/>
      <c r="AJ327" s="58"/>
      <c r="AK327" s="58"/>
      <c r="AL327" s="58"/>
      <c r="AM327" s="58"/>
      <c r="AN327" s="59"/>
      <c r="AO327" s="58"/>
      <c r="AP327" s="58"/>
      <c r="AQ327" s="58"/>
      <c r="AR327" s="58"/>
      <c r="AS327" s="58"/>
      <c r="AT327" s="59"/>
      <c r="AU327" s="58"/>
      <c r="AV327" s="58"/>
      <c r="AW327" s="58"/>
      <c r="AX327" s="58"/>
      <c r="AY327" s="58"/>
      <c r="AZ327" s="59"/>
      <c r="BA327" s="58"/>
      <c r="BB327" s="58"/>
      <c r="BC327" s="58"/>
      <c r="BD327" s="58"/>
      <c r="BE327" s="58"/>
      <c r="BF327" s="59"/>
      <c r="BG327" s="58"/>
      <c r="BH327" s="58"/>
      <c r="BI327" s="58"/>
      <c r="BJ327" s="58"/>
      <c r="BK327" s="58"/>
      <c r="BL327" s="59"/>
      <c r="BM327" s="58"/>
      <c r="BN327" s="58"/>
      <c r="BO327" s="58"/>
      <c r="BP327" s="58"/>
      <c r="BQ327" s="58"/>
      <c r="BR327" s="58"/>
      <c r="BS327" s="58"/>
      <c r="BT327" s="58"/>
      <c r="BU327" s="58"/>
      <c r="BV327" s="58"/>
      <c r="BW327" s="58"/>
      <c r="BX327" s="58"/>
      <c r="BY327" s="58"/>
      <c r="BZ327" s="58"/>
      <c r="CA327" s="58"/>
      <c r="CB327" s="58"/>
      <c r="CC327" s="58"/>
      <c r="CD327" s="58"/>
      <c r="CE327" s="58"/>
      <c r="CF327" s="58"/>
      <c r="CG327" s="58"/>
      <c r="CH327" s="58"/>
      <c r="CI327" s="58"/>
      <c r="CJ327" s="58"/>
      <c r="CK327" s="58"/>
      <c r="CL327" s="58"/>
      <c r="CM327" s="58"/>
      <c r="CN327" s="58"/>
      <c r="CO327" s="58"/>
      <c r="CP327" s="58"/>
      <c r="CQ327" s="58"/>
      <c r="CR327" s="58"/>
      <c r="CS327" s="58"/>
      <c r="CT327" s="58"/>
      <c r="CU327" s="58"/>
    </row>
    <row r="328" spans="1:99" ht="15" thickBot="1" x14ac:dyDescent="0.4">
      <c r="A328" s="14"/>
      <c r="B328" s="14"/>
      <c r="C328" s="14"/>
      <c r="D328" s="14"/>
      <c r="E328" s="14"/>
      <c r="F328" s="14"/>
      <c r="G328" s="14"/>
      <c r="H328" s="14"/>
      <c r="I328" s="14"/>
      <c r="J328" s="15"/>
      <c r="L328" s="58"/>
      <c r="M328" s="58"/>
      <c r="N328" s="58"/>
      <c r="O328" s="58"/>
      <c r="P328" s="269"/>
      <c r="Q328" s="58"/>
      <c r="R328" s="58"/>
      <c r="S328" s="58"/>
      <c r="T328" s="58"/>
      <c r="U328" s="58"/>
      <c r="V328" s="269"/>
      <c r="W328" s="58"/>
      <c r="X328" s="58"/>
      <c r="Y328" s="58"/>
      <c r="Z328" s="58"/>
      <c r="AA328" s="58"/>
      <c r="AB328" s="269"/>
      <c r="AC328" s="58"/>
      <c r="AD328" s="58"/>
      <c r="AE328" s="58"/>
      <c r="AF328" s="58"/>
      <c r="AG328" s="58"/>
      <c r="AH328" s="269"/>
      <c r="AI328" s="58"/>
      <c r="AJ328" s="58"/>
      <c r="AK328" s="58"/>
      <c r="AL328" s="58"/>
      <c r="AM328" s="58"/>
      <c r="AN328" s="59"/>
      <c r="AO328" s="58"/>
      <c r="AP328" s="58"/>
      <c r="AQ328" s="58"/>
      <c r="AR328" s="58"/>
      <c r="AS328" s="58"/>
      <c r="AT328" s="59"/>
      <c r="AU328" s="58"/>
      <c r="AV328" s="58"/>
      <c r="AW328" s="58"/>
      <c r="AX328" s="58"/>
      <c r="AY328" s="58"/>
      <c r="AZ328" s="59"/>
      <c r="BA328" s="58"/>
      <c r="BB328" s="58"/>
      <c r="BC328" s="58"/>
      <c r="BD328" s="58"/>
      <c r="BE328" s="58"/>
      <c r="BF328" s="59"/>
      <c r="BG328" s="58"/>
      <c r="BH328" s="58"/>
      <c r="BI328" s="58"/>
      <c r="BJ328" s="58"/>
      <c r="BK328" s="58"/>
      <c r="BL328" s="59"/>
      <c r="BM328" s="58"/>
      <c r="BN328" s="58"/>
      <c r="BO328" s="58"/>
      <c r="BP328" s="58"/>
      <c r="BQ328" s="58"/>
      <c r="BR328" s="58"/>
      <c r="BS328" s="58"/>
      <c r="BT328" s="58"/>
      <c r="BU328" s="58"/>
      <c r="BV328" s="58"/>
      <c r="BW328" s="58"/>
      <c r="BX328" s="58"/>
      <c r="BY328" s="58"/>
      <c r="BZ328" s="58"/>
      <c r="CA328" s="58"/>
      <c r="CB328" s="58"/>
      <c r="CC328" s="58"/>
      <c r="CD328" s="58"/>
      <c r="CE328" s="58"/>
      <c r="CF328" s="58"/>
      <c r="CG328" s="58"/>
      <c r="CH328" s="58"/>
      <c r="CI328" s="58"/>
      <c r="CJ328" s="58"/>
      <c r="CK328" s="58"/>
      <c r="CL328" s="58"/>
      <c r="CM328" s="58"/>
      <c r="CN328" s="58"/>
      <c r="CO328" s="58"/>
      <c r="CP328" s="58"/>
      <c r="CQ328" s="58"/>
      <c r="CR328" s="58"/>
      <c r="CS328" s="58"/>
      <c r="CT328" s="58"/>
      <c r="CU328" s="58"/>
    </row>
    <row r="329" spans="1:99" ht="15" thickBot="1" x14ac:dyDescent="0.4">
      <c r="A329" s="14"/>
      <c r="B329" s="14"/>
      <c r="C329" s="14"/>
      <c r="D329" s="14"/>
      <c r="E329" s="14"/>
      <c r="F329" s="14"/>
      <c r="G329" s="14"/>
      <c r="H329" s="14"/>
      <c r="I329" s="14"/>
      <c r="J329" s="15"/>
      <c r="L329" s="58"/>
      <c r="M329" s="58"/>
      <c r="N329" s="58"/>
      <c r="O329" s="58"/>
      <c r="P329" s="269"/>
      <c r="Q329" s="58"/>
      <c r="R329" s="58"/>
      <c r="S329" s="58"/>
      <c r="T329" s="58"/>
      <c r="U329" s="58"/>
      <c r="V329" s="269"/>
      <c r="W329" s="58"/>
      <c r="X329" s="58"/>
      <c r="Y329" s="58"/>
      <c r="Z329" s="58"/>
      <c r="AA329" s="58"/>
      <c r="AB329" s="269"/>
      <c r="AC329" s="58"/>
      <c r="AD329" s="58"/>
      <c r="AE329" s="58"/>
      <c r="AF329" s="58"/>
      <c r="AG329" s="58"/>
      <c r="AH329" s="269"/>
      <c r="AI329" s="58"/>
      <c r="AJ329" s="58"/>
      <c r="AK329" s="58"/>
      <c r="AL329" s="58"/>
      <c r="AM329" s="58"/>
      <c r="AN329" s="59"/>
      <c r="AO329" s="58"/>
      <c r="AP329" s="58"/>
      <c r="AQ329" s="58"/>
      <c r="AR329" s="58"/>
      <c r="AS329" s="58"/>
      <c r="AT329" s="59"/>
      <c r="AU329" s="58"/>
      <c r="AV329" s="58"/>
      <c r="AW329" s="58"/>
      <c r="AX329" s="58"/>
      <c r="AY329" s="58"/>
      <c r="AZ329" s="59"/>
      <c r="BA329" s="58"/>
      <c r="BB329" s="58"/>
      <c r="BC329" s="58"/>
      <c r="BD329" s="58"/>
      <c r="BE329" s="58"/>
      <c r="BF329" s="59"/>
      <c r="BG329" s="58"/>
      <c r="BH329" s="58"/>
      <c r="BI329" s="58"/>
      <c r="BJ329" s="58"/>
      <c r="BK329" s="58"/>
      <c r="BL329" s="59"/>
      <c r="BM329" s="58"/>
      <c r="BN329" s="58"/>
      <c r="BO329" s="58"/>
      <c r="BP329" s="58"/>
      <c r="BQ329" s="58"/>
      <c r="BR329" s="58"/>
      <c r="BS329" s="58"/>
      <c r="BT329" s="58"/>
      <c r="BU329" s="58"/>
      <c r="BV329" s="58"/>
      <c r="BW329" s="58"/>
      <c r="BX329" s="58"/>
      <c r="BY329" s="58"/>
      <c r="BZ329" s="58"/>
      <c r="CA329" s="58"/>
      <c r="CB329" s="58"/>
      <c r="CC329" s="58"/>
      <c r="CD329" s="58"/>
      <c r="CE329" s="58"/>
      <c r="CF329" s="58"/>
      <c r="CG329" s="58"/>
      <c r="CH329" s="58"/>
      <c r="CI329" s="58"/>
      <c r="CJ329" s="58"/>
      <c r="CK329" s="58"/>
      <c r="CL329" s="58"/>
      <c r="CM329" s="58"/>
      <c r="CN329" s="58"/>
      <c r="CO329" s="58"/>
      <c r="CP329" s="58"/>
      <c r="CQ329" s="58"/>
      <c r="CR329" s="58"/>
      <c r="CS329" s="58"/>
      <c r="CT329" s="58"/>
      <c r="CU329" s="58"/>
    </row>
    <row r="330" spans="1:99" ht="15" thickBot="1" x14ac:dyDescent="0.4">
      <c r="A330" s="14"/>
      <c r="B330" s="14"/>
      <c r="C330" s="14"/>
      <c r="D330" s="14"/>
      <c r="E330" s="14"/>
      <c r="F330" s="14"/>
      <c r="G330" s="14"/>
      <c r="H330" s="14"/>
      <c r="I330" s="14"/>
      <c r="J330" s="15"/>
      <c r="L330" s="58"/>
      <c r="M330" s="58"/>
      <c r="N330" s="58"/>
      <c r="O330" s="58"/>
      <c r="P330" s="269"/>
      <c r="Q330" s="58"/>
      <c r="R330" s="58"/>
      <c r="S330" s="58"/>
      <c r="T330" s="58"/>
      <c r="U330" s="58"/>
      <c r="V330" s="269"/>
      <c r="W330" s="58"/>
      <c r="X330" s="58"/>
      <c r="Y330" s="58"/>
      <c r="Z330" s="58"/>
      <c r="AA330" s="58"/>
      <c r="AB330" s="269"/>
      <c r="AC330" s="58"/>
      <c r="AD330" s="58"/>
      <c r="AE330" s="58"/>
      <c r="AF330" s="58"/>
      <c r="AG330" s="58"/>
      <c r="AH330" s="269"/>
      <c r="AI330" s="58"/>
      <c r="AJ330" s="58"/>
      <c r="AK330" s="58"/>
      <c r="AL330" s="58"/>
      <c r="AM330" s="58"/>
      <c r="AN330" s="59"/>
      <c r="AO330" s="58"/>
      <c r="AP330" s="58"/>
      <c r="AQ330" s="58"/>
      <c r="AR330" s="58"/>
      <c r="AS330" s="58"/>
      <c r="AT330" s="59"/>
      <c r="AU330" s="58"/>
      <c r="AV330" s="58"/>
      <c r="AW330" s="58"/>
      <c r="AX330" s="58"/>
      <c r="AY330" s="58"/>
      <c r="AZ330" s="59"/>
      <c r="BA330" s="58"/>
      <c r="BB330" s="58"/>
      <c r="BC330" s="58"/>
      <c r="BD330" s="58"/>
      <c r="BE330" s="58"/>
      <c r="BF330" s="59"/>
      <c r="BG330" s="58"/>
      <c r="BH330" s="58"/>
      <c r="BI330" s="58"/>
      <c r="BJ330" s="58"/>
      <c r="BK330" s="58"/>
      <c r="BL330" s="59"/>
      <c r="BM330" s="58"/>
      <c r="BN330" s="58"/>
      <c r="BO330" s="58"/>
      <c r="BP330" s="58"/>
      <c r="BQ330" s="58"/>
      <c r="BR330" s="58"/>
      <c r="BS330" s="58"/>
      <c r="BT330" s="58"/>
      <c r="BU330" s="58"/>
      <c r="BV330" s="58"/>
      <c r="BW330" s="58"/>
      <c r="BX330" s="58"/>
      <c r="BY330" s="58"/>
      <c r="BZ330" s="58"/>
      <c r="CA330" s="58"/>
      <c r="CB330" s="58"/>
      <c r="CC330" s="58"/>
      <c r="CD330" s="58"/>
      <c r="CE330" s="58"/>
      <c r="CF330" s="58"/>
      <c r="CG330" s="58"/>
      <c r="CH330" s="58"/>
      <c r="CI330" s="58"/>
      <c r="CJ330" s="58"/>
      <c r="CK330" s="58"/>
      <c r="CL330" s="58"/>
      <c r="CM330" s="58"/>
      <c r="CN330" s="58"/>
      <c r="CO330" s="58"/>
      <c r="CP330" s="58"/>
      <c r="CQ330" s="58"/>
      <c r="CR330" s="58"/>
      <c r="CS330" s="58"/>
      <c r="CT330" s="58"/>
      <c r="CU330" s="58"/>
    </row>
    <row r="331" spans="1:99" ht="15" thickBot="1" x14ac:dyDescent="0.4">
      <c r="A331" s="14"/>
      <c r="B331" s="14"/>
      <c r="C331" s="14"/>
      <c r="D331" s="14"/>
      <c r="E331" s="14"/>
      <c r="F331" s="14"/>
      <c r="G331" s="14"/>
      <c r="H331" s="14"/>
      <c r="I331" s="14"/>
      <c r="J331" s="15"/>
      <c r="L331" s="58"/>
      <c r="M331" s="58"/>
      <c r="N331" s="58"/>
      <c r="O331" s="58"/>
      <c r="P331" s="269"/>
      <c r="Q331" s="58"/>
      <c r="R331" s="58"/>
      <c r="S331" s="58"/>
      <c r="T331" s="58"/>
      <c r="U331" s="58"/>
      <c r="V331" s="269"/>
      <c r="W331" s="58"/>
      <c r="X331" s="58"/>
      <c r="Y331" s="58"/>
      <c r="Z331" s="58"/>
      <c r="AA331" s="58"/>
      <c r="AB331" s="269"/>
      <c r="AC331" s="58"/>
      <c r="AD331" s="58"/>
      <c r="AE331" s="58"/>
      <c r="AF331" s="58"/>
      <c r="AG331" s="58"/>
      <c r="AH331" s="269"/>
      <c r="AI331" s="58"/>
      <c r="AJ331" s="58"/>
      <c r="AK331" s="58"/>
      <c r="AL331" s="58"/>
      <c r="AM331" s="58"/>
      <c r="AN331" s="59"/>
      <c r="AO331" s="58"/>
      <c r="AP331" s="58"/>
      <c r="AQ331" s="58"/>
      <c r="AR331" s="58"/>
      <c r="AS331" s="58"/>
      <c r="AT331" s="59"/>
      <c r="AU331" s="58"/>
      <c r="AV331" s="58"/>
      <c r="AW331" s="58"/>
      <c r="AX331" s="58"/>
      <c r="AY331" s="58"/>
      <c r="AZ331" s="59"/>
      <c r="BA331" s="58"/>
      <c r="BB331" s="58"/>
      <c r="BC331" s="58"/>
      <c r="BD331" s="58"/>
      <c r="BE331" s="58"/>
      <c r="BF331" s="59"/>
      <c r="BG331" s="58"/>
      <c r="BH331" s="58"/>
      <c r="BI331" s="58"/>
      <c r="BJ331" s="58"/>
      <c r="BK331" s="58"/>
      <c r="BL331" s="59"/>
      <c r="BM331" s="58"/>
      <c r="BN331" s="58"/>
      <c r="BO331" s="58"/>
      <c r="BP331" s="58"/>
      <c r="BQ331" s="58"/>
      <c r="BR331" s="58"/>
      <c r="BS331" s="58"/>
      <c r="BT331" s="58"/>
      <c r="BU331" s="58"/>
      <c r="BV331" s="58"/>
      <c r="BW331" s="58"/>
      <c r="BX331" s="58"/>
      <c r="BY331" s="58"/>
      <c r="BZ331" s="58"/>
      <c r="CA331" s="58"/>
      <c r="CB331" s="58"/>
      <c r="CC331" s="58"/>
      <c r="CD331" s="58"/>
      <c r="CE331" s="58"/>
      <c r="CF331" s="58"/>
      <c r="CG331" s="58"/>
      <c r="CH331" s="58"/>
      <c r="CI331" s="58"/>
      <c r="CJ331" s="58"/>
      <c r="CK331" s="58"/>
      <c r="CL331" s="58"/>
      <c r="CM331" s="58"/>
      <c r="CN331" s="58"/>
      <c r="CO331" s="58"/>
      <c r="CP331" s="58"/>
      <c r="CQ331" s="58"/>
      <c r="CR331" s="58"/>
      <c r="CS331" s="58"/>
      <c r="CT331" s="58"/>
      <c r="CU331" s="58"/>
    </row>
    <row r="332" spans="1:99" ht="15" thickBot="1" x14ac:dyDescent="0.4">
      <c r="A332" s="14"/>
      <c r="B332" s="14"/>
      <c r="C332" s="14"/>
      <c r="D332" s="14"/>
      <c r="E332" s="14"/>
      <c r="F332" s="14"/>
      <c r="G332" s="14"/>
      <c r="H332" s="14"/>
      <c r="I332" s="14"/>
      <c r="J332" s="15"/>
      <c r="L332" s="58"/>
      <c r="M332" s="58"/>
      <c r="N332" s="58"/>
      <c r="O332" s="58"/>
      <c r="P332" s="269"/>
      <c r="Q332" s="58"/>
      <c r="R332" s="58"/>
      <c r="S332" s="58"/>
      <c r="T332" s="58"/>
      <c r="U332" s="58"/>
      <c r="V332" s="269"/>
      <c r="W332" s="58"/>
      <c r="X332" s="58"/>
      <c r="Y332" s="58"/>
      <c r="Z332" s="58"/>
      <c r="AA332" s="58"/>
      <c r="AB332" s="269"/>
      <c r="AC332" s="58"/>
      <c r="AD332" s="58"/>
      <c r="AE332" s="58"/>
      <c r="AF332" s="58"/>
      <c r="AG332" s="58"/>
      <c r="AH332" s="269"/>
      <c r="AI332" s="58"/>
      <c r="AJ332" s="58"/>
      <c r="AK332" s="58"/>
      <c r="AL332" s="58"/>
      <c r="AM332" s="58"/>
      <c r="AN332" s="59"/>
      <c r="AO332" s="58"/>
      <c r="AP332" s="58"/>
      <c r="AQ332" s="58"/>
      <c r="AR332" s="58"/>
      <c r="AS332" s="58"/>
      <c r="AT332" s="59"/>
      <c r="AU332" s="58"/>
      <c r="AV332" s="58"/>
      <c r="AW332" s="58"/>
      <c r="AX332" s="58"/>
      <c r="AY332" s="58"/>
      <c r="AZ332" s="59"/>
      <c r="BA332" s="58"/>
      <c r="BB332" s="58"/>
      <c r="BC332" s="58"/>
      <c r="BD332" s="58"/>
      <c r="BE332" s="58"/>
      <c r="BF332" s="59"/>
      <c r="BG332" s="58"/>
      <c r="BH332" s="58"/>
      <c r="BI332" s="58"/>
      <c r="BJ332" s="58"/>
      <c r="BK332" s="58"/>
      <c r="BL332" s="59"/>
      <c r="BM332" s="58"/>
      <c r="BN332" s="58"/>
      <c r="BO332" s="58"/>
      <c r="BP332" s="58"/>
      <c r="BQ332" s="58"/>
      <c r="BR332" s="58"/>
      <c r="BS332" s="58"/>
      <c r="BT332" s="58"/>
      <c r="BU332" s="58"/>
      <c r="BV332" s="58"/>
      <c r="BW332" s="58"/>
      <c r="BX332" s="58"/>
      <c r="BY332" s="58"/>
      <c r="BZ332" s="58"/>
      <c r="CA332" s="58"/>
      <c r="CB332" s="58"/>
      <c r="CC332" s="58"/>
      <c r="CD332" s="58"/>
      <c r="CE332" s="58"/>
      <c r="CF332" s="58"/>
      <c r="CG332" s="58"/>
      <c r="CH332" s="58"/>
      <c r="CI332" s="58"/>
      <c r="CJ332" s="58"/>
      <c r="CK332" s="58"/>
      <c r="CL332" s="58"/>
      <c r="CM332" s="58"/>
      <c r="CN332" s="58"/>
      <c r="CO332" s="58"/>
      <c r="CP332" s="58"/>
      <c r="CQ332" s="58"/>
      <c r="CR332" s="58"/>
      <c r="CS332" s="58"/>
      <c r="CT332" s="58"/>
      <c r="CU332" s="58"/>
    </row>
    <row r="333" spans="1:99" ht="15" thickBot="1" x14ac:dyDescent="0.4">
      <c r="A333" s="14"/>
      <c r="B333" s="14"/>
      <c r="C333" s="14"/>
      <c r="D333" s="14"/>
      <c r="E333" s="14"/>
      <c r="F333" s="14"/>
      <c r="G333" s="14"/>
      <c r="H333" s="14"/>
      <c r="I333" s="14"/>
      <c r="J333" s="15"/>
      <c r="L333" s="58"/>
      <c r="M333" s="58"/>
      <c r="N333" s="58"/>
      <c r="O333" s="58"/>
      <c r="P333" s="269"/>
      <c r="Q333" s="58"/>
      <c r="R333" s="58"/>
      <c r="S333" s="58"/>
      <c r="T333" s="58"/>
      <c r="U333" s="58"/>
      <c r="V333" s="269"/>
      <c r="W333" s="58"/>
      <c r="X333" s="58"/>
      <c r="Y333" s="58"/>
      <c r="Z333" s="58"/>
      <c r="AA333" s="58"/>
      <c r="AB333" s="269"/>
      <c r="AC333" s="58"/>
      <c r="AD333" s="58"/>
      <c r="AE333" s="58"/>
      <c r="AF333" s="58"/>
      <c r="AG333" s="58"/>
      <c r="AH333" s="269"/>
      <c r="AI333" s="58"/>
      <c r="AJ333" s="58"/>
      <c r="AK333" s="58"/>
      <c r="AL333" s="58"/>
      <c r="AM333" s="58"/>
      <c r="AN333" s="59"/>
      <c r="AO333" s="58"/>
      <c r="AP333" s="58"/>
      <c r="AQ333" s="58"/>
      <c r="AR333" s="58"/>
      <c r="AS333" s="58"/>
      <c r="AT333" s="59"/>
      <c r="AU333" s="58"/>
      <c r="AV333" s="58"/>
      <c r="AW333" s="58"/>
      <c r="AX333" s="58"/>
      <c r="AY333" s="58"/>
      <c r="AZ333" s="59"/>
      <c r="BA333" s="58"/>
      <c r="BB333" s="58"/>
      <c r="BC333" s="58"/>
      <c r="BD333" s="58"/>
      <c r="BE333" s="58"/>
      <c r="BF333" s="59"/>
      <c r="BG333" s="58"/>
      <c r="BH333" s="58"/>
      <c r="BI333" s="58"/>
      <c r="BJ333" s="58"/>
      <c r="BK333" s="58"/>
      <c r="BL333" s="59"/>
      <c r="BM333" s="58"/>
      <c r="BN333" s="58"/>
      <c r="BO333" s="58"/>
      <c r="BP333" s="58"/>
      <c r="BQ333" s="58"/>
      <c r="BR333" s="58"/>
      <c r="BS333" s="58"/>
      <c r="BT333" s="58"/>
      <c r="BU333" s="58"/>
      <c r="BV333" s="58"/>
      <c r="BW333" s="58"/>
      <c r="BX333" s="58"/>
      <c r="BY333" s="58"/>
      <c r="BZ333" s="58"/>
      <c r="CA333" s="58"/>
      <c r="CB333" s="58"/>
      <c r="CC333" s="58"/>
      <c r="CD333" s="58"/>
      <c r="CE333" s="58"/>
      <c r="CF333" s="58"/>
      <c r="CG333" s="58"/>
      <c r="CH333" s="58"/>
      <c r="CI333" s="58"/>
      <c r="CJ333" s="58"/>
      <c r="CK333" s="58"/>
      <c r="CL333" s="58"/>
      <c r="CM333" s="58"/>
      <c r="CN333" s="58"/>
      <c r="CO333" s="58"/>
      <c r="CP333" s="58"/>
      <c r="CQ333" s="58"/>
      <c r="CR333" s="58"/>
      <c r="CS333" s="58"/>
      <c r="CT333" s="58"/>
      <c r="CU333" s="58"/>
    </row>
    <row r="334" spans="1:99" ht="15" thickBot="1" x14ac:dyDescent="0.4">
      <c r="A334" s="14"/>
      <c r="B334" s="14"/>
      <c r="C334" s="14"/>
      <c r="D334" s="14"/>
      <c r="E334" s="14"/>
      <c r="F334" s="14"/>
      <c r="G334" s="14"/>
      <c r="H334" s="14"/>
      <c r="I334" s="14"/>
      <c r="J334" s="15"/>
      <c r="L334" s="58"/>
      <c r="M334" s="58"/>
      <c r="N334" s="58"/>
      <c r="O334" s="58"/>
      <c r="P334" s="269"/>
      <c r="Q334" s="58"/>
      <c r="R334" s="58"/>
      <c r="S334" s="58"/>
      <c r="T334" s="58"/>
      <c r="U334" s="58"/>
      <c r="V334" s="269"/>
      <c r="W334" s="58"/>
      <c r="X334" s="58"/>
      <c r="Y334" s="58"/>
      <c r="Z334" s="58"/>
      <c r="AA334" s="58"/>
      <c r="AB334" s="269"/>
      <c r="AC334" s="58"/>
      <c r="AD334" s="58"/>
      <c r="AE334" s="58"/>
      <c r="AF334" s="58"/>
      <c r="AG334" s="58"/>
      <c r="AH334" s="269"/>
      <c r="AI334" s="58"/>
      <c r="AJ334" s="58"/>
      <c r="AK334" s="58"/>
      <c r="AL334" s="58"/>
      <c r="AM334" s="58"/>
      <c r="AN334" s="59"/>
      <c r="AO334" s="58"/>
      <c r="AP334" s="58"/>
      <c r="AQ334" s="58"/>
      <c r="AR334" s="58"/>
      <c r="AS334" s="58"/>
      <c r="AT334" s="59"/>
      <c r="AU334" s="58"/>
      <c r="AV334" s="58"/>
      <c r="AW334" s="58"/>
      <c r="AX334" s="58"/>
      <c r="AY334" s="58"/>
      <c r="AZ334" s="59"/>
      <c r="BA334" s="58"/>
      <c r="BB334" s="58"/>
      <c r="BC334" s="58"/>
      <c r="BD334" s="58"/>
      <c r="BE334" s="58"/>
      <c r="BF334" s="59"/>
      <c r="BG334" s="58"/>
      <c r="BH334" s="58"/>
      <c r="BI334" s="58"/>
      <c r="BJ334" s="58"/>
      <c r="BK334" s="58"/>
      <c r="BL334" s="59"/>
      <c r="BM334" s="58"/>
      <c r="BN334" s="58"/>
      <c r="BO334" s="58"/>
      <c r="BP334" s="58"/>
      <c r="BQ334" s="58"/>
      <c r="BR334" s="58"/>
      <c r="BS334" s="58"/>
      <c r="BT334" s="58"/>
      <c r="BU334" s="58"/>
      <c r="BV334" s="58"/>
      <c r="BW334" s="58"/>
      <c r="BX334" s="58"/>
      <c r="BY334" s="58"/>
      <c r="BZ334" s="58"/>
      <c r="CA334" s="58"/>
      <c r="CB334" s="58"/>
      <c r="CC334" s="58"/>
      <c r="CD334" s="58"/>
      <c r="CE334" s="58"/>
      <c r="CF334" s="58"/>
      <c r="CG334" s="58"/>
      <c r="CH334" s="58"/>
      <c r="CI334" s="58"/>
      <c r="CJ334" s="58"/>
      <c r="CK334" s="58"/>
      <c r="CL334" s="58"/>
      <c r="CM334" s="58"/>
      <c r="CN334" s="58"/>
      <c r="CO334" s="58"/>
      <c r="CP334" s="58"/>
      <c r="CQ334" s="58"/>
      <c r="CR334" s="58"/>
      <c r="CS334" s="58"/>
      <c r="CT334" s="58"/>
      <c r="CU334" s="58"/>
    </row>
    <row r="335" spans="1:99" ht="15" thickBot="1" x14ac:dyDescent="0.4">
      <c r="A335" s="14"/>
      <c r="B335" s="14"/>
      <c r="C335" s="14"/>
      <c r="D335" s="14"/>
      <c r="E335" s="14"/>
      <c r="F335" s="14"/>
      <c r="G335" s="14"/>
      <c r="H335" s="14"/>
      <c r="I335" s="14"/>
      <c r="J335" s="15"/>
      <c r="L335" s="58"/>
      <c r="M335" s="58"/>
      <c r="N335" s="58"/>
      <c r="O335" s="58"/>
      <c r="P335" s="269"/>
      <c r="Q335" s="58"/>
      <c r="R335" s="58"/>
      <c r="S335" s="58"/>
      <c r="T335" s="58"/>
      <c r="U335" s="58"/>
      <c r="V335" s="269"/>
      <c r="W335" s="58"/>
      <c r="X335" s="58"/>
      <c r="Y335" s="58"/>
      <c r="Z335" s="58"/>
      <c r="AA335" s="58"/>
      <c r="AB335" s="269"/>
      <c r="AC335" s="58"/>
      <c r="AD335" s="58"/>
      <c r="AE335" s="58"/>
      <c r="AF335" s="58"/>
      <c r="AG335" s="58"/>
      <c r="AH335" s="269"/>
      <c r="AI335" s="58"/>
      <c r="AJ335" s="58"/>
      <c r="AK335" s="58"/>
      <c r="AL335" s="58"/>
      <c r="AM335" s="58"/>
      <c r="AN335" s="59"/>
      <c r="AO335" s="58"/>
      <c r="AP335" s="58"/>
      <c r="AQ335" s="58"/>
      <c r="AR335" s="58"/>
      <c r="AS335" s="58"/>
      <c r="AT335" s="59"/>
      <c r="AU335" s="58"/>
      <c r="AV335" s="58"/>
      <c r="AW335" s="58"/>
      <c r="AX335" s="58"/>
      <c r="AY335" s="58"/>
      <c r="AZ335" s="59"/>
      <c r="BA335" s="58"/>
      <c r="BB335" s="58"/>
      <c r="BC335" s="58"/>
      <c r="BD335" s="58"/>
      <c r="BE335" s="58"/>
      <c r="BF335" s="59"/>
      <c r="BG335" s="58"/>
      <c r="BH335" s="58"/>
      <c r="BI335" s="58"/>
      <c r="BJ335" s="58"/>
      <c r="BK335" s="58"/>
      <c r="BL335" s="59"/>
      <c r="BM335" s="58"/>
      <c r="BN335" s="58"/>
      <c r="BO335" s="58"/>
      <c r="BP335" s="58"/>
      <c r="BQ335" s="58"/>
      <c r="BR335" s="58"/>
      <c r="BS335" s="58"/>
      <c r="BT335" s="58"/>
      <c r="BU335" s="58"/>
      <c r="BV335" s="58"/>
      <c r="BW335" s="58"/>
      <c r="BX335" s="58"/>
      <c r="BY335" s="58"/>
      <c r="BZ335" s="58"/>
      <c r="CA335" s="58"/>
      <c r="CB335" s="58"/>
      <c r="CC335" s="58"/>
      <c r="CD335" s="58"/>
      <c r="CE335" s="58"/>
      <c r="CF335" s="58"/>
      <c r="CG335" s="58"/>
      <c r="CH335" s="58"/>
      <c r="CI335" s="58"/>
      <c r="CJ335" s="58"/>
      <c r="CK335" s="58"/>
      <c r="CL335" s="58"/>
      <c r="CM335" s="58"/>
      <c r="CN335" s="58"/>
      <c r="CO335" s="58"/>
      <c r="CP335" s="58"/>
      <c r="CQ335" s="58"/>
      <c r="CR335" s="58"/>
      <c r="CS335" s="58"/>
      <c r="CT335" s="58"/>
      <c r="CU335" s="58"/>
    </row>
    <row r="336" spans="1:99" ht="15" thickBot="1" x14ac:dyDescent="0.4">
      <c r="A336" s="14"/>
      <c r="B336" s="14"/>
      <c r="C336" s="14"/>
      <c r="D336" s="14"/>
      <c r="E336" s="14"/>
      <c r="F336" s="14"/>
      <c r="G336" s="14"/>
      <c r="H336" s="14"/>
      <c r="I336" s="14"/>
      <c r="J336" s="15"/>
      <c r="L336" s="58"/>
      <c r="M336" s="58"/>
      <c r="N336" s="58"/>
      <c r="O336" s="58"/>
      <c r="P336" s="269"/>
      <c r="Q336" s="58"/>
      <c r="R336" s="58"/>
      <c r="S336" s="58"/>
      <c r="T336" s="58"/>
      <c r="U336" s="58"/>
      <c r="V336" s="269"/>
      <c r="W336" s="58"/>
      <c r="X336" s="58"/>
      <c r="Y336" s="58"/>
      <c r="Z336" s="58"/>
      <c r="AA336" s="58"/>
      <c r="AB336" s="269"/>
      <c r="AC336" s="58"/>
      <c r="AD336" s="58"/>
      <c r="AE336" s="58"/>
      <c r="AF336" s="58"/>
      <c r="AG336" s="58"/>
      <c r="AH336" s="269"/>
      <c r="AI336" s="58"/>
      <c r="AJ336" s="58"/>
      <c r="AK336" s="58"/>
      <c r="AL336" s="58"/>
      <c r="AM336" s="58"/>
      <c r="AN336" s="59"/>
      <c r="AO336" s="58"/>
      <c r="AP336" s="58"/>
      <c r="AQ336" s="58"/>
      <c r="AR336" s="58"/>
      <c r="AS336" s="58"/>
      <c r="AT336" s="59"/>
      <c r="AU336" s="58"/>
      <c r="AV336" s="58"/>
      <c r="AW336" s="58"/>
      <c r="AX336" s="58"/>
      <c r="AY336" s="58"/>
      <c r="AZ336" s="59"/>
      <c r="BA336" s="58"/>
      <c r="BB336" s="58"/>
      <c r="BC336" s="58"/>
      <c r="BD336" s="58"/>
      <c r="BE336" s="58"/>
      <c r="BF336" s="59"/>
      <c r="BG336" s="58"/>
      <c r="BH336" s="58"/>
      <c r="BI336" s="58"/>
      <c r="BJ336" s="58"/>
      <c r="BK336" s="58"/>
      <c r="BL336" s="59"/>
      <c r="BM336" s="58"/>
      <c r="BN336" s="58"/>
      <c r="BO336" s="58"/>
      <c r="BP336" s="58"/>
      <c r="BQ336" s="58"/>
      <c r="BR336" s="58"/>
      <c r="BS336" s="58"/>
      <c r="BT336" s="58"/>
      <c r="BU336" s="58"/>
      <c r="BV336" s="58"/>
      <c r="BW336" s="58"/>
      <c r="BX336" s="58"/>
      <c r="BY336" s="58"/>
      <c r="BZ336" s="58"/>
      <c r="CA336" s="58"/>
      <c r="CB336" s="58"/>
      <c r="CC336" s="58"/>
      <c r="CD336" s="58"/>
      <c r="CE336" s="58"/>
      <c r="CF336" s="58"/>
      <c r="CG336" s="58"/>
      <c r="CH336" s="58"/>
      <c r="CI336" s="58"/>
      <c r="CJ336" s="58"/>
      <c r="CK336" s="58"/>
      <c r="CL336" s="58"/>
      <c r="CM336" s="58"/>
      <c r="CN336" s="58"/>
      <c r="CO336" s="58"/>
      <c r="CP336" s="58"/>
      <c r="CQ336" s="58"/>
      <c r="CR336" s="58"/>
      <c r="CS336" s="58"/>
      <c r="CT336" s="58"/>
      <c r="CU336" s="58"/>
    </row>
    <row r="337" spans="1:99" ht="15" thickBot="1" x14ac:dyDescent="0.4">
      <c r="A337" s="14"/>
      <c r="B337" s="14"/>
      <c r="C337" s="14"/>
      <c r="D337" s="14"/>
      <c r="E337" s="14"/>
      <c r="F337" s="14"/>
      <c r="G337" s="14"/>
      <c r="H337" s="14"/>
      <c r="I337" s="14"/>
      <c r="J337" s="15"/>
      <c r="L337" s="58"/>
      <c r="M337" s="58"/>
      <c r="N337" s="58"/>
      <c r="O337" s="58"/>
      <c r="P337" s="269"/>
      <c r="Q337" s="58"/>
      <c r="R337" s="58"/>
      <c r="S337" s="58"/>
      <c r="T337" s="58"/>
      <c r="U337" s="58"/>
      <c r="V337" s="269"/>
      <c r="W337" s="58"/>
      <c r="X337" s="58"/>
      <c r="Y337" s="58"/>
      <c r="Z337" s="58"/>
      <c r="AA337" s="58"/>
      <c r="AB337" s="269"/>
      <c r="AC337" s="58"/>
      <c r="AD337" s="58"/>
      <c r="AE337" s="58"/>
      <c r="AF337" s="58"/>
      <c r="AG337" s="58"/>
      <c r="AH337" s="269"/>
      <c r="AI337" s="58"/>
      <c r="AJ337" s="58"/>
      <c r="AK337" s="58"/>
      <c r="AL337" s="58"/>
      <c r="AM337" s="58"/>
      <c r="AN337" s="59"/>
      <c r="AO337" s="58"/>
      <c r="AP337" s="58"/>
      <c r="AQ337" s="58"/>
      <c r="AR337" s="58"/>
      <c r="AS337" s="58"/>
      <c r="AT337" s="59"/>
      <c r="AU337" s="58"/>
      <c r="AV337" s="58"/>
      <c r="AW337" s="58"/>
      <c r="AX337" s="58"/>
      <c r="AY337" s="58"/>
      <c r="AZ337" s="59"/>
      <c r="BA337" s="58"/>
      <c r="BB337" s="58"/>
      <c r="BC337" s="58"/>
      <c r="BD337" s="58"/>
      <c r="BE337" s="58"/>
      <c r="BF337" s="59"/>
      <c r="BG337" s="58"/>
      <c r="BH337" s="58"/>
      <c r="BI337" s="58"/>
      <c r="BJ337" s="58"/>
      <c r="BK337" s="58"/>
      <c r="BL337" s="59"/>
      <c r="BM337" s="58"/>
      <c r="BN337" s="58"/>
      <c r="BO337" s="58"/>
      <c r="BP337" s="58"/>
      <c r="BQ337" s="58"/>
      <c r="BR337" s="58"/>
      <c r="BS337" s="58"/>
      <c r="BT337" s="58"/>
      <c r="BU337" s="58"/>
      <c r="BV337" s="58"/>
      <c r="BW337" s="58"/>
      <c r="BX337" s="58"/>
      <c r="BY337" s="58"/>
      <c r="BZ337" s="58"/>
      <c r="CA337" s="58"/>
      <c r="CB337" s="58"/>
      <c r="CC337" s="58"/>
      <c r="CD337" s="58"/>
      <c r="CE337" s="58"/>
      <c r="CF337" s="58"/>
      <c r="CG337" s="58"/>
      <c r="CH337" s="58"/>
      <c r="CI337" s="58"/>
      <c r="CJ337" s="58"/>
      <c r="CK337" s="58"/>
      <c r="CL337" s="58"/>
      <c r="CM337" s="58"/>
      <c r="CN337" s="58"/>
      <c r="CO337" s="58"/>
      <c r="CP337" s="58"/>
      <c r="CQ337" s="58"/>
      <c r="CR337" s="58"/>
      <c r="CS337" s="58"/>
      <c r="CT337" s="58"/>
      <c r="CU337" s="58"/>
    </row>
    <row r="338" spans="1:99" ht="15" thickBot="1" x14ac:dyDescent="0.4">
      <c r="A338" s="14"/>
      <c r="B338" s="14"/>
      <c r="C338" s="14"/>
      <c r="D338" s="14"/>
      <c r="E338" s="14"/>
      <c r="F338" s="14"/>
      <c r="G338" s="14"/>
      <c r="H338" s="14"/>
      <c r="I338" s="14"/>
      <c r="J338" s="15"/>
      <c r="L338" s="58"/>
      <c r="M338" s="58"/>
      <c r="N338" s="58"/>
      <c r="O338" s="58"/>
      <c r="P338" s="269"/>
      <c r="Q338" s="58"/>
      <c r="R338" s="58"/>
      <c r="S338" s="58"/>
      <c r="T338" s="58"/>
      <c r="U338" s="58"/>
      <c r="V338" s="269"/>
      <c r="W338" s="58"/>
      <c r="X338" s="58"/>
      <c r="Y338" s="58"/>
      <c r="Z338" s="58"/>
      <c r="AA338" s="58"/>
      <c r="AB338" s="269"/>
      <c r="AC338" s="58"/>
      <c r="AD338" s="58"/>
      <c r="AE338" s="58"/>
      <c r="AF338" s="58"/>
      <c r="AG338" s="58"/>
      <c r="AH338" s="269"/>
      <c r="AI338" s="58"/>
      <c r="AJ338" s="58"/>
      <c r="AK338" s="58"/>
      <c r="AL338" s="58"/>
      <c r="AM338" s="58"/>
      <c r="AN338" s="59"/>
      <c r="AO338" s="58"/>
      <c r="AP338" s="58"/>
      <c r="AQ338" s="58"/>
      <c r="AR338" s="58"/>
      <c r="AS338" s="58"/>
      <c r="AT338" s="59"/>
      <c r="AU338" s="58"/>
      <c r="AV338" s="58"/>
      <c r="AW338" s="58"/>
      <c r="AX338" s="58"/>
      <c r="AY338" s="58"/>
      <c r="AZ338" s="59"/>
      <c r="BA338" s="58"/>
      <c r="BB338" s="58"/>
      <c r="BC338" s="58"/>
      <c r="BD338" s="58"/>
      <c r="BE338" s="58"/>
      <c r="BF338" s="59"/>
      <c r="BG338" s="58"/>
      <c r="BH338" s="58"/>
      <c r="BI338" s="58"/>
      <c r="BJ338" s="58"/>
      <c r="BK338" s="58"/>
      <c r="BL338" s="59"/>
      <c r="BM338" s="58"/>
      <c r="BN338" s="58"/>
      <c r="BO338" s="58"/>
      <c r="BP338" s="58"/>
      <c r="BQ338" s="58"/>
      <c r="BR338" s="58"/>
      <c r="BS338" s="58"/>
      <c r="BT338" s="58"/>
      <c r="BU338" s="58"/>
      <c r="BV338" s="58"/>
      <c r="BW338" s="58"/>
      <c r="BX338" s="58"/>
      <c r="BY338" s="58"/>
      <c r="BZ338" s="58"/>
      <c r="CA338" s="58"/>
      <c r="CB338" s="58"/>
      <c r="CC338" s="58"/>
      <c r="CD338" s="58"/>
      <c r="CE338" s="58"/>
      <c r="CF338" s="58"/>
      <c r="CG338" s="58"/>
      <c r="CH338" s="58"/>
      <c r="CI338" s="58"/>
      <c r="CJ338" s="58"/>
      <c r="CK338" s="58"/>
      <c r="CL338" s="58"/>
      <c r="CM338" s="58"/>
      <c r="CN338" s="58"/>
      <c r="CO338" s="58"/>
      <c r="CP338" s="58"/>
      <c r="CQ338" s="58"/>
      <c r="CR338" s="58"/>
      <c r="CS338" s="58"/>
      <c r="CT338" s="58"/>
      <c r="CU338" s="58"/>
    </row>
    <row r="339" spans="1:99" ht="15" thickBot="1" x14ac:dyDescent="0.4">
      <c r="A339" s="14"/>
      <c r="B339" s="14"/>
      <c r="C339" s="14"/>
      <c r="D339" s="14"/>
      <c r="E339" s="14"/>
      <c r="F339" s="14"/>
      <c r="G339" s="14"/>
      <c r="H339" s="14"/>
      <c r="I339" s="14"/>
      <c r="J339" s="15"/>
      <c r="L339" s="58"/>
      <c r="M339" s="58"/>
      <c r="N339" s="58"/>
      <c r="O339" s="58"/>
      <c r="P339" s="269"/>
      <c r="Q339" s="58"/>
      <c r="R339" s="58"/>
      <c r="S339" s="58"/>
      <c r="T339" s="58"/>
      <c r="U339" s="58"/>
      <c r="V339" s="269"/>
      <c r="W339" s="58"/>
      <c r="X339" s="58"/>
      <c r="Y339" s="58"/>
      <c r="Z339" s="58"/>
      <c r="AA339" s="58"/>
      <c r="AB339" s="269"/>
      <c r="AC339" s="58"/>
      <c r="AD339" s="58"/>
      <c r="AE339" s="58"/>
      <c r="AF339" s="58"/>
      <c r="AG339" s="58"/>
      <c r="AH339" s="269"/>
      <c r="AI339" s="58"/>
      <c r="AJ339" s="58"/>
      <c r="AK339" s="58"/>
      <c r="AL339" s="58"/>
      <c r="AM339" s="58"/>
      <c r="AN339" s="59"/>
      <c r="AO339" s="58"/>
      <c r="AP339" s="58"/>
      <c r="AQ339" s="58"/>
      <c r="AR339" s="58"/>
      <c r="AS339" s="58"/>
      <c r="AT339" s="59"/>
      <c r="AU339" s="58"/>
      <c r="AV339" s="58"/>
      <c r="AW339" s="58"/>
      <c r="AX339" s="58"/>
      <c r="AY339" s="58"/>
      <c r="AZ339" s="59"/>
      <c r="BA339" s="58"/>
      <c r="BB339" s="58"/>
      <c r="BC339" s="58"/>
      <c r="BD339" s="58"/>
      <c r="BE339" s="58"/>
      <c r="BF339" s="59"/>
      <c r="BG339" s="58"/>
      <c r="BH339" s="58"/>
      <c r="BI339" s="58"/>
      <c r="BJ339" s="58"/>
      <c r="BK339" s="58"/>
      <c r="BL339" s="59"/>
      <c r="BM339" s="58"/>
      <c r="BN339" s="58"/>
      <c r="BO339" s="58"/>
      <c r="BP339" s="58"/>
      <c r="BQ339" s="58"/>
      <c r="BR339" s="58"/>
      <c r="BS339" s="58"/>
      <c r="BT339" s="58"/>
      <c r="BU339" s="58"/>
      <c r="BV339" s="58"/>
      <c r="BW339" s="58"/>
      <c r="BX339" s="58"/>
      <c r="BY339" s="58"/>
      <c r="BZ339" s="58"/>
      <c r="CA339" s="58"/>
      <c r="CB339" s="58"/>
      <c r="CC339" s="58"/>
      <c r="CD339" s="58"/>
      <c r="CE339" s="58"/>
      <c r="CF339" s="58"/>
      <c r="CG339" s="58"/>
      <c r="CH339" s="58"/>
      <c r="CI339" s="58"/>
      <c r="CJ339" s="58"/>
      <c r="CK339" s="58"/>
      <c r="CL339" s="58"/>
      <c r="CM339" s="58"/>
      <c r="CN339" s="58"/>
      <c r="CO339" s="58"/>
      <c r="CP339" s="58"/>
      <c r="CQ339" s="58"/>
      <c r="CR339" s="58"/>
      <c r="CS339" s="58"/>
      <c r="CT339" s="58"/>
      <c r="CU339" s="58"/>
    </row>
    <row r="340" spans="1:99" ht="15" thickBot="1" x14ac:dyDescent="0.4">
      <c r="A340" s="14"/>
      <c r="B340" s="14"/>
      <c r="C340" s="14"/>
      <c r="D340" s="14"/>
      <c r="E340" s="14"/>
      <c r="F340" s="14"/>
      <c r="G340" s="14"/>
      <c r="H340" s="14"/>
      <c r="I340" s="14"/>
      <c r="J340" s="15"/>
      <c r="L340" s="58"/>
      <c r="M340" s="58"/>
      <c r="N340" s="58"/>
      <c r="O340" s="58"/>
      <c r="P340" s="269"/>
      <c r="Q340" s="58"/>
      <c r="R340" s="58"/>
      <c r="S340" s="58"/>
      <c r="T340" s="58"/>
      <c r="U340" s="58"/>
      <c r="V340" s="269"/>
      <c r="W340" s="58"/>
      <c r="X340" s="58"/>
      <c r="Y340" s="58"/>
      <c r="Z340" s="58"/>
      <c r="AA340" s="58"/>
      <c r="AB340" s="269"/>
      <c r="AC340" s="58"/>
      <c r="AD340" s="58"/>
      <c r="AE340" s="58"/>
      <c r="AF340" s="58"/>
      <c r="AG340" s="58"/>
      <c r="AH340" s="269"/>
      <c r="AI340" s="58"/>
      <c r="AJ340" s="58"/>
      <c r="AK340" s="58"/>
      <c r="AL340" s="58"/>
      <c r="AM340" s="58"/>
      <c r="AN340" s="59"/>
      <c r="AO340" s="58"/>
      <c r="AP340" s="58"/>
      <c r="AQ340" s="58"/>
      <c r="AR340" s="58"/>
      <c r="AS340" s="58"/>
      <c r="AT340" s="59"/>
      <c r="AU340" s="58"/>
      <c r="AV340" s="58"/>
      <c r="AW340" s="58"/>
      <c r="AX340" s="58"/>
      <c r="AY340" s="58"/>
      <c r="AZ340" s="59"/>
      <c r="BA340" s="58"/>
      <c r="BB340" s="58"/>
      <c r="BC340" s="58"/>
      <c r="BD340" s="58"/>
      <c r="BE340" s="58"/>
      <c r="BF340" s="59"/>
      <c r="BG340" s="58"/>
      <c r="BH340" s="58"/>
      <c r="BI340" s="58"/>
      <c r="BJ340" s="58"/>
      <c r="BK340" s="58"/>
      <c r="BL340" s="59"/>
      <c r="BM340" s="58"/>
      <c r="BN340" s="58"/>
      <c r="BO340" s="58"/>
      <c r="BP340" s="58"/>
      <c r="BQ340" s="58"/>
      <c r="BR340" s="58"/>
      <c r="BS340" s="58"/>
      <c r="BT340" s="58"/>
      <c r="BU340" s="58"/>
      <c r="BV340" s="58"/>
      <c r="BW340" s="58"/>
      <c r="BX340" s="58"/>
      <c r="BY340" s="58"/>
      <c r="BZ340" s="58"/>
      <c r="CA340" s="58"/>
      <c r="CB340" s="58"/>
      <c r="CC340" s="58"/>
      <c r="CD340" s="58"/>
      <c r="CE340" s="58"/>
      <c r="CF340" s="58"/>
      <c r="CG340" s="58"/>
      <c r="CH340" s="58"/>
      <c r="CI340" s="58"/>
      <c r="CJ340" s="58"/>
      <c r="CK340" s="58"/>
      <c r="CL340" s="58"/>
      <c r="CM340" s="58"/>
      <c r="CN340" s="58"/>
      <c r="CO340" s="58"/>
      <c r="CP340" s="58"/>
      <c r="CQ340" s="58"/>
      <c r="CR340" s="58"/>
      <c r="CS340" s="58"/>
      <c r="CT340" s="58"/>
      <c r="CU340" s="58"/>
    </row>
    <row r="341" spans="1:99" ht="15" thickBot="1" x14ac:dyDescent="0.4">
      <c r="A341" s="14"/>
      <c r="B341" s="14"/>
      <c r="C341" s="14"/>
      <c r="D341" s="14"/>
      <c r="E341" s="14"/>
      <c r="F341" s="14"/>
      <c r="G341" s="14"/>
      <c r="H341" s="14"/>
      <c r="I341" s="14"/>
      <c r="J341" s="15"/>
      <c r="L341" s="58"/>
      <c r="M341" s="58"/>
      <c r="N341" s="58"/>
      <c r="O341" s="58"/>
      <c r="P341" s="269"/>
      <c r="Q341" s="58"/>
      <c r="R341" s="58"/>
      <c r="S341" s="58"/>
      <c r="T341" s="58"/>
      <c r="U341" s="58"/>
      <c r="V341" s="269"/>
      <c r="W341" s="58"/>
      <c r="X341" s="58"/>
      <c r="Y341" s="58"/>
      <c r="Z341" s="58"/>
      <c r="AA341" s="58"/>
      <c r="AB341" s="269"/>
      <c r="AC341" s="58"/>
      <c r="AD341" s="58"/>
      <c r="AE341" s="58"/>
      <c r="AF341" s="58"/>
      <c r="AG341" s="58"/>
      <c r="AH341" s="269"/>
      <c r="AI341" s="58"/>
      <c r="AJ341" s="58"/>
      <c r="AK341" s="58"/>
      <c r="AL341" s="58"/>
      <c r="AM341" s="58"/>
      <c r="AN341" s="59"/>
      <c r="AO341" s="58"/>
      <c r="AP341" s="58"/>
      <c r="AQ341" s="58"/>
      <c r="AR341" s="58"/>
      <c r="AS341" s="58"/>
      <c r="AT341" s="59"/>
      <c r="AU341" s="58"/>
      <c r="AV341" s="58"/>
      <c r="AW341" s="58"/>
      <c r="AX341" s="58"/>
      <c r="AY341" s="58"/>
      <c r="AZ341" s="59"/>
      <c r="BA341" s="58"/>
      <c r="BB341" s="58"/>
      <c r="BC341" s="58"/>
      <c r="BD341" s="58"/>
      <c r="BE341" s="58"/>
      <c r="BF341" s="59"/>
      <c r="BG341" s="58"/>
      <c r="BH341" s="58"/>
      <c r="BI341" s="58"/>
      <c r="BJ341" s="58"/>
      <c r="BK341" s="58"/>
      <c r="BL341" s="59"/>
      <c r="BM341" s="58"/>
      <c r="BN341" s="58"/>
      <c r="BO341" s="58"/>
      <c r="BP341" s="58"/>
      <c r="BQ341" s="58"/>
      <c r="BR341" s="58"/>
      <c r="BS341" s="58"/>
      <c r="BT341" s="58"/>
      <c r="BU341" s="58"/>
      <c r="BV341" s="58"/>
      <c r="BW341" s="58"/>
      <c r="BX341" s="58"/>
      <c r="BY341" s="58"/>
      <c r="BZ341" s="58"/>
      <c r="CA341" s="58"/>
      <c r="CB341" s="58"/>
      <c r="CC341" s="58"/>
      <c r="CD341" s="58"/>
      <c r="CE341" s="58"/>
      <c r="CF341" s="58"/>
      <c r="CG341" s="58"/>
      <c r="CH341" s="58"/>
      <c r="CI341" s="58"/>
      <c r="CJ341" s="58"/>
      <c r="CK341" s="58"/>
      <c r="CL341" s="58"/>
      <c r="CM341" s="58"/>
      <c r="CN341" s="58"/>
      <c r="CO341" s="58"/>
      <c r="CP341" s="58"/>
      <c r="CQ341" s="58"/>
      <c r="CR341" s="58"/>
      <c r="CS341" s="58"/>
      <c r="CT341" s="58"/>
      <c r="CU341" s="58"/>
    </row>
    <row r="342" spans="1:99" ht="15" thickBot="1" x14ac:dyDescent="0.4">
      <c r="A342" s="14"/>
      <c r="B342" s="14"/>
      <c r="C342" s="14"/>
      <c r="D342" s="14"/>
      <c r="E342" s="14"/>
      <c r="F342" s="14"/>
      <c r="G342" s="14"/>
      <c r="H342" s="14"/>
      <c r="I342" s="14"/>
      <c r="J342" s="15"/>
      <c r="L342" s="58"/>
      <c r="M342" s="58"/>
      <c r="N342" s="58"/>
      <c r="O342" s="58"/>
      <c r="P342" s="269"/>
      <c r="Q342" s="58"/>
      <c r="R342" s="58"/>
      <c r="S342" s="58"/>
      <c r="T342" s="58"/>
      <c r="U342" s="58"/>
      <c r="V342" s="269"/>
      <c r="W342" s="58"/>
      <c r="X342" s="58"/>
      <c r="Y342" s="58"/>
      <c r="Z342" s="58"/>
      <c r="AA342" s="58"/>
      <c r="AB342" s="269"/>
      <c r="AC342" s="58"/>
      <c r="AD342" s="58"/>
      <c r="AE342" s="58"/>
      <c r="AF342" s="58"/>
      <c r="AG342" s="58"/>
      <c r="AH342" s="269"/>
      <c r="AI342" s="58"/>
      <c r="AJ342" s="58"/>
      <c r="AK342" s="58"/>
      <c r="AL342" s="58"/>
      <c r="AM342" s="58"/>
      <c r="AN342" s="59"/>
      <c r="AO342" s="58"/>
      <c r="AP342" s="58"/>
      <c r="AQ342" s="58"/>
      <c r="AR342" s="58"/>
      <c r="AS342" s="58"/>
      <c r="AT342" s="59"/>
      <c r="AU342" s="58"/>
      <c r="AV342" s="58"/>
      <c r="AW342" s="58"/>
      <c r="AX342" s="58"/>
      <c r="AY342" s="58"/>
      <c r="AZ342" s="59"/>
      <c r="BA342" s="58"/>
      <c r="BB342" s="58"/>
      <c r="BC342" s="58"/>
      <c r="BD342" s="58"/>
      <c r="BE342" s="58"/>
      <c r="BF342" s="59"/>
      <c r="BG342" s="58"/>
      <c r="BH342" s="58"/>
      <c r="BI342" s="58"/>
      <c r="BJ342" s="58"/>
      <c r="BK342" s="58"/>
      <c r="BL342" s="59"/>
      <c r="BM342" s="58"/>
      <c r="BN342" s="58"/>
      <c r="BO342" s="58"/>
      <c r="BP342" s="58"/>
      <c r="BQ342" s="58"/>
      <c r="BR342" s="58"/>
      <c r="BS342" s="58"/>
      <c r="BT342" s="58"/>
      <c r="BU342" s="58"/>
      <c r="BV342" s="58"/>
      <c r="BW342" s="58"/>
      <c r="BX342" s="58"/>
      <c r="BY342" s="58"/>
      <c r="BZ342" s="58"/>
      <c r="CA342" s="58"/>
      <c r="CB342" s="58"/>
      <c r="CC342" s="58"/>
      <c r="CD342" s="58"/>
      <c r="CE342" s="58"/>
      <c r="CF342" s="58"/>
      <c r="CG342" s="58"/>
      <c r="CH342" s="58"/>
      <c r="CI342" s="58"/>
      <c r="CJ342" s="58"/>
      <c r="CK342" s="58"/>
      <c r="CL342" s="58"/>
      <c r="CM342" s="58"/>
      <c r="CN342" s="58"/>
      <c r="CO342" s="58"/>
      <c r="CP342" s="58"/>
      <c r="CQ342" s="58"/>
      <c r="CR342" s="58"/>
      <c r="CS342" s="58"/>
      <c r="CT342" s="58"/>
      <c r="CU342" s="58"/>
    </row>
    <row r="343" spans="1:99" ht="15" thickBot="1" x14ac:dyDescent="0.4">
      <c r="A343" s="14"/>
      <c r="B343" s="14"/>
      <c r="C343" s="14"/>
      <c r="D343" s="14"/>
      <c r="E343" s="14"/>
      <c r="F343" s="14"/>
      <c r="G343" s="14"/>
      <c r="H343" s="14"/>
      <c r="I343" s="14"/>
      <c r="J343" s="15"/>
      <c r="L343" s="58"/>
      <c r="M343" s="58"/>
      <c r="N343" s="58"/>
      <c r="O343" s="58"/>
      <c r="P343" s="269"/>
      <c r="Q343" s="58"/>
      <c r="R343" s="58"/>
      <c r="S343" s="58"/>
      <c r="T343" s="58"/>
      <c r="U343" s="58"/>
      <c r="V343" s="269"/>
      <c r="W343" s="58"/>
      <c r="X343" s="58"/>
      <c r="Y343" s="58"/>
      <c r="Z343" s="58"/>
      <c r="AA343" s="58"/>
      <c r="AB343" s="269"/>
      <c r="AC343" s="58"/>
      <c r="AD343" s="58"/>
      <c r="AE343" s="58"/>
      <c r="AF343" s="58"/>
      <c r="AG343" s="58"/>
      <c r="AH343" s="269"/>
      <c r="AI343" s="58"/>
      <c r="AJ343" s="58"/>
      <c r="AK343" s="58"/>
      <c r="AL343" s="58"/>
      <c r="AM343" s="58"/>
      <c r="AN343" s="59"/>
      <c r="AO343" s="58"/>
      <c r="AP343" s="58"/>
      <c r="AQ343" s="58"/>
      <c r="AR343" s="58"/>
      <c r="AS343" s="58"/>
      <c r="AT343" s="59"/>
      <c r="AU343" s="58"/>
      <c r="AV343" s="58"/>
      <c r="AW343" s="58"/>
      <c r="AX343" s="58"/>
      <c r="AY343" s="58"/>
      <c r="AZ343" s="59"/>
      <c r="BA343" s="58"/>
      <c r="BB343" s="58"/>
      <c r="BC343" s="58"/>
      <c r="BD343" s="58"/>
      <c r="BE343" s="58"/>
      <c r="BF343" s="59"/>
      <c r="BG343" s="58"/>
      <c r="BH343" s="58"/>
      <c r="BI343" s="58"/>
      <c r="BJ343" s="58"/>
      <c r="BK343" s="58"/>
      <c r="BL343" s="59"/>
      <c r="BM343" s="58"/>
      <c r="BN343" s="58"/>
      <c r="BO343" s="58"/>
      <c r="BP343" s="58"/>
      <c r="BQ343" s="58"/>
      <c r="BR343" s="58"/>
      <c r="BS343" s="58"/>
      <c r="BT343" s="58"/>
      <c r="BU343" s="58"/>
      <c r="BV343" s="58"/>
      <c r="BW343" s="58"/>
      <c r="BX343" s="58"/>
      <c r="BY343" s="58"/>
      <c r="BZ343" s="58"/>
      <c r="CA343" s="58"/>
      <c r="CB343" s="58"/>
      <c r="CC343" s="58"/>
      <c r="CD343" s="58"/>
      <c r="CE343" s="58"/>
      <c r="CF343" s="58"/>
      <c r="CG343" s="58"/>
      <c r="CH343" s="58"/>
      <c r="CI343" s="58"/>
      <c r="CJ343" s="58"/>
      <c r="CK343" s="58"/>
      <c r="CL343" s="58"/>
      <c r="CM343" s="58"/>
      <c r="CN343" s="58"/>
      <c r="CO343" s="58"/>
      <c r="CP343" s="58"/>
      <c r="CQ343" s="58"/>
      <c r="CR343" s="58"/>
      <c r="CS343" s="58"/>
      <c r="CT343" s="58"/>
      <c r="CU343" s="58"/>
    </row>
    <row r="344" spans="1:99" ht="15" thickBot="1" x14ac:dyDescent="0.4">
      <c r="A344" s="14"/>
      <c r="B344" s="14"/>
      <c r="C344" s="14"/>
      <c r="D344" s="14"/>
      <c r="E344" s="14"/>
      <c r="F344" s="14"/>
      <c r="G344" s="14"/>
      <c r="H344" s="14"/>
      <c r="I344" s="14"/>
      <c r="J344" s="15"/>
      <c r="L344" s="58"/>
      <c r="M344" s="58"/>
      <c r="N344" s="58"/>
      <c r="O344" s="58"/>
      <c r="P344" s="269"/>
      <c r="Q344" s="58"/>
      <c r="R344" s="58"/>
      <c r="S344" s="58"/>
      <c r="T344" s="58"/>
      <c r="U344" s="58"/>
      <c r="V344" s="269"/>
      <c r="W344" s="58"/>
      <c r="X344" s="58"/>
      <c r="Y344" s="58"/>
      <c r="Z344" s="58"/>
      <c r="AA344" s="58"/>
      <c r="AB344" s="269"/>
      <c r="AC344" s="58"/>
      <c r="AD344" s="58"/>
      <c r="AE344" s="58"/>
      <c r="AF344" s="58"/>
      <c r="AG344" s="58"/>
      <c r="AH344" s="269"/>
      <c r="AI344" s="58"/>
      <c r="AJ344" s="58"/>
      <c r="AK344" s="58"/>
      <c r="AL344" s="58"/>
      <c r="AM344" s="58"/>
      <c r="AN344" s="59"/>
      <c r="AO344" s="58"/>
      <c r="AP344" s="58"/>
      <c r="AQ344" s="58"/>
      <c r="AR344" s="58"/>
      <c r="AS344" s="58"/>
      <c r="AT344" s="59"/>
      <c r="AU344" s="58"/>
      <c r="AV344" s="58"/>
      <c r="AW344" s="58"/>
      <c r="AX344" s="58"/>
      <c r="AY344" s="58"/>
      <c r="AZ344" s="59"/>
      <c r="BA344" s="58"/>
      <c r="BB344" s="58"/>
      <c r="BC344" s="58"/>
      <c r="BD344" s="58"/>
      <c r="BE344" s="58"/>
      <c r="BF344" s="59"/>
      <c r="BG344" s="58"/>
      <c r="BH344" s="58"/>
      <c r="BI344" s="58"/>
      <c r="BJ344" s="58"/>
      <c r="BK344" s="58"/>
      <c r="BL344" s="59"/>
      <c r="BM344" s="58"/>
      <c r="BN344" s="58"/>
      <c r="BO344" s="58"/>
      <c r="BP344" s="58"/>
      <c r="BQ344" s="58"/>
      <c r="BR344" s="58"/>
      <c r="BS344" s="58"/>
      <c r="BT344" s="58"/>
      <c r="BU344" s="58"/>
      <c r="BV344" s="58"/>
      <c r="BW344" s="58"/>
      <c r="BX344" s="58"/>
      <c r="BY344" s="58"/>
      <c r="BZ344" s="58"/>
      <c r="CA344" s="58"/>
      <c r="CB344" s="58"/>
      <c r="CC344" s="58"/>
      <c r="CD344" s="58"/>
      <c r="CE344" s="58"/>
      <c r="CF344" s="58"/>
      <c r="CG344" s="58"/>
      <c r="CH344" s="58"/>
      <c r="CI344" s="58"/>
      <c r="CJ344" s="58"/>
      <c r="CK344" s="58"/>
      <c r="CL344" s="58"/>
      <c r="CM344" s="58"/>
      <c r="CN344" s="58"/>
      <c r="CO344" s="58"/>
      <c r="CP344" s="58"/>
      <c r="CQ344" s="58"/>
      <c r="CR344" s="58"/>
      <c r="CS344" s="58"/>
      <c r="CT344" s="58"/>
      <c r="CU344" s="58"/>
    </row>
    <row r="345" spans="1:99" ht="15" thickBot="1" x14ac:dyDescent="0.4">
      <c r="A345" s="14"/>
      <c r="B345" s="14"/>
      <c r="C345" s="14"/>
      <c r="D345" s="14"/>
      <c r="E345" s="14"/>
      <c r="F345" s="14"/>
      <c r="G345" s="14"/>
      <c r="H345" s="14"/>
      <c r="I345" s="14"/>
      <c r="J345" s="15"/>
      <c r="L345" s="58"/>
      <c r="M345" s="58"/>
      <c r="N345" s="58"/>
      <c r="O345" s="58"/>
      <c r="P345" s="269"/>
      <c r="Q345" s="58"/>
      <c r="R345" s="58"/>
      <c r="S345" s="58"/>
      <c r="T345" s="58"/>
      <c r="U345" s="58"/>
      <c r="V345" s="269"/>
      <c r="W345" s="58"/>
      <c r="X345" s="58"/>
      <c r="Y345" s="58"/>
      <c r="Z345" s="58"/>
      <c r="AA345" s="58"/>
      <c r="AB345" s="269"/>
      <c r="AC345" s="58"/>
      <c r="AD345" s="58"/>
      <c r="AE345" s="58"/>
      <c r="AF345" s="58"/>
      <c r="AG345" s="58"/>
      <c r="AH345" s="269"/>
      <c r="AI345" s="58"/>
      <c r="AJ345" s="58"/>
      <c r="AK345" s="58"/>
      <c r="AL345" s="58"/>
      <c r="AM345" s="58"/>
      <c r="AN345" s="59"/>
      <c r="AO345" s="58"/>
      <c r="AP345" s="58"/>
      <c r="AQ345" s="58"/>
      <c r="AR345" s="58"/>
      <c r="AS345" s="58"/>
      <c r="AT345" s="59"/>
      <c r="AU345" s="58"/>
      <c r="AV345" s="58"/>
      <c r="AW345" s="58"/>
      <c r="AX345" s="58"/>
      <c r="AY345" s="58"/>
      <c r="AZ345" s="59"/>
      <c r="BA345" s="58"/>
      <c r="BB345" s="58"/>
      <c r="BC345" s="58"/>
      <c r="BD345" s="58"/>
      <c r="BE345" s="58"/>
      <c r="BF345" s="59"/>
      <c r="BG345" s="58"/>
      <c r="BH345" s="58"/>
      <c r="BI345" s="58"/>
      <c r="BJ345" s="58"/>
      <c r="BK345" s="58"/>
      <c r="BL345" s="59"/>
      <c r="BM345" s="58"/>
      <c r="BN345" s="58"/>
      <c r="BO345" s="58"/>
      <c r="BP345" s="58"/>
      <c r="BQ345" s="58"/>
      <c r="BR345" s="58"/>
      <c r="BS345" s="58"/>
      <c r="BT345" s="58"/>
      <c r="BU345" s="58"/>
      <c r="BV345" s="58"/>
      <c r="BW345" s="58"/>
      <c r="BX345" s="58"/>
      <c r="BY345" s="58"/>
      <c r="BZ345" s="58"/>
      <c r="CA345" s="58"/>
      <c r="CB345" s="58"/>
      <c r="CC345" s="58"/>
      <c r="CD345" s="58"/>
      <c r="CE345" s="58"/>
      <c r="CF345" s="58"/>
      <c r="CG345" s="58"/>
      <c r="CH345" s="58"/>
      <c r="CI345" s="58"/>
      <c r="CJ345" s="58"/>
      <c r="CK345" s="58"/>
      <c r="CL345" s="58"/>
      <c r="CM345" s="58"/>
      <c r="CN345" s="58"/>
      <c r="CO345" s="58"/>
      <c r="CP345" s="58"/>
      <c r="CQ345" s="58"/>
      <c r="CR345" s="58"/>
      <c r="CS345" s="58"/>
      <c r="CT345" s="58"/>
      <c r="CU345" s="58"/>
    </row>
    <row r="346" spans="1:99" ht="15" thickBot="1" x14ac:dyDescent="0.4">
      <c r="A346" s="14"/>
      <c r="B346" s="14"/>
      <c r="C346" s="14"/>
      <c r="D346" s="14"/>
      <c r="E346" s="14"/>
      <c r="F346" s="14"/>
      <c r="G346" s="14"/>
      <c r="H346" s="14"/>
      <c r="I346" s="14"/>
      <c r="J346" s="15"/>
      <c r="L346" s="58"/>
      <c r="M346" s="58"/>
      <c r="N346" s="58"/>
      <c r="O346" s="58"/>
      <c r="P346" s="269"/>
      <c r="Q346" s="58"/>
      <c r="R346" s="58"/>
      <c r="S346" s="58"/>
      <c r="T346" s="58"/>
      <c r="U346" s="58"/>
      <c r="V346" s="269"/>
      <c r="W346" s="58"/>
      <c r="X346" s="58"/>
      <c r="Y346" s="58"/>
      <c r="Z346" s="58"/>
      <c r="AA346" s="58"/>
      <c r="AB346" s="269"/>
      <c r="AC346" s="58"/>
      <c r="AD346" s="58"/>
      <c r="AE346" s="58"/>
      <c r="AF346" s="58"/>
      <c r="AG346" s="58"/>
      <c r="AH346" s="269"/>
      <c r="AI346" s="58"/>
      <c r="AJ346" s="58"/>
      <c r="AK346" s="58"/>
      <c r="AL346" s="58"/>
      <c r="AM346" s="58"/>
      <c r="AN346" s="59"/>
      <c r="AO346" s="58"/>
      <c r="AP346" s="58"/>
      <c r="AQ346" s="58"/>
      <c r="AR346" s="58"/>
      <c r="AS346" s="58"/>
      <c r="AT346" s="59"/>
      <c r="AU346" s="58"/>
      <c r="AV346" s="58"/>
      <c r="AW346" s="58"/>
      <c r="AX346" s="58"/>
      <c r="AY346" s="58"/>
      <c r="AZ346" s="59"/>
      <c r="BA346" s="58"/>
      <c r="BB346" s="58"/>
      <c r="BC346" s="58"/>
      <c r="BD346" s="58"/>
      <c r="BE346" s="58"/>
      <c r="BF346" s="59"/>
      <c r="BG346" s="58"/>
      <c r="BH346" s="58"/>
      <c r="BI346" s="58"/>
      <c r="BJ346" s="58"/>
      <c r="BK346" s="58"/>
      <c r="BL346" s="59"/>
      <c r="BM346" s="58"/>
      <c r="BN346" s="58"/>
      <c r="BO346" s="58"/>
      <c r="BP346" s="58"/>
      <c r="BQ346" s="58"/>
      <c r="BR346" s="58"/>
      <c r="BS346" s="58"/>
      <c r="BT346" s="58"/>
      <c r="BU346" s="58"/>
      <c r="BV346" s="58"/>
      <c r="BW346" s="58"/>
      <c r="BX346" s="58"/>
      <c r="BY346" s="58"/>
      <c r="BZ346" s="58"/>
      <c r="CA346" s="58"/>
      <c r="CB346" s="58"/>
      <c r="CC346" s="58"/>
      <c r="CD346" s="58"/>
      <c r="CE346" s="58"/>
      <c r="CF346" s="58"/>
      <c r="CG346" s="58"/>
      <c r="CH346" s="58"/>
      <c r="CI346" s="58"/>
      <c r="CJ346" s="58"/>
      <c r="CK346" s="58"/>
      <c r="CL346" s="58"/>
      <c r="CM346" s="58"/>
      <c r="CN346" s="58"/>
      <c r="CO346" s="58"/>
      <c r="CP346" s="58"/>
      <c r="CQ346" s="58"/>
      <c r="CR346" s="58"/>
      <c r="CS346" s="58"/>
      <c r="CT346" s="58"/>
      <c r="CU346" s="58"/>
    </row>
    <row r="347" spans="1:99" ht="15" thickBot="1" x14ac:dyDescent="0.4">
      <c r="A347" s="14"/>
      <c r="B347" s="14"/>
      <c r="C347" s="14"/>
      <c r="D347" s="14"/>
      <c r="E347" s="14"/>
      <c r="F347" s="14"/>
      <c r="G347" s="14"/>
      <c r="H347" s="14"/>
      <c r="I347" s="14"/>
      <c r="J347" s="15"/>
      <c r="L347" s="58"/>
      <c r="M347" s="58"/>
      <c r="N347" s="58"/>
      <c r="O347" s="58"/>
      <c r="P347" s="269"/>
      <c r="Q347" s="58"/>
      <c r="R347" s="58"/>
      <c r="S347" s="58"/>
      <c r="T347" s="58"/>
      <c r="U347" s="58"/>
      <c r="V347" s="269"/>
      <c r="W347" s="58"/>
      <c r="X347" s="58"/>
      <c r="Y347" s="58"/>
      <c r="Z347" s="58"/>
      <c r="AA347" s="58"/>
      <c r="AB347" s="269"/>
      <c r="AC347" s="58"/>
      <c r="AD347" s="58"/>
      <c r="AE347" s="58"/>
      <c r="AF347" s="58"/>
      <c r="AG347" s="58"/>
      <c r="AH347" s="269"/>
      <c r="AI347" s="58"/>
      <c r="AJ347" s="58"/>
      <c r="AK347" s="58"/>
      <c r="AL347" s="58"/>
      <c r="AM347" s="58"/>
      <c r="AN347" s="59"/>
      <c r="AO347" s="58"/>
      <c r="AP347" s="58"/>
      <c r="AQ347" s="58"/>
      <c r="AR347" s="58"/>
      <c r="AS347" s="58"/>
      <c r="AT347" s="59"/>
      <c r="AU347" s="58"/>
      <c r="AV347" s="58"/>
      <c r="AW347" s="58"/>
      <c r="AX347" s="58"/>
      <c r="AY347" s="58"/>
      <c r="AZ347" s="59"/>
      <c r="BA347" s="58"/>
      <c r="BB347" s="58"/>
      <c r="BC347" s="58"/>
      <c r="BD347" s="58"/>
      <c r="BE347" s="58"/>
      <c r="BF347" s="59"/>
      <c r="BG347" s="58"/>
      <c r="BH347" s="58"/>
      <c r="BI347" s="58"/>
      <c r="BJ347" s="58"/>
      <c r="BK347" s="58"/>
      <c r="BL347" s="59"/>
      <c r="BM347" s="58"/>
      <c r="BN347" s="58"/>
      <c r="BO347" s="58"/>
      <c r="BP347" s="58"/>
      <c r="BQ347" s="58"/>
      <c r="BR347" s="58"/>
      <c r="BS347" s="58"/>
      <c r="BT347" s="58"/>
      <c r="BU347" s="58"/>
      <c r="BV347" s="58"/>
      <c r="BW347" s="58"/>
      <c r="BX347" s="58"/>
      <c r="BY347" s="58"/>
      <c r="BZ347" s="58"/>
      <c r="CA347" s="58"/>
      <c r="CB347" s="58"/>
      <c r="CC347" s="58"/>
      <c r="CD347" s="58"/>
      <c r="CE347" s="58"/>
      <c r="CF347" s="58"/>
      <c r="CG347" s="58"/>
      <c r="CH347" s="58"/>
      <c r="CI347" s="58"/>
      <c r="CJ347" s="58"/>
      <c r="CK347" s="58"/>
      <c r="CL347" s="58"/>
      <c r="CM347" s="58"/>
      <c r="CN347" s="58"/>
      <c r="CO347" s="58"/>
      <c r="CP347" s="58"/>
      <c r="CQ347" s="58"/>
      <c r="CR347" s="58"/>
      <c r="CS347" s="58"/>
      <c r="CT347" s="58"/>
      <c r="CU347" s="58"/>
    </row>
    <row r="348" spans="1:99" ht="15" thickBot="1" x14ac:dyDescent="0.4">
      <c r="A348" s="14"/>
      <c r="B348" s="14"/>
      <c r="C348" s="14"/>
      <c r="D348" s="14"/>
      <c r="E348" s="14"/>
      <c r="F348" s="14"/>
      <c r="G348" s="14"/>
      <c r="H348" s="14"/>
      <c r="I348" s="14"/>
      <c r="J348" s="15"/>
      <c r="L348" s="58"/>
      <c r="M348" s="58"/>
      <c r="N348" s="58"/>
      <c r="O348" s="58"/>
      <c r="P348" s="269"/>
      <c r="Q348" s="58"/>
      <c r="R348" s="58"/>
      <c r="S348" s="58"/>
      <c r="T348" s="58"/>
      <c r="U348" s="58"/>
      <c r="V348" s="269"/>
      <c r="W348" s="58"/>
      <c r="X348" s="58"/>
      <c r="Y348" s="58"/>
      <c r="Z348" s="58"/>
      <c r="AA348" s="58"/>
      <c r="AB348" s="269"/>
      <c r="AC348" s="58"/>
      <c r="AD348" s="58"/>
      <c r="AE348" s="58"/>
      <c r="AF348" s="58"/>
      <c r="AG348" s="58"/>
      <c r="AH348" s="269"/>
      <c r="AI348" s="58"/>
      <c r="AJ348" s="58"/>
      <c r="AK348" s="58"/>
      <c r="AL348" s="58"/>
      <c r="AM348" s="58"/>
      <c r="AN348" s="59"/>
      <c r="AO348" s="58"/>
      <c r="AP348" s="58"/>
      <c r="AQ348" s="58"/>
      <c r="AR348" s="58"/>
      <c r="AS348" s="58"/>
      <c r="AT348" s="59"/>
      <c r="AU348" s="58"/>
      <c r="AV348" s="58"/>
      <c r="AW348" s="58"/>
      <c r="AX348" s="58"/>
      <c r="AY348" s="58"/>
      <c r="AZ348" s="59"/>
      <c r="BA348" s="58"/>
      <c r="BB348" s="58"/>
      <c r="BC348" s="58"/>
      <c r="BD348" s="58"/>
      <c r="BE348" s="58"/>
      <c r="BF348" s="59"/>
      <c r="BG348" s="58"/>
      <c r="BH348" s="58"/>
      <c r="BI348" s="58"/>
      <c r="BJ348" s="58"/>
      <c r="BK348" s="58"/>
      <c r="BL348" s="59"/>
      <c r="BM348" s="58"/>
      <c r="BN348" s="58"/>
      <c r="BO348" s="58"/>
      <c r="BP348" s="58"/>
      <c r="BQ348" s="58"/>
      <c r="BR348" s="58"/>
      <c r="BS348" s="58"/>
      <c r="BT348" s="58"/>
      <c r="BU348" s="58"/>
      <c r="BV348" s="58"/>
      <c r="BW348" s="58"/>
      <c r="BX348" s="58"/>
      <c r="BY348" s="58"/>
      <c r="BZ348" s="58"/>
      <c r="CA348" s="58"/>
      <c r="CB348" s="58"/>
      <c r="CC348" s="58"/>
      <c r="CD348" s="58"/>
      <c r="CE348" s="58"/>
      <c r="CF348" s="58"/>
      <c r="CG348" s="58"/>
      <c r="CH348" s="58"/>
      <c r="CI348" s="58"/>
      <c r="CJ348" s="58"/>
      <c r="CK348" s="58"/>
      <c r="CL348" s="58"/>
      <c r="CM348" s="58"/>
      <c r="CN348" s="58"/>
      <c r="CO348" s="58"/>
      <c r="CP348" s="58"/>
      <c r="CQ348" s="58"/>
      <c r="CR348" s="58"/>
      <c r="CS348" s="58"/>
      <c r="CT348" s="58"/>
      <c r="CU348" s="58"/>
    </row>
    <row r="349" spans="1:99" ht="15" thickBot="1" x14ac:dyDescent="0.4">
      <c r="A349" s="14"/>
      <c r="B349" s="14"/>
      <c r="C349" s="14"/>
      <c r="D349" s="14"/>
      <c r="E349" s="14"/>
      <c r="F349" s="14"/>
      <c r="G349" s="14"/>
      <c r="H349" s="14"/>
      <c r="I349" s="14"/>
      <c r="J349" s="15"/>
      <c r="L349" s="58"/>
      <c r="M349" s="58"/>
      <c r="N349" s="58"/>
      <c r="O349" s="58"/>
      <c r="P349" s="269"/>
      <c r="Q349" s="58"/>
      <c r="R349" s="58"/>
      <c r="S349" s="58"/>
      <c r="T349" s="58"/>
      <c r="U349" s="58"/>
      <c r="V349" s="269"/>
      <c r="W349" s="58"/>
      <c r="X349" s="58"/>
      <c r="Y349" s="58"/>
      <c r="Z349" s="58"/>
      <c r="AA349" s="58"/>
      <c r="AB349" s="269"/>
      <c r="AC349" s="58"/>
      <c r="AD349" s="58"/>
      <c r="AE349" s="58"/>
      <c r="AF349" s="58"/>
      <c r="AG349" s="58"/>
      <c r="AH349" s="269"/>
      <c r="AI349" s="58"/>
      <c r="AJ349" s="58"/>
      <c r="AK349" s="58"/>
      <c r="AL349" s="58"/>
      <c r="AM349" s="58"/>
      <c r="AN349" s="59"/>
      <c r="AO349" s="58"/>
      <c r="AP349" s="58"/>
      <c r="AQ349" s="58"/>
      <c r="AR349" s="58"/>
      <c r="AS349" s="58"/>
      <c r="AT349" s="59"/>
      <c r="AU349" s="58"/>
      <c r="AV349" s="58"/>
      <c r="AW349" s="58"/>
      <c r="AX349" s="58"/>
      <c r="AY349" s="58"/>
      <c r="AZ349" s="59"/>
      <c r="BA349" s="58"/>
      <c r="BB349" s="58"/>
      <c r="BC349" s="58"/>
      <c r="BD349" s="58"/>
      <c r="BE349" s="58"/>
      <c r="BF349" s="59"/>
      <c r="BG349" s="58"/>
      <c r="BH349" s="58"/>
      <c r="BI349" s="58"/>
      <c r="BJ349" s="58"/>
      <c r="BK349" s="58"/>
      <c r="BL349" s="59"/>
      <c r="BM349" s="58"/>
      <c r="BN349" s="58"/>
      <c r="BO349" s="58"/>
      <c r="BP349" s="58"/>
      <c r="BQ349" s="58"/>
      <c r="BR349" s="58"/>
      <c r="BS349" s="58"/>
      <c r="BT349" s="58"/>
      <c r="BU349" s="58"/>
      <c r="BV349" s="58"/>
      <c r="BW349" s="58"/>
      <c r="BX349" s="58"/>
      <c r="BY349" s="58"/>
      <c r="BZ349" s="58"/>
      <c r="CA349" s="58"/>
      <c r="CB349" s="58"/>
      <c r="CC349" s="58"/>
      <c r="CD349" s="58"/>
      <c r="CE349" s="58"/>
      <c r="CF349" s="58"/>
      <c r="CG349" s="58"/>
      <c r="CH349" s="58"/>
      <c r="CI349" s="58"/>
      <c r="CJ349" s="58"/>
      <c r="CK349" s="58"/>
      <c r="CL349" s="58"/>
      <c r="CM349" s="58"/>
      <c r="CN349" s="58"/>
      <c r="CO349" s="58"/>
      <c r="CP349" s="58"/>
      <c r="CQ349" s="58"/>
      <c r="CR349" s="58"/>
      <c r="CS349" s="58"/>
      <c r="CT349" s="58"/>
      <c r="CU349" s="58"/>
    </row>
    <row r="350" spans="1:99" ht="15" thickBot="1" x14ac:dyDescent="0.4">
      <c r="A350" s="14"/>
      <c r="B350" s="14"/>
      <c r="C350" s="14"/>
      <c r="D350" s="14"/>
      <c r="E350" s="14"/>
      <c r="F350" s="14"/>
      <c r="G350" s="14"/>
      <c r="H350" s="14"/>
      <c r="I350" s="14"/>
      <c r="J350" s="15"/>
      <c r="L350" s="58"/>
      <c r="M350" s="58"/>
      <c r="N350" s="58"/>
      <c r="O350" s="58"/>
      <c r="P350" s="269"/>
      <c r="Q350" s="58"/>
      <c r="R350" s="58"/>
      <c r="S350" s="58"/>
      <c r="T350" s="58"/>
      <c r="U350" s="58"/>
      <c r="V350" s="269"/>
      <c r="W350" s="58"/>
      <c r="X350" s="58"/>
      <c r="Y350" s="58"/>
      <c r="Z350" s="58"/>
      <c r="AA350" s="58"/>
      <c r="AB350" s="269"/>
      <c r="AC350" s="58"/>
      <c r="AD350" s="58"/>
      <c r="AE350" s="58"/>
      <c r="AF350" s="58"/>
      <c r="AG350" s="58"/>
      <c r="AH350" s="269"/>
      <c r="AI350" s="58"/>
      <c r="AJ350" s="58"/>
      <c r="AK350" s="58"/>
      <c r="AL350" s="58"/>
      <c r="AM350" s="58"/>
      <c r="AN350" s="59"/>
      <c r="AO350" s="58"/>
      <c r="AP350" s="58"/>
      <c r="AQ350" s="58"/>
      <c r="AR350" s="58"/>
      <c r="AS350" s="58"/>
      <c r="AT350" s="59"/>
      <c r="AU350" s="58"/>
      <c r="AV350" s="58"/>
      <c r="AW350" s="58"/>
      <c r="AX350" s="58"/>
      <c r="AY350" s="58"/>
      <c r="AZ350" s="59"/>
      <c r="BA350" s="58"/>
      <c r="BB350" s="58"/>
      <c r="BC350" s="58"/>
      <c r="BD350" s="58"/>
      <c r="BE350" s="58"/>
      <c r="BF350" s="59"/>
      <c r="BG350" s="58"/>
      <c r="BH350" s="58"/>
      <c r="BI350" s="58"/>
      <c r="BJ350" s="58"/>
      <c r="BK350" s="58"/>
      <c r="BL350" s="59"/>
      <c r="BM350" s="58"/>
      <c r="BN350" s="58"/>
      <c r="BO350" s="58"/>
      <c r="BP350" s="58"/>
      <c r="BQ350" s="58"/>
      <c r="BR350" s="58"/>
      <c r="BS350" s="58"/>
      <c r="BT350" s="58"/>
      <c r="BU350" s="58"/>
      <c r="BV350" s="58"/>
      <c r="BW350" s="58"/>
      <c r="BX350" s="58"/>
      <c r="BY350" s="58"/>
      <c r="BZ350" s="58"/>
      <c r="CA350" s="58"/>
      <c r="CB350" s="58"/>
      <c r="CC350" s="58"/>
      <c r="CD350" s="58"/>
      <c r="CE350" s="58"/>
      <c r="CF350" s="58"/>
      <c r="CG350" s="58"/>
      <c r="CH350" s="58"/>
      <c r="CI350" s="58"/>
      <c r="CJ350" s="58"/>
      <c r="CK350" s="58"/>
      <c r="CL350" s="58"/>
      <c r="CM350" s="58"/>
      <c r="CN350" s="58"/>
      <c r="CO350" s="58"/>
      <c r="CP350" s="58"/>
      <c r="CQ350" s="58"/>
      <c r="CR350" s="58"/>
      <c r="CS350" s="58"/>
      <c r="CT350" s="58"/>
      <c r="CU350" s="58"/>
    </row>
    <row r="351" spans="1:99" ht="15" thickBot="1" x14ac:dyDescent="0.4">
      <c r="A351" s="14"/>
      <c r="B351" s="14"/>
      <c r="C351" s="14"/>
      <c r="D351" s="14"/>
      <c r="E351" s="14"/>
      <c r="F351" s="14"/>
      <c r="G351" s="14"/>
      <c r="H351" s="14"/>
      <c r="I351" s="14"/>
      <c r="J351" s="15"/>
      <c r="L351" s="58"/>
      <c r="M351" s="58"/>
      <c r="N351" s="58"/>
      <c r="O351" s="58"/>
      <c r="P351" s="269"/>
      <c r="Q351" s="58"/>
      <c r="R351" s="58"/>
      <c r="S351" s="58"/>
      <c r="T351" s="58"/>
      <c r="U351" s="58"/>
      <c r="V351" s="269"/>
      <c r="W351" s="58"/>
      <c r="X351" s="58"/>
      <c r="Y351" s="58"/>
      <c r="Z351" s="58"/>
      <c r="AA351" s="58"/>
      <c r="AB351" s="269"/>
      <c r="AC351" s="58"/>
      <c r="AD351" s="58"/>
      <c r="AE351" s="58"/>
      <c r="AF351" s="58"/>
      <c r="AG351" s="58"/>
      <c r="AH351" s="269"/>
      <c r="AI351" s="58"/>
      <c r="AJ351" s="58"/>
      <c r="AK351" s="58"/>
      <c r="AL351" s="58"/>
      <c r="AM351" s="58"/>
      <c r="AN351" s="59"/>
      <c r="AO351" s="58"/>
      <c r="AP351" s="58"/>
      <c r="AQ351" s="58"/>
      <c r="AR351" s="58"/>
      <c r="AS351" s="58"/>
      <c r="AT351" s="59"/>
      <c r="AU351" s="58"/>
      <c r="AV351" s="58"/>
      <c r="AW351" s="58"/>
      <c r="AX351" s="58"/>
      <c r="AY351" s="58"/>
      <c r="AZ351" s="59"/>
      <c r="BA351" s="58"/>
      <c r="BB351" s="58"/>
      <c r="BC351" s="58"/>
      <c r="BD351" s="58"/>
      <c r="BE351" s="58"/>
      <c r="BF351" s="59"/>
      <c r="BG351" s="58"/>
      <c r="BH351" s="58"/>
      <c r="BI351" s="58"/>
      <c r="BJ351" s="58"/>
      <c r="BK351" s="58"/>
      <c r="BL351" s="59"/>
      <c r="BM351" s="58"/>
      <c r="BN351" s="58"/>
      <c r="BO351" s="58"/>
      <c r="BP351" s="58"/>
      <c r="BQ351" s="58"/>
      <c r="BR351" s="58"/>
      <c r="BS351" s="58"/>
      <c r="BT351" s="58"/>
      <c r="BU351" s="58"/>
      <c r="BV351" s="58"/>
      <c r="BW351" s="58"/>
      <c r="BX351" s="58"/>
      <c r="BY351" s="58"/>
      <c r="BZ351" s="58"/>
      <c r="CA351" s="58"/>
      <c r="CB351" s="58"/>
      <c r="CC351" s="58"/>
      <c r="CD351" s="58"/>
      <c r="CE351" s="58"/>
      <c r="CF351" s="58"/>
      <c r="CG351" s="58"/>
      <c r="CH351" s="58"/>
      <c r="CI351" s="58"/>
      <c r="CJ351" s="58"/>
      <c r="CK351" s="58"/>
      <c r="CL351" s="58"/>
      <c r="CM351" s="58"/>
      <c r="CN351" s="58"/>
      <c r="CO351" s="58"/>
      <c r="CP351" s="58"/>
      <c r="CQ351" s="58"/>
      <c r="CR351" s="58"/>
      <c r="CS351" s="58"/>
      <c r="CT351" s="58"/>
      <c r="CU351" s="58"/>
    </row>
    <row r="352" spans="1:99" ht="15" thickBot="1" x14ac:dyDescent="0.4">
      <c r="A352" s="14"/>
      <c r="B352" s="14"/>
      <c r="C352" s="14"/>
      <c r="D352" s="14"/>
      <c r="E352" s="14"/>
      <c r="F352" s="14"/>
      <c r="G352" s="14"/>
      <c r="H352" s="14"/>
      <c r="I352" s="14"/>
      <c r="J352" s="15"/>
      <c r="L352" s="58"/>
      <c r="M352" s="58"/>
      <c r="N352" s="58"/>
      <c r="O352" s="58"/>
      <c r="P352" s="269"/>
      <c r="Q352" s="58"/>
      <c r="R352" s="58"/>
      <c r="S352" s="58"/>
      <c r="T352" s="58"/>
      <c r="U352" s="58"/>
      <c r="V352" s="269"/>
      <c r="W352" s="58"/>
      <c r="X352" s="58"/>
      <c r="Y352" s="58"/>
      <c r="Z352" s="58"/>
      <c r="AA352" s="58"/>
      <c r="AB352" s="269"/>
      <c r="AC352" s="58"/>
      <c r="AD352" s="58"/>
      <c r="AE352" s="58"/>
      <c r="AF352" s="58"/>
      <c r="AG352" s="58"/>
      <c r="AH352" s="269"/>
      <c r="AI352" s="58"/>
      <c r="AJ352" s="58"/>
      <c r="AK352" s="58"/>
      <c r="AL352" s="58"/>
      <c r="AM352" s="58"/>
      <c r="AN352" s="59"/>
      <c r="AO352" s="58"/>
      <c r="AP352" s="58"/>
      <c r="AQ352" s="58"/>
      <c r="AR352" s="58"/>
      <c r="AS352" s="58"/>
      <c r="AT352" s="59"/>
      <c r="AU352" s="58"/>
      <c r="AV352" s="58"/>
      <c r="AW352" s="58"/>
      <c r="AX352" s="58"/>
      <c r="AY352" s="58"/>
      <c r="AZ352" s="59"/>
      <c r="BA352" s="58"/>
      <c r="BB352" s="58"/>
      <c r="BC352" s="58"/>
      <c r="BD352" s="58"/>
      <c r="BE352" s="58"/>
      <c r="BF352" s="59"/>
      <c r="BG352" s="58"/>
      <c r="BH352" s="58"/>
      <c r="BI352" s="58"/>
      <c r="BJ352" s="58"/>
      <c r="BK352" s="58"/>
      <c r="BL352" s="59"/>
      <c r="BM352" s="58"/>
      <c r="BN352" s="58"/>
      <c r="BO352" s="58"/>
      <c r="BP352" s="58"/>
      <c r="BQ352" s="58"/>
      <c r="BR352" s="58"/>
      <c r="BS352" s="58"/>
      <c r="BT352" s="58"/>
      <c r="BU352" s="58"/>
      <c r="BV352" s="58"/>
      <c r="BW352" s="58"/>
      <c r="BX352" s="58"/>
      <c r="BY352" s="58"/>
      <c r="BZ352" s="58"/>
      <c r="CA352" s="58"/>
      <c r="CB352" s="58"/>
      <c r="CC352" s="58"/>
      <c r="CD352" s="58"/>
      <c r="CE352" s="58"/>
      <c r="CF352" s="58"/>
      <c r="CG352" s="58"/>
      <c r="CH352" s="58"/>
      <c r="CI352" s="58"/>
      <c r="CJ352" s="58"/>
      <c r="CK352" s="58"/>
      <c r="CL352" s="58"/>
      <c r="CM352" s="58"/>
      <c r="CN352" s="58"/>
      <c r="CO352" s="58"/>
      <c r="CP352" s="58"/>
      <c r="CQ352" s="58"/>
      <c r="CR352" s="58"/>
      <c r="CS352" s="58"/>
      <c r="CT352" s="58"/>
      <c r="CU352" s="58"/>
    </row>
    <row r="353" spans="1:99" ht="15" thickBot="1" x14ac:dyDescent="0.4">
      <c r="A353" s="14"/>
      <c r="B353" s="14"/>
      <c r="C353" s="14"/>
      <c r="D353" s="14"/>
      <c r="E353" s="14"/>
      <c r="F353" s="14"/>
      <c r="G353" s="14"/>
      <c r="H353" s="14"/>
      <c r="I353" s="14"/>
      <c r="J353" s="15"/>
      <c r="L353" s="58"/>
      <c r="M353" s="58"/>
      <c r="N353" s="58"/>
      <c r="O353" s="58"/>
      <c r="P353" s="269"/>
      <c r="Q353" s="58"/>
      <c r="R353" s="58"/>
      <c r="S353" s="58"/>
      <c r="T353" s="58"/>
      <c r="U353" s="58"/>
      <c r="V353" s="269"/>
      <c r="W353" s="58"/>
      <c r="X353" s="58"/>
      <c r="Y353" s="58"/>
      <c r="Z353" s="58"/>
      <c r="AA353" s="58"/>
      <c r="AB353" s="269"/>
      <c r="AC353" s="58"/>
      <c r="AD353" s="58"/>
      <c r="AE353" s="58"/>
      <c r="AF353" s="58"/>
      <c r="AG353" s="58"/>
      <c r="AH353" s="269"/>
      <c r="AI353" s="58"/>
      <c r="AJ353" s="58"/>
      <c r="AK353" s="58"/>
      <c r="AL353" s="58"/>
      <c r="AM353" s="58"/>
      <c r="AN353" s="59"/>
      <c r="AO353" s="58"/>
      <c r="AP353" s="58"/>
      <c r="AQ353" s="58"/>
      <c r="AR353" s="58"/>
      <c r="AS353" s="58"/>
      <c r="AT353" s="59"/>
      <c r="AU353" s="58"/>
      <c r="AV353" s="58"/>
      <c r="AW353" s="58"/>
      <c r="AX353" s="58"/>
      <c r="AY353" s="58"/>
      <c r="AZ353" s="59"/>
      <c r="BA353" s="58"/>
      <c r="BB353" s="58"/>
      <c r="BC353" s="58"/>
      <c r="BD353" s="58"/>
      <c r="BE353" s="58"/>
      <c r="BF353" s="59"/>
      <c r="BG353" s="58"/>
      <c r="BH353" s="58"/>
      <c r="BI353" s="58"/>
      <c r="BJ353" s="58"/>
      <c r="BK353" s="58"/>
      <c r="BL353" s="59"/>
      <c r="BM353" s="58"/>
      <c r="BN353" s="58"/>
      <c r="BO353" s="58"/>
      <c r="BP353" s="58"/>
      <c r="BQ353" s="58"/>
      <c r="BR353" s="58"/>
      <c r="BS353" s="58"/>
      <c r="BT353" s="58"/>
      <c r="BU353" s="58"/>
      <c r="BV353" s="58"/>
      <c r="BW353" s="58"/>
      <c r="BX353" s="58"/>
      <c r="BY353" s="58"/>
      <c r="BZ353" s="58"/>
      <c r="CA353" s="58"/>
      <c r="CB353" s="58"/>
      <c r="CC353" s="58"/>
      <c r="CD353" s="58"/>
      <c r="CE353" s="58"/>
      <c r="CF353" s="58"/>
      <c r="CG353" s="58"/>
      <c r="CH353" s="58"/>
      <c r="CI353" s="58"/>
      <c r="CJ353" s="58"/>
      <c r="CK353" s="58"/>
      <c r="CL353" s="58"/>
      <c r="CM353" s="58"/>
      <c r="CN353" s="58"/>
      <c r="CO353" s="58"/>
      <c r="CP353" s="58"/>
      <c r="CQ353" s="58"/>
      <c r="CR353" s="58"/>
      <c r="CS353" s="58"/>
      <c r="CT353" s="58"/>
      <c r="CU353" s="58"/>
    </row>
    <row r="354" spans="1:99" ht="15" thickBot="1" x14ac:dyDescent="0.4">
      <c r="A354" s="14"/>
      <c r="B354" s="14"/>
      <c r="C354" s="14"/>
      <c r="D354" s="14"/>
      <c r="E354" s="14"/>
      <c r="F354" s="14"/>
      <c r="G354" s="14"/>
      <c r="H354" s="14"/>
      <c r="I354" s="14"/>
      <c r="J354" s="15"/>
      <c r="L354" s="58"/>
      <c r="M354" s="58"/>
      <c r="N354" s="58"/>
      <c r="O354" s="58"/>
      <c r="P354" s="269"/>
      <c r="Q354" s="58"/>
      <c r="R354" s="58"/>
      <c r="S354" s="58"/>
      <c r="T354" s="58"/>
      <c r="U354" s="58"/>
      <c r="V354" s="269"/>
      <c r="W354" s="58"/>
      <c r="X354" s="58"/>
      <c r="Y354" s="58"/>
      <c r="Z354" s="58"/>
      <c r="AA354" s="58"/>
      <c r="AB354" s="269"/>
      <c r="AC354" s="58"/>
      <c r="AD354" s="58"/>
      <c r="AE354" s="58"/>
      <c r="AF354" s="58"/>
      <c r="AG354" s="58"/>
      <c r="AH354" s="269"/>
      <c r="AI354" s="58"/>
      <c r="AJ354" s="58"/>
      <c r="AK354" s="58"/>
      <c r="AL354" s="58"/>
      <c r="AM354" s="58"/>
      <c r="AN354" s="59"/>
      <c r="AO354" s="58"/>
      <c r="AP354" s="58"/>
      <c r="AQ354" s="58"/>
      <c r="AR354" s="58"/>
      <c r="AS354" s="58"/>
      <c r="AT354" s="59"/>
      <c r="AU354" s="58"/>
      <c r="AV354" s="58"/>
      <c r="AW354" s="58"/>
      <c r="AX354" s="58"/>
      <c r="AY354" s="58"/>
      <c r="AZ354" s="59"/>
      <c r="BA354" s="58"/>
      <c r="BB354" s="58"/>
      <c r="BC354" s="58"/>
      <c r="BD354" s="58"/>
      <c r="BE354" s="58"/>
      <c r="BF354" s="59"/>
      <c r="BG354" s="58"/>
      <c r="BH354" s="58"/>
      <c r="BI354" s="58"/>
      <c r="BJ354" s="58"/>
      <c r="BK354" s="58"/>
      <c r="BL354" s="59"/>
      <c r="BM354" s="58"/>
      <c r="BN354" s="58"/>
      <c r="BO354" s="58"/>
      <c r="BP354" s="58"/>
      <c r="BQ354" s="58"/>
      <c r="BR354" s="58"/>
      <c r="BS354" s="58"/>
      <c r="BT354" s="58"/>
      <c r="BU354" s="58"/>
      <c r="BV354" s="58"/>
      <c r="BW354" s="58"/>
      <c r="BX354" s="58"/>
      <c r="BY354" s="58"/>
      <c r="BZ354" s="58"/>
      <c r="CA354" s="58"/>
      <c r="CB354" s="58"/>
      <c r="CC354" s="58"/>
      <c r="CD354" s="58"/>
      <c r="CE354" s="58"/>
      <c r="CF354" s="58"/>
      <c r="CG354" s="58"/>
      <c r="CH354" s="58"/>
      <c r="CI354" s="58"/>
      <c r="CJ354" s="58"/>
      <c r="CK354" s="58"/>
      <c r="CL354" s="58"/>
      <c r="CM354" s="58"/>
      <c r="CN354" s="58"/>
      <c r="CO354" s="58"/>
      <c r="CP354" s="58"/>
      <c r="CQ354" s="58"/>
      <c r="CR354" s="58"/>
      <c r="CS354" s="58"/>
      <c r="CT354" s="58"/>
      <c r="CU354" s="58"/>
    </row>
    <row r="355" spans="1:99" ht="15" thickBot="1" x14ac:dyDescent="0.4">
      <c r="A355" s="14"/>
      <c r="B355" s="14"/>
      <c r="C355" s="14"/>
      <c r="D355" s="14"/>
      <c r="E355" s="14"/>
      <c r="F355" s="14"/>
      <c r="G355" s="14"/>
      <c r="H355" s="14"/>
      <c r="I355" s="14"/>
      <c r="J355" s="15"/>
      <c r="L355" s="58"/>
      <c r="M355" s="58"/>
      <c r="N355" s="58"/>
      <c r="O355" s="58"/>
      <c r="P355" s="269"/>
      <c r="Q355" s="58"/>
      <c r="R355" s="58"/>
      <c r="S355" s="58"/>
      <c r="T355" s="58"/>
      <c r="U355" s="58"/>
      <c r="V355" s="269"/>
      <c r="W355" s="58"/>
      <c r="X355" s="58"/>
      <c r="Y355" s="58"/>
      <c r="Z355" s="58"/>
      <c r="AA355" s="58"/>
      <c r="AB355" s="269"/>
      <c r="AC355" s="58"/>
      <c r="AD355" s="58"/>
      <c r="AE355" s="58"/>
      <c r="AF355" s="58"/>
      <c r="AG355" s="58"/>
      <c r="AH355" s="269"/>
      <c r="AI355" s="58"/>
      <c r="AJ355" s="58"/>
      <c r="AK355" s="58"/>
      <c r="AL355" s="58"/>
      <c r="AM355" s="58"/>
      <c r="AN355" s="59"/>
      <c r="AO355" s="58"/>
      <c r="AP355" s="58"/>
      <c r="AQ355" s="58"/>
      <c r="AR355" s="58"/>
      <c r="AS355" s="58"/>
      <c r="AT355" s="59"/>
      <c r="AU355" s="58"/>
      <c r="AV355" s="58"/>
      <c r="AW355" s="58"/>
      <c r="AX355" s="58"/>
      <c r="AY355" s="58"/>
      <c r="AZ355" s="59"/>
      <c r="BA355" s="58"/>
      <c r="BB355" s="58"/>
      <c r="BC355" s="58"/>
      <c r="BD355" s="58"/>
      <c r="BE355" s="58"/>
      <c r="BF355" s="59"/>
      <c r="BG355" s="58"/>
      <c r="BH355" s="58"/>
      <c r="BI355" s="58"/>
      <c r="BJ355" s="58"/>
      <c r="BK355" s="58"/>
      <c r="BL355" s="59"/>
      <c r="BM355" s="58"/>
      <c r="BN355" s="58"/>
      <c r="BO355" s="58"/>
      <c r="BP355" s="58"/>
      <c r="BQ355" s="58"/>
      <c r="BR355" s="58"/>
      <c r="BS355" s="58"/>
      <c r="BT355" s="58"/>
      <c r="BU355" s="58"/>
      <c r="BV355" s="58"/>
      <c r="BW355" s="58"/>
      <c r="BX355" s="58"/>
      <c r="BY355" s="58"/>
      <c r="BZ355" s="58"/>
      <c r="CA355" s="58"/>
      <c r="CB355" s="58"/>
      <c r="CC355" s="58"/>
      <c r="CD355" s="58"/>
      <c r="CE355" s="58"/>
      <c r="CF355" s="58"/>
      <c r="CG355" s="58"/>
      <c r="CH355" s="58"/>
      <c r="CI355" s="58"/>
      <c r="CJ355" s="58"/>
      <c r="CK355" s="58"/>
      <c r="CL355" s="58"/>
      <c r="CM355" s="58"/>
      <c r="CN355" s="58"/>
      <c r="CO355" s="58"/>
      <c r="CP355" s="58"/>
      <c r="CQ355" s="58"/>
      <c r="CR355" s="58"/>
      <c r="CS355" s="58"/>
      <c r="CT355" s="58"/>
      <c r="CU355" s="58"/>
    </row>
    <row r="356" spans="1:99" ht="15" thickBot="1" x14ac:dyDescent="0.4">
      <c r="A356" s="14"/>
      <c r="B356" s="14"/>
      <c r="C356" s="14"/>
      <c r="D356" s="14"/>
      <c r="E356" s="14"/>
      <c r="F356" s="14"/>
      <c r="G356" s="14"/>
      <c r="H356" s="14"/>
      <c r="I356" s="14"/>
      <c r="J356" s="15"/>
      <c r="L356" s="58"/>
      <c r="M356" s="58"/>
      <c r="N356" s="58"/>
      <c r="O356" s="58"/>
      <c r="P356" s="269"/>
      <c r="Q356" s="58"/>
      <c r="R356" s="58"/>
      <c r="S356" s="58"/>
      <c r="T356" s="58"/>
      <c r="U356" s="58"/>
      <c r="V356" s="269"/>
      <c r="W356" s="58"/>
      <c r="X356" s="58"/>
      <c r="Y356" s="58"/>
      <c r="Z356" s="58"/>
      <c r="AA356" s="58"/>
      <c r="AB356" s="269"/>
      <c r="AC356" s="58"/>
      <c r="AD356" s="58"/>
      <c r="AE356" s="58"/>
      <c r="AF356" s="58"/>
      <c r="AG356" s="58"/>
      <c r="AH356" s="269"/>
      <c r="AI356" s="58"/>
      <c r="AJ356" s="58"/>
      <c r="AK356" s="58"/>
      <c r="AL356" s="58"/>
      <c r="AM356" s="58"/>
      <c r="AN356" s="59"/>
      <c r="AO356" s="58"/>
      <c r="AP356" s="58"/>
      <c r="AQ356" s="58"/>
      <c r="AR356" s="58"/>
      <c r="AS356" s="58"/>
      <c r="AT356" s="59"/>
      <c r="AU356" s="58"/>
      <c r="AV356" s="58"/>
      <c r="AW356" s="58"/>
      <c r="AX356" s="58"/>
      <c r="AY356" s="58"/>
      <c r="AZ356" s="59"/>
      <c r="BA356" s="58"/>
      <c r="BB356" s="58"/>
      <c r="BC356" s="58"/>
      <c r="BD356" s="58"/>
      <c r="BE356" s="58"/>
      <c r="BF356" s="59"/>
      <c r="BG356" s="58"/>
      <c r="BH356" s="58"/>
      <c r="BI356" s="58"/>
      <c r="BJ356" s="58"/>
      <c r="BK356" s="58"/>
      <c r="BL356" s="59"/>
      <c r="BM356" s="58"/>
      <c r="BN356" s="58"/>
      <c r="BO356" s="58"/>
      <c r="BP356" s="58"/>
      <c r="BQ356" s="58"/>
      <c r="BR356" s="58"/>
      <c r="BS356" s="58"/>
      <c r="BT356" s="58"/>
      <c r="BU356" s="58"/>
      <c r="BV356" s="58"/>
      <c r="BW356" s="58"/>
      <c r="BX356" s="58"/>
      <c r="BY356" s="58"/>
      <c r="BZ356" s="58"/>
      <c r="CA356" s="58"/>
      <c r="CB356" s="58"/>
      <c r="CC356" s="58"/>
      <c r="CD356" s="58"/>
      <c r="CE356" s="58"/>
      <c r="CF356" s="58"/>
      <c r="CG356" s="58"/>
      <c r="CH356" s="58"/>
      <c r="CI356" s="58"/>
      <c r="CJ356" s="58"/>
      <c r="CK356" s="58"/>
      <c r="CL356" s="58"/>
      <c r="CM356" s="58"/>
      <c r="CN356" s="58"/>
      <c r="CO356" s="58"/>
      <c r="CP356" s="58"/>
      <c r="CQ356" s="58"/>
      <c r="CR356" s="58"/>
      <c r="CS356" s="58"/>
      <c r="CT356" s="58"/>
      <c r="CU356" s="58"/>
    </row>
    <row r="357" spans="1:99" ht="15" thickBot="1" x14ac:dyDescent="0.4">
      <c r="A357" s="14"/>
      <c r="B357" s="14"/>
      <c r="C357" s="14"/>
      <c r="D357" s="14"/>
      <c r="E357" s="14"/>
      <c r="F357" s="14"/>
      <c r="G357" s="14"/>
      <c r="H357" s="14"/>
      <c r="I357" s="14"/>
      <c r="J357" s="15"/>
      <c r="L357" s="58"/>
      <c r="M357" s="58"/>
      <c r="N357" s="58"/>
      <c r="O357" s="58"/>
      <c r="P357" s="269"/>
      <c r="Q357" s="58"/>
      <c r="R357" s="58"/>
      <c r="S357" s="58"/>
      <c r="T357" s="58"/>
      <c r="U357" s="58"/>
      <c r="V357" s="269"/>
      <c r="W357" s="58"/>
      <c r="X357" s="58"/>
      <c r="Y357" s="58"/>
      <c r="Z357" s="58"/>
      <c r="AA357" s="58"/>
      <c r="AB357" s="269"/>
      <c r="AC357" s="58"/>
      <c r="AD357" s="58"/>
      <c r="AE357" s="58"/>
      <c r="AF357" s="58"/>
      <c r="AG357" s="58"/>
      <c r="AH357" s="269"/>
      <c r="AI357" s="58"/>
      <c r="AJ357" s="58"/>
      <c r="AK357" s="58"/>
      <c r="AL357" s="58"/>
      <c r="AM357" s="58"/>
      <c r="AN357" s="59"/>
      <c r="AO357" s="58"/>
      <c r="AP357" s="58"/>
      <c r="AQ357" s="58"/>
      <c r="AR357" s="58"/>
      <c r="AS357" s="58"/>
      <c r="AT357" s="59"/>
      <c r="AU357" s="58"/>
      <c r="AV357" s="58"/>
      <c r="AW357" s="58"/>
      <c r="AX357" s="58"/>
      <c r="AY357" s="58"/>
      <c r="AZ357" s="59"/>
      <c r="BA357" s="58"/>
      <c r="BB357" s="58"/>
      <c r="BC357" s="58"/>
      <c r="BD357" s="58"/>
      <c r="BE357" s="58"/>
      <c r="BF357" s="59"/>
      <c r="BG357" s="58"/>
      <c r="BH357" s="58"/>
      <c r="BI357" s="58"/>
      <c r="BJ357" s="58"/>
      <c r="BK357" s="58"/>
      <c r="BL357" s="59"/>
      <c r="BM357" s="58"/>
      <c r="BN357" s="58"/>
      <c r="BO357" s="58"/>
      <c r="BP357" s="58"/>
      <c r="BQ357" s="58"/>
      <c r="BR357" s="58"/>
      <c r="BS357" s="58"/>
      <c r="BT357" s="58"/>
      <c r="BU357" s="58"/>
      <c r="BV357" s="58"/>
      <c r="BW357" s="58"/>
      <c r="BX357" s="58"/>
      <c r="BY357" s="58"/>
      <c r="BZ357" s="58"/>
      <c r="CA357" s="58"/>
      <c r="CB357" s="58"/>
      <c r="CC357" s="58"/>
      <c r="CD357" s="58"/>
      <c r="CE357" s="58"/>
      <c r="CF357" s="58"/>
      <c r="CG357" s="58"/>
      <c r="CH357" s="58"/>
      <c r="CI357" s="58"/>
      <c r="CJ357" s="58"/>
      <c r="CK357" s="58"/>
      <c r="CL357" s="58"/>
      <c r="CM357" s="58"/>
      <c r="CN357" s="58"/>
      <c r="CO357" s="58"/>
      <c r="CP357" s="58"/>
      <c r="CQ357" s="58"/>
      <c r="CR357" s="58"/>
      <c r="CS357" s="58"/>
      <c r="CT357" s="58"/>
      <c r="CU357" s="58"/>
    </row>
    <row r="358" spans="1:99" ht="15" thickBot="1" x14ac:dyDescent="0.4">
      <c r="A358" s="14"/>
      <c r="B358" s="14"/>
      <c r="C358" s="14"/>
      <c r="D358" s="14"/>
      <c r="E358" s="14"/>
      <c r="F358" s="14"/>
      <c r="G358" s="14"/>
      <c r="H358" s="14"/>
      <c r="I358" s="14"/>
      <c r="J358" s="15"/>
      <c r="L358" s="58"/>
      <c r="M358" s="58"/>
      <c r="N358" s="58"/>
      <c r="O358" s="58"/>
      <c r="P358" s="269"/>
      <c r="Q358" s="58"/>
      <c r="R358" s="58"/>
      <c r="S358" s="58"/>
      <c r="T358" s="58"/>
      <c r="U358" s="58"/>
      <c r="V358" s="269"/>
      <c r="W358" s="58"/>
      <c r="X358" s="58"/>
      <c r="Y358" s="58"/>
      <c r="Z358" s="58"/>
      <c r="AA358" s="58"/>
      <c r="AB358" s="269"/>
      <c r="AC358" s="58"/>
      <c r="AD358" s="58"/>
      <c r="AE358" s="58"/>
      <c r="AF358" s="58"/>
      <c r="AG358" s="58"/>
      <c r="AH358" s="269"/>
      <c r="AI358" s="58"/>
      <c r="AJ358" s="58"/>
      <c r="AK358" s="58"/>
      <c r="AL358" s="58"/>
      <c r="AM358" s="58"/>
      <c r="AN358" s="59"/>
      <c r="AO358" s="58"/>
      <c r="AP358" s="58"/>
      <c r="AQ358" s="58"/>
      <c r="AR358" s="58"/>
      <c r="AS358" s="58"/>
      <c r="AT358" s="59"/>
      <c r="AU358" s="58"/>
      <c r="AV358" s="58"/>
      <c r="AW358" s="58"/>
      <c r="AX358" s="58"/>
      <c r="AY358" s="58"/>
      <c r="AZ358" s="59"/>
      <c r="BA358" s="58"/>
      <c r="BB358" s="58"/>
      <c r="BC358" s="58"/>
      <c r="BD358" s="58"/>
      <c r="BE358" s="58"/>
      <c r="BF358" s="59"/>
      <c r="BG358" s="58"/>
      <c r="BH358" s="58"/>
      <c r="BI358" s="58"/>
      <c r="BJ358" s="58"/>
      <c r="BK358" s="58"/>
      <c r="BL358" s="59"/>
      <c r="BM358" s="58"/>
      <c r="BN358" s="58"/>
      <c r="BO358" s="58"/>
      <c r="BP358" s="58"/>
      <c r="BQ358" s="58"/>
      <c r="BR358" s="58"/>
      <c r="BS358" s="58"/>
      <c r="BT358" s="58"/>
      <c r="BU358" s="58"/>
      <c r="BV358" s="58"/>
      <c r="BW358" s="58"/>
      <c r="BX358" s="58"/>
      <c r="BY358" s="58"/>
      <c r="BZ358" s="58"/>
      <c r="CA358" s="58"/>
      <c r="CB358" s="58"/>
      <c r="CC358" s="58"/>
      <c r="CD358" s="58"/>
      <c r="CE358" s="58"/>
      <c r="CF358" s="58"/>
      <c r="CG358" s="58"/>
      <c r="CH358" s="58"/>
      <c r="CI358" s="58"/>
      <c r="CJ358" s="58"/>
      <c r="CK358" s="58"/>
      <c r="CL358" s="58"/>
      <c r="CM358" s="58"/>
      <c r="CN358" s="58"/>
      <c r="CO358" s="58"/>
      <c r="CP358" s="58"/>
      <c r="CQ358" s="58"/>
      <c r="CR358" s="58"/>
      <c r="CS358" s="58"/>
      <c r="CT358" s="58"/>
      <c r="CU358" s="58"/>
    </row>
    <row r="359" spans="1:99" ht="15" thickBot="1" x14ac:dyDescent="0.4">
      <c r="A359" s="14"/>
      <c r="B359" s="14"/>
      <c r="C359" s="14"/>
      <c r="D359" s="14"/>
      <c r="E359" s="14"/>
      <c r="F359" s="14"/>
      <c r="G359" s="14"/>
      <c r="H359" s="14"/>
      <c r="I359" s="14"/>
      <c r="J359" s="15"/>
      <c r="L359" s="58"/>
      <c r="M359" s="58"/>
      <c r="N359" s="58"/>
      <c r="O359" s="58"/>
      <c r="P359" s="269"/>
      <c r="Q359" s="58"/>
      <c r="R359" s="58"/>
      <c r="S359" s="58"/>
      <c r="T359" s="58"/>
      <c r="U359" s="58"/>
      <c r="V359" s="269"/>
      <c r="W359" s="58"/>
      <c r="X359" s="58"/>
      <c r="Y359" s="58"/>
      <c r="Z359" s="58"/>
      <c r="AA359" s="58"/>
      <c r="AB359" s="269"/>
      <c r="AC359" s="58"/>
      <c r="AD359" s="58"/>
      <c r="AE359" s="58"/>
      <c r="AF359" s="58"/>
      <c r="AG359" s="58"/>
      <c r="AH359" s="269"/>
      <c r="AI359" s="58"/>
      <c r="AJ359" s="58"/>
      <c r="AK359" s="58"/>
      <c r="AL359" s="58"/>
      <c r="AM359" s="58"/>
      <c r="AN359" s="59"/>
      <c r="AO359" s="58"/>
      <c r="AP359" s="58"/>
      <c r="AQ359" s="58"/>
      <c r="AR359" s="58"/>
      <c r="AS359" s="58"/>
      <c r="AT359" s="59"/>
      <c r="AU359" s="58"/>
      <c r="AV359" s="58"/>
      <c r="AW359" s="58"/>
      <c r="AX359" s="58"/>
      <c r="AY359" s="58"/>
      <c r="AZ359" s="59"/>
      <c r="BA359" s="58"/>
      <c r="BB359" s="58"/>
      <c r="BC359" s="58"/>
      <c r="BD359" s="58"/>
      <c r="BE359" s="58"/>
      <c r="BF359" s="59"/>
      <c r="BG359" s="58"/>
      <c r="BH359" s="58"/>
      <c r="BI359" s="58"/>
      <c r="BJ359" s="58"/>
      <c r="BK359" s="58"/>
      <c r="BL359" s="59"/>
      <c r="BM359" s="58"/>
      <c r="BN359" s="58"/>
      <c r="BO359" s="58"/>
      <c r="BP359" s="58"/>
      <c r="BQ359" s="58"/>
      <c r="BR359" s="58"/>
      <c r="BS359" s="58"/>
      <c r="BT359" s="58"/>
      <c r="BU359" s="58"/>
      <c r="BV359" s="58"/>
      <c r="BW359" s="58"/>
      <c r="BX359" s="58"/>
      <c r="BY359" s="58"/>
      <c r="BZ359" s="58"/>
      <c r="CA359" s="58"/>
      <c r="CB359" s="58"/>
      <c r="CC359" s="58"/>
      <c r="CD359" s="58"/>
      <c r="CE359" s="58"/>
      <c r="CF359" s="58"/>
      <c r="CG359" s="58"/>
      <c r="CH359" s="58"/>
      <c r="CI359" s="58"/>
      <c r="CJ359" s="58"/>
      <c r="CK359" s="58"/>
      <c r="CL359" s="58"/>
      <c r="CM359" s="58"/>
      <c r="CN359" s="58"/>
      <c r="CO359" s="58"/>
      <c r="CP359" s="58"/>
      <c r="CQ359" s="58"/>
      <c r="CR359" s="58"/>
      <c r="CS359" s="58"/>
      <c r="CT359" s="58"/>
      <c r="CU359" s="58"/>
    </row>
    <row r="360" spans="1:99" ht="15" thickBot="1" x14ac:dyDescent="0.4">
      <c r="A360" s="14"/>
      <c r="B360" s="14"/>
      <c r="C360" s="14"/>
      <c r="D360" s="14"/>
      <c r="E360" s="14"/>
      <c r="F360" s="14"/>
      <c r="G360" s="14"/>
      <c r="H360" s="14"/>
      <c r="I360" s="14"/>
      <c r="J360" s="15"/>
      <c r="L360" s="58"/>
      <c r="M360" s="58"/>
      <c r="N360" s="58"/>
      <c r="O360" s="58"/>
      <c r="P360" s="269"/>
      <c r="Q360" s="58"/>
      <c r="R360" s="58"/>
      <c r="S360" s="58"/>
      <c r="T360" s="58"/>
      <c r="U360" s="58"/>
      <c r="V360" s="269"/>
      <c r="W360" s="58"/>
      <c r="X360" s="58"/>
      <c r="Y360" s="58"/>
      <c r="Z360" s="58"/>
      <c r="AA360" s="58"/>
      <c r="AB360" s="269"/>
      <c r="AC360" s="58"/>
      <c r="AD360" s="58"/>
      <c r="AE360" s="58"/>
      <c r="AF360" s="58"/>
      <c r="AG360" s="58"/>
      <c r="AH360" s="269"/>
      <c r="AI360" s="58"/>
      <c r="AJ360" s="58"/>
      <c r="AK360" s="58"/>
      <c r="AL360" s="58"/>
      <c r="AM360" s="58"/>
      <c r="AN360" s="59"/>
      <c r="AO360" s="58"/>
      <c r="AP360" s="58"/>
      <c r="AQ360" s="58"/>
      <c r="AR360" s="58"/>
      <c r="AS360" s="58"/>
      <c r="AT360" s="59"/>
      <c r="AU360" s="58"/>
      <c r="AV360" s="58"/>
      <c r="AW360" s="58"/>
      <c r="AX360" s="58"/>
      <c r="AY360" s="58"/>
      <c r="AZ360" s="59"/>
      <c r="BA360" s="58"/>
      <c r="BB360" s="58"/>
      <c r="BC360" s="58"/>
      <c r="BD360" s="58"/>
      <c r="BE360" s="58"/>
      <c r="BF360" s="59"/>
      <c r="BG360" s="58"/>
      <c r="BH360" s="58"/>
      <c r="BI360" s="58"/>
      <c r="BJ360" s="58"/>
      <c r="BK360" s="58"/>
      <c r="BL360" s="59"/>
      <c r="BM360" s="58"/>
      <c r="BN360" s="58"/>
      <c r="BO360" s="58"/>
      <c r="BP360" s="58"/>
      <c r="BQ360" s="58"/>
      <c r="BR360" s="58"/>
      <c r="BS360" s="58"/>
      <c r="BT360" s="58"/>
      <c r="BU360" s="58"/>
      <c r="BV360" s="58"/>
      <c r="BW360" s="58"/>
      <c r="BX360" s="58"/>
      <c r="BY360" s="58"/>
      <c r="BZ360" s="58"/>
      <c r="CA360" s="58"/>
      <c r="CB360" s="58"/>
      <c r="CC360" s="58"/>
      <c r="CD360" s="58"/>
      <c r="CE360" s="58"/>
      <c r="CF360" s="58"/>
      <c r="CG360" s="58"/>
      <c r="CH360" s="58"/>
      <c r="CI360" s="58"/>
      <c r="CJ360" s="58"/>
      <c r="CK360" s="58"/>
      <c r="CL360" s="58"/>
      <c r="CM360" s="58"/>
      <c r="CN360" s="58"/>
      <c r="CO360" s="58"/>
      <c r="CP360" s="58"/>
      <c r="CQ360" s="58"/>
      <c r="CR360" s="58"/>
      <c r="CS360" s="58"/>
      <c r="CT360" s="58"/>
      <c r="CU360" s="58"/>
    </row>
    <row r="361" spans="1:99" ht="15" thickBot="1" x14ac:dyDescent="0.4">
      <c r="A361" s="14"/>
      <c r="B361" s="14"/>
      <c r="C361" s="14"/>
      <c r="D361" s="14"/>
      <c r="E361" s="14"/>
      <c r="F361" s="14"/>
      <c r="G361" s="14"/>
      <c r="H361" s="14"/>
      <c r="I361" s="14"/>
      <c r="J361" s="15"/>
      <c r="L361" s="58"/>
      <c r="M361" s="58"/>
      <c r="N361" s="58"/>
      <c r="O361" s="58"/>
      <c r="P361" s="269"/>
      <c r="Q361" s="58"/>
      <c r="R361" s="58"/>
      <c r="S361" s="58"/>
      <c r="T361" s="58"/>
      <c r="U361" s="58"/>
      <c r="V361" s="269"/>
      <c r="W361" s="58"/>
      <c r="X361" s="58"/>
      <c r="Y361" s="58"/>
      <c r="Z361" s="58"/>
      <c r="AA361" s="58"/>
      <c r="AB361" s="269"/>
      <c r="AC361" s="58"/>
      <c r="AD361" s="58"/>
      <c r="AE361" s="58"/>
      <c r="AF361" s="58"/>
      <c r="AG361" s="58"/>
      <c r="AH361" s="269"/>
      <c r="AI361" s="58"/>
      <c r="AJ361" s="58"/>
      <c r="AK361" s="58"/>
      <c r="AL361" s="58"/>
      <c r="AM361" s="58"/>
      <c r="AN361" s="59"/>
      <c r="AO361" s="58"/>
      <c r="AP361" s="58"/>
      <c r="AQ361" s="58"/>
      <c r="AR361" s="58"/>
      <c r="AS361" s="58"/>
      <c r="AT361" s="59"/>
      <c r="AU361" s="58"/>
      <c r="AV361" s="58"/>
      <c r="AW361" s="58"/>
      <c r="AX361" s="58"/>
      <c r="AY361" s="58"/>
      <c r="AZ361" s="59"/>
      <c r="BA361" s="58"/>
      <c r="BB361" s="58"/>
      <c r="BC361" s="58"/>
      <c r="BD361" s="58"/>
      <c r="BE361" s="58"/>
      <c r="BF361" s="59"/>
      <c r="BG361" s="58"/>
      <c r="BH361" s="58"/>
      <c r="BI361" s="58"/>
      <c r="BJ361" s="58"/>
      <c r="BK361" s="58"/>
      <c r="BL361" s="59"/>
      <c r="BM361" s="58"/>
      <c r="BN361" s="58"/>
      <c r="BO361" s="58"/>
      <c r="BP361" s="58"/>
      <c r="BQ361" s="58"/>
      <c r="BR361" s="58"/>
      <c r="BS361" s="58"/>
      <c r="BT361" s="58"/>
      <c r="BU361" s="58"/>
      <c r="BV361" s="58"/>
      <c r="BW361" s="58"/>
      <c r="BX361" s="58"/>
      <c r="BY361" s="58"/>
      <c r="BZ361" s="58"/>
      <c r="CA361" s="58"/>
      <c r="CB361" s="58"/>
      <c r="CC361" s="58"/>
      <c r="CD361" s="58"/>
      <c r="CE361" s="58"/>
      <c r="CF361" s="58"/>
      <c r="CG361" s="58"/>
      <c r="CH361" s="58"/>
      <c r="CI361" s="58"/>
      <c r="CJ361" s="58"/>
      <c r="CK361" s="58"/>
      <c r="CL361" s="58"/>
      <c r="CM361" s="58"/>
      <c r="CN361" s="58"/>
      <c r="CO361" s="58"/>
      <c r="CP361" s="58"/>
      <c r="CQ361" s="58"/>
      <c r="CR361" s="58"/>
      <c r="CS361" s="58"/>
      <c r="CT361" s="58"/>
      <c r="CU361" s="58"/>
    </row>
    <row r="362" spans="1:99" ht="15" thickBot="1" x14ac:dyDescent="0.4">
      <c r="A362" s="14"/>
      <c r="B362" s="14"/>
      <c r="C362" s="14"/>
      <c r="D362" s="14"/>
      <c r="E362" s="14"/>
      <c r="F362" s="14"/>
      <c r="G362" s="14"/>
      <c r="H362" s="14"/>
      <c r="I362" s="14"/>
      <c r="J362" s="15"/>
      <c r="L362" s="58"/>
      <c r="M362" s="58"/>
      <c r="N362" s="58"/>
      <c r="O362" s="58"/>
      <c r="P362" s="269"/>
      <c r="Q362" s="58"/>
      <c r="R362" s="58"/>
      <c r="S362" s="58"/>
      <c r="T362" s="58"/>
      <c r="U362" s="58"/>
      <c r="V362" s="269"/>
      <c r="W362" s="58"/>
      <c r="X362" s="58"/>
      <c r="Y362" s="58"/>
      <c r="Z362" s="58"/>
      <c r="AA362" s="58"/>
      <c r="AB362" s="269"/>
      <c r="AC362" s="58"/>
      <c r="AD362" s="58"/>
      <c r="AE362" s="58"/>
      <c r="AF362" s="58"/>
      <c r="AG362" s="58"/>
      <c r="AH362" s="269"/>
      <c r="AI362" s="58"/>
      <c r="AJ362" s="58"/>
      <c r="AK362" s="58"/>
      <c r="AL362" s="58"/>
      <c r="AM362" s="58"/>
      <c r="AN362" s="59"/>
      <c r="AO362" s="58"/>
      <c r="AP362" s="58"/>
      <c r="AQ362" s="58"/>
      <c r="AR362" s="58"/>
      <c r="AS362" s="58"/>
      <c r="AT362" s="59"/>
      <c r="AU362" s="58"/>
      <c r="AV362" s="58"/>
      <c r="AW362" s="58"/>
      <c r="AX362" s="58"/>
      <c r="AY362" s="58"/>
      <c r="AZ362" s="59"/>
      <c r="BA362" s="58"/>
      <c r="BB362" s="58"/>
      <c r="BC362" s="58"/>
      <c r="BD362" s="58"/>
      <c r="BE362" s="58"/>
      <c r="BF362" s="59"/>
      <c r="BG362" s="58"/>
      <c r="BH362" s="58"/>
      <c r="BI362" s="58"/>
      <c r="BJ362" s="58"/>
      <c r="BK362" s="58"/>
      <c r="BL362" s="59"/>
      <c r="BM362" s="58"/>
      <c r="BN362" s="58"/>
      <c r="BO362" s="58"/>
      <c r="BP362" s="58"/>
      <c r="BQ362" s="58"/>
      <c r="BR362" s="58"/>
      <c r="BS362" s="58"/>
      <c r="BT362" s="58"/>
      <c r="BU362" s="58"/>
      <c r="BV362" s="58"/>
      <c r="BW362" s="58"/>
      <c r="BX362" s="58"/>
      <c r="BY362" s="58"/>
      <c r="BZ362" s="58"/>
      <c r="CA362" s="58"/>
      <c r="CB362" s="58"/>
      <c r="CC362" s="58"/>
      <c r="CD362" s="58"/>
      <c r="CE362" s="58"/>
      <c r="CF362" s="58"/>
      <c r="CG362" s="58"/>
      <c r="CH362" s="58"/>
      <c r="CI362" s="58"/>
      <c r="CJ362" s="58"/>
      <c r="CK362" s="58"/>
      <c r="CL362" s="58"/>
      <c r="CM362" s="58"/>
      <c r="CN362" s="58"/>
      <c r="CO362" s="58"/>
      <c r="CP362" s="58"/>
      <c r="CQ362" s="58"/>
      <c r="CR362" s="58"/>
      <c r="CS362" s="58"/>
      <c r="CT362" s="58"/>
      <c r="CU362" s="58"/>
    </row>
    <row r="363" spans="1:99" ht="15" thickBot="1" x14ac:dyDescent="0.4">
      <c r="A363" s="14"/>
      <c r="B363" s="14"/>
      <c r="C363" s="14"/>
      <c r="D363" s="14"/>
      <c r="E363" s="14"/>
      <c r="F363" s="14"/>
      <c r="G363" s="14"/>
      <c r="H363" s="14"/>
      <c r="I363" s="14"/>
      <c r="J363" s="15"/>
      <c r="L363" s="58"/>
      <c r="M363" s="58"/>
      <c r="N363" s="58"/>
      <c r="O363" s="58"/>
      <c r="P363" s="269"/>
      <c r="Q363" s="58"/>
      <c r="R363" s="58"/>
      <c r="S363" s="58"/>
      <c r="T363" s="58"/>
      <c r="U363" s="58"/>
      <c r="V363" s="269"/>
      <c r="W363" s="58"/>
      <c r="X363" s="58"/>
      <c r="Y363" s="58"/>
      <c r="Z363" s="58"/>
      <c r="AA363" s="58"/>
      <c r="AB363" s="269"/>
      <c r="AC363" s="58"/>
      <c r="AD363" s="58"/>
      <c r="AE363" s="58"/>
      <c r="AF363" s="58"/>
      <c r="AG363" s="58"/>
      <c r="AH363" s="269"/>
      <c r="AI363" s="58"/>
      <c r="AJ363" s="58"/>
      <c r="AK363" s="58"/>
      <c r="AL363" s="58"/>
      <c r="AM363" s="58"/>
      <c r="AN363" s="59"/>
      <c r="AO363" s="58"/>
      <c r="AP363" s="58"/>
      <c r="AQ363" s="58"/>
      <c r="AR363" s="58"/>
      <c r="AS363" s="58"/>
      <c r="AT363" s="59"/>
      <c r="AU363" s="58"/>
      <c r="AV363" s="58"/>
      <c r="AW363" s="58"/>
      <c r="AX363" s="58"/>
      <c r="AY363" s="58"/>
      <c r="AZ363" s="59"/>
      <c r="BA363" s="58"/>
      <c r="BB363" s="58"/>
      <c r="BC363" s="58"/>
      <c r="BD363" s="58"/>
      <c r="BE363" s="58"/>
      <c r="BF363" s="59"/>
      <c r="BG363" s="58"/>
      <c r="BH363" s="58"/>
      <c r="BI363" s="58"/>
      <c r="BJ363" s="58"/>
      <c r="BK363" s="58"/>
      <c r="BL363" s="59"/>
      <c r="BM363" s="58"/>
      <c r="BN363" s="58"/>
      <c r="BO363" s="58"/>
      <c r="BP363" s="58"/>
      <c r="BQ363" s="58"/>
      <c r="BR363" s="58"/>
      <c r="BS363" s="58"/>
      <c r="BT363" s="58"/>
      <c r="BU363" s="58"/>
      <c r="BV363" s="58"/>
      <c r="BW363" s="58"/>
      <c r="BX363" s="58"/>
      <c r="BY363" s="58"/>
      <c r="BZ363" s="58"/>
      <c r="CA363" s="58"/>
      <c r="CB363" s="58"/>
      <c r="CC363" s="58"/>
      <c r="CD363" s="58"/>
      <c r="CE363" s="58"/>
      <c r="CF363" s="58"/>
      <c r="CG363" s="58"/>
      <c r="CH363" s="58"/>
      <c r="CI363" s="58"/>
      <c r="CJ363" s="58"/>
      <c r="CK363" s="58"/>
      <c r="CL363" s="58"/>
      <c r="CM363" s="58"/>
      <c r="CN363" s="58"/>
      <c r="CO363" s="58"/>
      <c r="CP363" s="58"/>
      <c r="CQ363" s="58"/>
      <c r="CR363" s="58"/>
      <c r="CS363" s="58"/>
      <c r="CT363" s="58"/>
      <c r="CU363" s="58"/>
    </row>
    <row r="364" spans="1:99" ht="15" thickBot="1" x14ac:dyDescent="0.4">
      <c r="A364" s="14"/>
      <c r="B364" s="14"/>
      <c r="C364" s="14"/>
      <c r="D364" s="14"/>
      <c r="E364" s="14"/>
      <c r="F364" s="14"/>
      <c r="G364" s="14"/>
      <c r="H364" s="14"/>
      <c r="I364" s="14"/>
      <c r="J364" s="15"/>
      <c r="L364" s="58"/>
      <c r="M364" s="58"/>
      <c r="N364" s="58"/>
      <c r="O364" s="58"/>
      <c r="P364" s="269"/>
      <c r="Q364" s="58"/>
      <c r="R364" s="58"/>
      <c r="S364" s="58"/>
      <c r="T364" s="58"/>
      <c r="U364" s="58"/>
      <c r="V364" s="269"/>
      <c r="W364" s="58"/>
      <c r="X364" s="58"/>
      <c r="Y364" s="58"/>
      <c r="Z364" s="58"/>
      <c r="AA364" s="58"/>
      <c r="AB364" s="269"/>
      <c r="AC364" s="58"/>
      <c r="AD364" s="58"/>
      <c r="AE364" s="58"/>
      <c r="AF364" s="58"/>
      <c r="AG364" s="58"/>
      <c r="AH364" s="269"/>
      <c r="AI364" s="58"/>
      <c r="AJ364" s="58"/>
      <c r="AK364" s="58"/>
      <c r="AL364" s="58"/>
      <c r="AM364" s="58"/>
      <c r="AN364" s="59"/>
      <c r="AO364" s="58"/>
      <c r="AP364" s="58"/>
      <c r="AQ364" s="58"/>
      <c r="AR364" s="58"/>
      <c r="AS364" s="58"/>
      <c r="AT364" s="59"/>
      <c r="AU364" s="58"/>
      <c r="AV364" s="58"/>
      <c r="AW364" s="58"/>
      <c r="AX364" s="58"/>
      <c r="AY364" s="58"/>
      <c r="AZ364" s="59"/>
      <c r="BA364" s="58"/>
      <c r="BB364" s="58"/>
      <c r="BC364" s="58"/>
      <c r="BD364" s="58"/>
      <c r="BE364" s="58"/>
      <c r="BF364" s="59"/>
      <c r="BG364" s="58"/>
      <c r="BH364" s="58"/>
      <c r="BI364" s="58"/>
      <c r="BJ364" s="58"/>
      <c r="BK364" s="58"/>
      <c r="BL364" s="59"/>
      <c r="BM364" s="58"/>
      <c r="BN364" s="58"/>
      <c r="BO364" s="58"/>
      <c r="BP364" s="58"/>
      <c r="BQ364" s="58"/>
      <c r="BR364" s="58"/>
      <c r="BS364" s="58"/>
      <c r="BT364" s="58"/>
      <c r="BU364" s="58"/>
      <c r="BV364" s="58"/>
      <c r="BW364" s="58"/>
      <c r="BX364" s="58"/>
      <c r="BY364" s="58"/>
      <c r="BZ364" s="58"/>
      <c r="CA364" s="58"/>
      <c r="CB364" s="58"/>
      <c r="CC364" s="58"/>
      <c r="CD364" s="58"/>
      <c r="CE364" s="58"/>
      <c r="CF364" s="58"/>
      <c r="CG364" s="58"/>
      <c r="CH364" s="58"/>
      <c r="CI364" s="58"/>
      <c r="CJ364" s="58"/>
      <c r="CK364" s="58"/>
      <c r="CL364" s="58"/>
      <c r="CM364" s="58"/>
      <c r="CN364" s="58"/>
      <c r="CO364" s="58"/>
      <c r="CP364" s="58"/>
      <c r="CQ364" s="58"/>
      <c r="CR364" s="58"/>
      <c r="CS364" s="58"/>
      <c r="CT364" s="58"/>
      <c r="CU364" s="58"/>
    </row>
    <row r="365" spans="1:99" ht="15" thickBot="1" x14ac:dyDescent="0.4">
      <c r="A365" s="14"/>
      <c r="B365" s="14"/>
      <c r="C365" s="14"/>
      <c r="D365" s="14"/>
      <c r="E365" s="14"/>
      <c r="F365" s="14"/>
      <c r="G365" s="14"/>
      <c r="H365" s="14"/>
      <c r="I365" s="14"/>
      <c r="J365" s="15"/>
      <c r="L365" s="58"/>
      <c r="M365" s="58"/>
      <c r="N365" s="58"/>
      <c r="O365" s="58"/>
      <c r="P365" s="269"/>
      <c r="Q365" s="58"/>
      <c r="R365" s="58"/>
      <c r="S365" s="58"/>
      <c r="T365" s="58"/>
      <c r="U365" s="58"/>
      <c r="V365" s="269"/>
      <c r="W365" s="58"/>
      <c r="X365" s="58"/>
      <c r="Y365" s="58"/>
      <c r="Z365" s="58"/>
      <c r="AA365" s="58"/>
      <c r="AB365" s="269"/>
      <c r="AC365" s="58"/>
      <c r="AD365" s="58"/>
      <c r="AE365" s="58"/>
      <c r="AF365" s="58"/>
      <c r="AG365" s="58"/>
      <c r="AH365" s="269"/>
      <c r="AI365" s="58"/>
      <c r="AJ365" s="58"/>
      <c r="AK365" s="58"/>
      <c r="AL365" s="58"/>
      <c r="AM365" s="58"/>
      <c r="AN365" s="59"/>
      <c r="AO365" s="58"/>
      <c r="AP365" s="58"/>
      <c r="AQ365" s="58"/>
      <c r="AR365" s="58"/>
      <c r="AS365" s="58"/>
      <c r="AT365" s="59"/>
      <c r="AU365" s="58"/>
      <c r="AV365" s="58"/>
      <c r="AW365" s="58"/>
      <c r="AX365" s="58"/>
      <c r="AY365" s="58"/>
      <c r="AZ365" s="59"/>
      <c r="BA365" s="58"/>
      <c r="BB365" s="58"/>
      <c r="BC365" s="58"/>
      <c r="BD365" s="58"/>
      <c r="BE365" s="58"/>
      <c r="BF365" s="59"/>
      <c r="BG365" s="58"/>
      <c r="BH365" s="58"/>
      <c r="BI365" s="58"/>
      <c r="BJ365" s="58"/>
      <c r="BK365" s="58"/>
      <c r="BL365" s="59"/>
      <c r="BM365" s="58"/>
      <c r="BN365" s="58"/>
      <c r="BO365" s="58"/>
      <c r="BP365" s="58"/>
      <c r="BQ365" s="58"/>
      <c r="BR365" s="58"/>
      <c r="BS365" s="58"/>
      <c r="BT365" s="58"/>
      <c r="BU365" s="58"/>
      <c r="BV365" s="58"/>
      <c r="BW365" s="58"/>
      <c r="BX365" s="58"/>
      <c r="BY365" s="58"/>
      <c r="BZ365" s="58"/>
      <c r="CA365" s="58"/>
      <c r="CB365" s="58"/>
      <c r="CC365" s="58"/>
      <c r="CD365" s="58"/>
      <c r="CE365" s="58"/>
      <c r="CF365" s="58"/>
      <c r="CG365" s="58"/>
      <c r="CH365" s="58"/>
      <c r="CI365" s="58"/>
      <c r="CJ365" s="58"/>
      <c r="CK365" s="58"/>
      <c r="CL365" s="58"/>
      <c r="CM365" s="58"/>
      <c r="CN365" s="58"/>
      <c r="CO365" s="58"/>
      <c r="CP365" s="58"/>
      <c r="CQ365" s="58"/>
      <c r="CR365" s="58"/>
      <c r="CS365" s="58"/>
      <c r="CT365" s="58"/>
      <c r="CU365" s="58"/>
    </row>
    <row r="366" spans="1:99" ht="15" thickBot="1" x14ac:dyDescent="0.4">
      <c r="A366" s="14"/>
      <c r="B366" s="14"/>
      <c r="C366" s="14"/>
      <c r="D366" s="14"/>
      <c r="E366" s="14"/>
      <c r="F366" s="14"/>
      <c r="G366" s="14"/>
      <c r="H366" s="14"/>
      <c r="I366" s="14"/>
      <c r="J366" s="15"/>
      <c r="L366" s="58"/>
      <c r="M366" s="58"/>
      <c r="N366" s="58"/>
      <c r="O366" s="58"/>
      <c r="P366" s="269"/>
      <c r="Q366" s="58"/>
      <c r="R366" s="58"/>
      <c r="S366" s="58"/>
      <c r="T366" s="58"/>
      <c r="U366" s="58"/>
      <c r="V366" s="269"/>
      <c r="W366" s="58"/>
      <c r="X366" s="58"/>
      <c r="Y366" s="58"/>
      <c r="Z366" s="58"/>
      <c r="AA366" s="58"/>
      <c r="AB366" s="269"/>
      <c r="AC366" s="58"/>
      <c r="AD366" s="58"/>
      <c r="AE366" s="58"/>
      <c r="AF366" s="58"/>
      <c r="AG366" s="58"/>
      <c r="AH366" s="269"/>
      <c r="AI366" s="58"/>
      <c r="AJ366" s="58"/>
      <c r="AK366" s="58"/>
      <c r="AL366" s="58"/>
      <c r="AM366" s="58"/>
      <c r="AN366" s="59"/>
      <c r="AO366" s="58"/>
      <c r="AP366" s="58"/>
      <c r="AQ366" s="58"/>
      <c r="AR366" s="58"/>
      <c r="AS366" s="58"/>
      <c r="AT366" s="59"/>
      <c r="AU366" s="58"/>
      <c r="AV366" s="58"/>
      <c r="AW366" s="58"/>
      <c r="AX366" s="58"/>
      <c r="AY366" s="58"/>
      <c r="AZ366" s="59"/>
      <c r="BA366" s="58"/>
      <c r="BB366" s="58"/>
      <c r="BC366" s="58"/>
      <c r="BD366" s="58"/>
      <c r="BE366" s="58"/>
      <c r="BF366" s="59"/>
      <c r="BG366" s="58"/>
      <c r="BH366" s="58"/>
      <c r="BI366" s="58"/>
      <c r="BJ366" s="58"/>
      <c r="BK366" s="58"/>
      <c r="BL366" s="59"/>
      <c r="BM366" s="58"/>
      <c r="BN366" s="58"/>
      <c r="BO366" s="58"/>
      <c r="BP366" s="58"/>
      <c r="BQ366" s="58"/>
      <c r="BR366" s="58"/>
      <c r="BS366" s="58"/>
      <c r="BT366" s="58"/>
      <c r="BU366" s="58"/>
      <c r="BV366" s="58"/>
      <c r="BW366" s="58"/>
      <c r="BX366" s="58"/>
      <c r="BY366" s="58"/>
      <c r="BZ366" s="58"/>
      <c r="CA366" s="58"/>
      <c r="CB366" s="58"/>
      <c r="CC366" s="58"/>
      <c r="CD366" s="58"/>
      <c r="CE366" s="58"/>
      <c r="CF366" s="58"/>
      <c r="CG366" s="58"/>
      <c r="CH366" s="58"/>
      <c r="CI366" s="58"/>
      <c r="CJ366" s="58"/>
      <c r="CK366" s="58"/>
      <c r="CL366" s="58"/>
      <c r="CM366" s="58"/>
      <c r="CN366" s="58"/>
      <c r="CO366" s="58"/>
      <c r="CP366" s="58"/>
      <c r="CQ366" s="58"/>
      <c r="CR366" s="58"/>
      <c r="CS366" s="58"/>
      <c r="CT366" s="58"/>
      <c r="CU366" s="58"/>
    </row>
    <row r="367" spans="1:99" ht="15" thickBot="1" x14ac:dyDescent="0.4">
      <c r="A367" s="14"/>
      <c r="B367" s="14"/>
      <c r="C367" s="14"/>
      <c r="D367" s="14"/>
      <c r="E367" s="14"/>
      <c r="F367" s="14"/>
      <c r="G367" s="14"/>
      <c r="H367" s="14"/>
      <c r="I367" s="14"/>
      <c r="J367" s="15"/>
      <c r="L367" s="58"/>
      <c r="M367" s="58"/>
      <c r="N367" s="58"/>
      <c r="O367" s="58"/>
      <c r="P367" s="269"/>
      <c r="Q367" s="58"/>
      <c r="R367" s="58"/>
      <c r="S367" s="58"/>
      <c r="T367" s="58"/>
      <c r="U367" s="58"/>
      <c r="V367" s="269"/>
      <c r="W367" s="58"/>
      <c r="X367" s="58"/>
      <c r="Y367" s="58"/>
      <c r="Z367" s="58"/>
      <c r="AA367" s="58"/>
      <c r="AB367" s="269"/>
      <c r="AC367" s="58"/>
      <c r="AD367" s="58"/>
      <c r="AE367" s="58"/>
      <c r="AF367" s="58"/>
      <c r="AG367" s="58"/>
      <c r="AH367" s="269"/>
      <c r="AI367" s="58"/>
      <c r="AJ367" s="58"/>
      <c r="AK367" s="58"/>
      <c r="AL367" s="58"/>
      <c r="AM367" s="58"/>
      <c r="AN367" s="59"/>
      <c r="AO367" s="58"/>
      <c r="AP367" s="58"/>
      <c r="AQ367" s="58"/>
      <c r="AR367" s="58"/>
      <c r="AS367" s="58"/>
      <c r="AT367" s="59"/>
      <c r="AU367" s="58"/>
      <c r="AV367" s="58"/>
      <c r="AW367" s="58"/>
      <c r="AX367" s="58"/>
      <c r="AY367" s="58"/>
      <c r="AZ367" s="59"/>
      <c r="BA367" s="58"/>
      <c r="BB367" s="58"/>
      <c r="BC367" s="58"/>
      <c r="BD367" s="58"/>
      <c r="BE367" s="58"/>
      <c r="BF367" s="59"/>
      <c r="BG367" s="58"/>
      <c r="BH367" s="58"/>
      <c r="BI367" s="58"/>
      <c r="BJ367" s="58"/>
      <c r="BK367" s="58"/>
      <c r="BL367" s="59"/>
      <c r="BM367" s="58"/>
      <c r="BN367" s="58"/>
      <c r="BO367" s="58"/>
      <c r="BP367" s="58"/>
      <c r="BQ367" s="58"/>
      <c r="BR367" s="58"/>
      <c r="BS367" s="58"/>
      <c r="BT367" s="58"/>
      <c r="BU367" s="58"/>
      <c r="BV367" s="58"/>
      <c r="BW367" s="58"/>
      <c r="BX367" s="58"/>
      <c r="BY367" s="58"/>
      <c r="BZ367" s="58"/>
      <c r="CA367" s="58"/>
      <c r="CB367" s="58"/>
      <c r="CC367" s="58"/>
      <c r="CD367" s="58"/>
      <c r="CE367" s="58"/>
      <c r="CF367" s="58"/>
      <c r="CG367" s="58"/>
      <c r="CH367" s="58"/>
      <c r="CI367" s="58"/>
      <c r="CJ367" s="58"/>
      <c r="CK367" s="58"/>
      <c r="CL367" s="58"/>
      <c r="CM367" s="58"/>
      <c r="CN367" s="58"/>
      <c r="CO367" s="58"/>
      <c r="CP367" s="58"/>
      <c r="CQ367" s="58"/>
      <c r="CR367" s="58"/>
      <c r="CS367" s="58"/>
      <c r="CT367" s="58"/>
      <c r="CU367" s="58"/>
    </row>
    <row r="368" spans="1:99" ht="15" thickBot="1" x14ac:dyDescent="0.4">
      <c r="A368" s="14"/>
      <c r="B368" s="14"/>
      <c r="C368" s="14"/>
      <c r="D368" s="14"/>
      <c r="E368" s="14"/>
      <c r="F368" s="14"/>
      <c r="G368" s="14"/>
      <c r="H368" s="14"/>
      <c r="I368" s="14"/>
      <c r="J368" s="15"/>
      <c r="L368" s="58"/>
      <c r="M368" s="58"/>
      <c r="N368" s="58"/>
      <c r="O368" s="58"/>
      <c r="P368" s="269"/>
      <c r="Q368" s="58"/>
      <c r="R368" s="58"/>
      <c r="S368" s="58"/>
      <c r="T368" s="58"/>
      <c r="U368" s="58"/>
      <c r="V368" s="269"/>
      <c r="W368" s="58"/>
      <c r="X368" s="58"/>
      <c r="Y368" s="58"/>
      <c r="Z368" s="58"/>
      <c r="AA368" s="58"/>
      <c r="AB368" s="269"/>
      <c r="AC368" s="58"/>
      <c r="AD368" s="58"/>
      <c r="AE368" s="58"/>
      <c r="AF368" s="58"/>
      <c r="AG368" s="58"/>
      <c r="AH368" s="269"/>
      <c r="AI368" s="58"/>
      <c r="AJ368" s="58"/>
      <c r="AK368" s="58"/>
      <c r="AL368" s="58"/>
      <c r="AM368" s="58"/>
      <c r="AN368" s="59"/>
      <c r="AO368" s="58"/>
      <c r="AP368" s="58"/>
      <c r="AQ368" s="58"/>
      <c r="AR368" s="58"/>
      <c r="AS368" s="58"/>
      <c r="AT368" s="59"/>
      <c r="AU368" s="58"/>
      <c r="AV368" s="58"/>
      <c r="AW368" s="58"/>
      <c r="AX368" s="58"/>
      <c r="AY368" s="58"/>
      <c r="AZ368" s="59"/>
      <c r="BA368" s="58"/>
      <c r="BB368" s="58"/>
      <c r="BC368" s="58"/>
      <c r="BD368" s="58"/>
      <c r="BE368" s="58"/>
      <c r="BF368" s="59"/>
      <c r="BG368" s="58"/>
      <c r="BH368" s="58"/>
      <c r="BI368" s="58"/>
      <c r="BJ368" s="58"/>
      <c r="BK368" s="58"/>
      <c r="BL368" s="59"/>
      <c r="BM368" s="58"/>
      <c r="BN368" s="58"/>
      <c r="BO368" s="58"/>
      <c r="BP368" s="58"/>
      <c r="BQ368" s="58"/>
      <c r="BR368" s="58"/>
      <c r="BS368" s="58"/>
      <c r="BT368" s="58"/>
      <c r="BU368" s="58"/>
      <c r="BV368" s="58"/>
      <c r="BW368" s="58"/>
      <c r="BX368" s="58"/>
      <c r="BY368" s="58"/>
      <c r="BZ368" s="58"/>
      <c r="CA368" s="58"/>
      <c r="CB368" s="58"/>
      <c r="CC368" s="58"/>
      <c r="CD368" s="58"/>
      <c r="CE368" s="58"/>
      <c r="CF368" s="58"/>
      <c r="CG368" s="58"/>
      <c r="CH368" s="58"/>
      <c r="CI368" s="58"/>
      <c r="CJ368" s="58"/>
      <c r="CK368" s="58"/>
      <c r="CL368" s="58"/>
      <c r="CM368" s="58"/>
      <c r="CN368" s="58"/>
      <c r="CO368" s="58"/>
      <c r="CP368" s="58"/>
      <c r="CQ368" s="58"/>
      <c r="CR368" s="58"/>
      <c r="CS368" s="58"/>
      <c r="CT368" s="58"/>
      <c r="CU368" s="58"/>
    </row>
    <row r="369" spans="1:99" ht="15" thickBot="1" x14ac:dyDescent="0.4">
      <c r="A369" s="14"/>
      <c r="B369" s="14"/>
      <c r="C369" s="14"/>
      <c r="D369" s="14"/>
      <c r="E369" s="14"/>
      <c r="F369" s="14"/>
      <c r="G369" s="14"/>
      <c r="H369" s="14"/>
      <c r="I369" s="14"/>
      <c r="J369" s="15"/>
      <c r="L369" s="58"/>
      <c r="M369" s="58"/>
      <c r="N369" s="58"/>
      <c r="O369" s="58"/>
      <c r="P369" s="269"/>
      <c r="Q369" s="58"/>
      <c r="R369" s="58"/>
      <c r="S369" s="58"/>
      <c r="T369" s="58"/>
      <c r="U369" s="58"/>
      <c r="V369" s="269"/>
      <c r="W369" s="58"/>
      <c r="X369" s="58"/>
      <c r="Y369" s="58"/>
      <c r="Z369" s="58"/>
      <c r="AA369" s="58"/>
      <c r="AB369" s="269"/>
      <c r="AC369" s="58"/>
      <c r="AD369" s="58"/>
      <c r="AE369" s="58"/>
      <c r="AF369" s="58"/>
      <c r="AG369" s="58"/>
      <c r="AH369" s="269"/>
      <c r="AI369" s="58"/>
      <c r="AJ369" s="58"/>
      <c r="AK369" s="58"/>
      <c r="AL369" s="58"/>
      <c r="AM369" s="58"/>
      <c r="AN369" s="59"/>
      <c r="AO369" s="58"/>
      <c r="AP369" s="58"/>
      <c r="AQ369" s="58"/>
      <c r="AR369" s="58"/>
      <c r="AS369" s="58"/>
      <c r="AT369" s="59"/>
      <c r="AU369" s="58"/>
      <c r="AV369" s="58"/>
      <c r="AW369" s="58"/>
      <c r="AX369" s="58"/>
      <c r="AY369" s="58"/>
      <c r="AZ369" s="59"/>
      <c r="BA369" s="58"/>
      <c r="BB369" s="58"/>
      <c r="BC369" s="58"/>
      <c r="BD369" s="58"/>
      <c r="BE369" s="58"/>
      <c r="BF369" s="59"/>
      <c r="BG369" s="58"/>
      <c r="BH369" s="58"/>
      <c r="BI369" s="58"/>
      <c r="BJ369" s="58"/>
      <c r="BK369" s="58"/>
      <c r="BL369" s="59"/>
      <c r="BM369" s="58"/>
      <c r="BN369" s="58"/>
      <c r="BO369" s="58"/>
      <c r="BP369" s="58"/>
      <c r="BQ369" s="58"/>
      <c r="BR369" s="58"/>
      <c r="BS369" s="58"/>
      <c r="BT369" s="58"/>
      <c r="BU369" s="58"/>
      <c r="BV369" s="58"/>
      <c r="BW369" s="58"/>
      <c r="BX369" s="58"/>
      <c r="BY369" s="58"/>
      <c r="BZ369" s="58"/>
      <c r="CA369" s="58"/>
      <c r="CB369" s="58"/>
      <c r="CC369" s="58"/>
      <c r="CD369" s="58"/>
      <c r="CE369" s="58"/>
      <c r="CF369" s="58"/>
      <c r="CG369" s="58"/>
      <c r="CH369" s="58"/>
      <c r="CI369" s="58"/>
      <c r="CJ369" s="58"/>
      <c r="CK369" s="58"/>
      <c r="CL369" s="58"/>
      <c r="CM369" s="58"/>
      <c r="CN369" s="58"/>
      <c r="CO369" s="58"/>
      <c r="CP369" s="58"/>
      <c r="CQ369" s="58"/>
      <c r="CR369" s="58"/>
      <c r="CS369" s="58"/>
      <c r="CT369" s="58"/>
      <c r="CU369" s="58"/>
    </row>
    <row r="370" spans="1:99" ht="15" thickBot="1" x14ac:dyDescent="0.4">
      <c r="A370" s="14"/>
      <c r="B370" s="14"/>
      <c r="C370" s="14"/>
      <c r="D370" s="14"/>
      <c r="E370" s="14"/>
      <c r="F370" s="14"/>
      <c r="G370" s="14"/>
      <c r="H370" s="14"/>
      <c r="I370" s="14"/>
      <c r="J370" s="15"/>
      <c r="L370" s="58"/>
      <c r="M370" s="58"/>
      <c r="N370" s="58"/>
      <c r="O370" s="58"/>
      <c r="P370" s="269"/>
      <c r="Q370" s="58"/>
      <c r="R370" s="58"/>
      <c r="S370" s="58"/>
      <c r="T370" s="58"/>
      <c r="U370" s="58"/>
      <c r="V370" s="269"/>
      <c r="W370" s="58"/>
      <c r="X370" s="58"/>
      <c r="Y370" s="58"/>
      <c r="Z370" s="58"/>
      <c r="AA370" s="58"/>
      <c r="AB370" s="269"/>
      <c r="AC370" s="58"/>
      <c r="AD370" s="58"/>
      <c r="AE370" s="58"/>
      <c r="AF370" s="58"/>
      <c r="AG370" s="58"/>
      <c r="AH370" s="269"/>
      <c r="AI370" s="58"/>
      <c r="AJ370" s="58"/>
      <c r="AK370" s="58"/>
      <c r="AL370" s="58"/>
      <c r="AM370" s="58"/>
      <c r="AN370" s="59"/>
      <c r="AO370" s="58"/>
      <c r="AP370" s="58"/>
      <c r="AQ370" s="58"/>
      <c r="AR370" s="58"/>
      <c r="AS370" s="58"/>
      <c r="AT370" s="59"/>
      <c r="AU370" s="58"/>
      <c r="AV370" s="58"/>
      <c r="AW370" s="58"/>
      <c r="AX370" s="58"/>
      <c r="AY370" s="58"/>
      <c r="AZ370" s="59"/>
      <c r="BA370" s="58"/>
      <c r="BB370" s="58"/>
      <c r="BC370" s="58"/>
      <c r="BD370" s="58"/>
      <c r="BE370" s="58"/>
      <c r="BF370" s="59"/>
      <c r="BG370" s="58"/>
      <c r="BH370" s="58"/>
      <c r="BI370" s="58"/>
      <c r="BJ370" s="58"/>
      <c r="BK370" s="58"/>
      <c r="BL370" s="59"/>
      <c r="BM370" s="58"/>
      <c r="BN370" s="58"/>
      <c r="BO370" s="58"/>
      <c r="BP370" s="58"/>
      <c r="BQ370" s="58"/>
      <c r="BR370" s="58"/>
      <c r="BS370" s="58"/>
      <c r="BT370" s="58"/>
      <c r="BU370" s="58"/>
      <c r="BV370" s="58"/>
      <c r="BW370" s="58"/>
      <c r="BX370" s="58"/>
      <c r="BY370" s="58"/>
      <c r="BZ370" s="58"/>
      <c r="CA370" s="58"/>
      <c r="CB370" s="58"/>
      <c r="CC370" s="58"/>
      <c r="CD370" s="58"/>
      <c r="CE370" s="58"/>
      <c r="CF370" s="58"/>
      <c r="CG370" s="58"/>
      <c r="CH370" s="58"/>
      <c r="CI370" s="58"/>
      <c r="CJ370" s="58"/>
      <c r="CK370" s="58"/>
      <c r="CL370" s="58"/>
      <c r="CM370" s="58"/>
      <c r="CN370" s="58"/>
      <c r="CO370" s="58"/>
      <c r="CP370" s="58"/>
      <c r="CQ370" s="58"/>
      <c r="CR370" s="58"/>
      <c r="CS370" s="58"/>
      <c r="CT370" s="58"/>
      <c r="CU370" s="58"/>
    </row>
    <row r="371" spans="1:99" ht="15" thickBot="1" x14ac:dyDescent="0.4">
      <c r="A371" s="14"/>
      <c r="B371" s="14"/>
      <c r="C371" s="14"/>
      <c r="D371" s="14"/>
      <c r="E371" s="14"/>
      <c r="F371" s="14"/>
      <c r="G371" s="14"/>
      <c r="H371" s="14"/>
      <c r="I371" s="14"/>
      <c r="J371" s="15"/>
      <c r="L371" s="58"/>
      <c r="M371" s="58"/>
      <c r="N371" s="58"/>
      <c r="O371" s="58"/>
      <c r="P371" s="269"/>
      <c r="Q371" s="58"/>
      <c r="R371" s="58"/>
      <c r="S371" s="58"/>
      <c r="T371" s="58"/>
      <c r="U371" s="58"/>
      <c r="V371" s="269"/>
      <c r="W371" s="58"/>
      <c r="X371" s="58"/>
      <c r="Y371" s="58"/>
      <c r="Z371" s="58"/>
      <c r="AA371" s="58"/>
      <c r="AB371" s="269"/>
      <c r="AC371" s="58"/>
      <c r="AD371" s="58"/>
      <c r="AE371" s="58"/>
      <c r="AF371" s="58"/>
      <c r="AG371" s="58"/>
      <c r="AH371" s="269"/>
      <c r="AI371" s="58"/>
      <c r="AJ371" s="58"/>
      <c r="AK371" s="58"/>
      <c r="AL371" s="58"/>
      <c r="AM371" s="58"/>
      <c r="AN371" s="59"/>
      <c r="AO371" s="58"/>
      <c r="AP371" s="58"/>
      <c r="AQ371" s="58"/>
      <c r="AR371" s="58"/>
      <c r="AS371" s="58"/>
      <c r="AT371" s="59"/>
      <c r="AU371" s="58"/>
      <c r="AV371" s="58"/>
      <c r="AW371" s="58"/>
      <c r="AX371" s="58"/>
      <c r="AY371" s="58"/>
      <c r="AZ371" s="59"/>
      <c r="BA371" s="58"/>
      <c r="BB371" s="58"/>
      <c r="BC371" s="58"/>
      <c r="BD371" s="58"/>
      <c r="BE371" s="58"/>
      <c r="BF371" s="59"/>
      <c r="BG371" s="58"/>
      <c r="BH371" s="58"/>
      <c r="BI371" s="58"/>
      <c r="BJ371" s="58"/>
      <c r="BK371" s="58"/>
      <c r="BL371" s="59"/>
      <c r="BM371" s="58"/>
      <c r="BN371" s="58"/>
      <c r="BO371" s="58"/>
      <c r="BP371" s="58"/>
      <c r="BQ371" s="58"/>
      <c r="BR371" s="58"/>
      <c r="BS371" s="58"/>
      <c r="BT371" s="58"/>
      <c r="BU371" s="58"/>
      <c r="BV371" s="58"/>
      <c r="BW371" s="58"/>
      <c r="BX371" s="58"/>
      <c r="BY371" s="58"/>
      <c r="BZ371" s="58"/>
      <c r="CA371" s="58"/>
      <c r="CB371" s="58"/>
      <c r="CC371" s="58"/>
      <c r="CD371" s="58"/>
      <c r="CE371" s="58"/>
      <c r="CF371" s="58"/>
      <c r="CG371" s="58"/>
      <c r="CH371" s="58"/>
      <c r="CI371" s="58"/>
      <c r="CJ371" s="58"/>
      <c r="CK371" s="58"/>
      <c r="CL371" s="58"/>
      <c r="CM371" s="58"/>
      <c r="CN371" s="58"/>
      <c r="CO371" s="58"/>
      <c r="CP371" s="58"/>
      <c r="CQ371" s="58"/>
      <c r="CR371" s="58"/>
      <c r="CS371" s="58"/>
      <c r="CT371" s="58"/>
      <c r="CU371" s="58"/>
    </row>
    <row r="372" spans="1:99" ht="15" thickBot="1" x14ac:dyDescent="0.4">
      <c r="A372" s="14"/>
      <c r="B372" s="14"/>
      <c r="C372" s="14"/>
      <c r="D372" s="14"/>
      <c r="E372" s="14"/>
      <c r="F372" s="14"/>
      <c r="G372" s="14"/>
      <c r="H372" s="14"/>
      <c r="I372" s="14"/>
      <c r="J372" s="15"/>
      <c r="L372" s="58"/>
      <c r="M372" s="58"/>
      <c r="N372" s="58"/>
      <c r="O372" s="58"/>
      <c r="P372" s="269"/>
      <c r="Q372" s="58"/>
      <c r="R372" s="58"/>
      <c r="S372" s="58"/>
      <c r="T372" s="58"/>
      <c r="U372" s="58"/>
      <c r="V372" s="269"/>
      <c r="W372" s="58"/>
      <c r="X372" s="58"/>
      <c r="Y372" s="58"/>
      <c r="Z372" s="58"/>
      <c r="AA372" s="58"/>
      <c r="AB372" s="269"/>
      <c r="AC372" s="58"/>
      <c r="AD372" s="58"/>
      <c r="AE372" s="58"/>
      <c r="AF372" s="58"/>
      <c r="AG372" s="58"/>
      <c r="AH372" s="269"/>
      <c r="AI372" s="58"/>
      <c r="AJ372" s="58"/>
      <c r="AK372" s="58"/>
      <c r="AL372" s="58"/>
      <c r="AM372" s="58"/>
      <c r="AN372" s="59"/>
      <c r="AO372" s="58"/>
      <c r="AP372" s="58"/>
      <c r="AQ372" s="58"/>
      <c r="AR372" s="58"/>
      <c r="AS372" s="58"/>
      <c r="AT372" s="59"/>
      <c r="AU372" s="58"/>
      <c r="AV372" s="58"/>
      <c r="AW372" s="58"/>
      <c r="AX372" s="58"/>
      <c r="AY372" s="58"/>
      <c r="AZ372" s="59"/>
      <c r="BA372" s="58"/>
      <c r="BB372" s="58"/>
      <c r="BC372" s="58"/>
      <c r="BD372" s="58"/>
      <c r="BE372" s="58"/>
      <c r="BF372" s="59"/>
      <c r="BG372" s="58"/>
      <c r="BH372" s="58"/>
      <c r="BI372" s="58"/>
      <c r="BJ372" s="58"/>
      <c r="BK372" s="58"/>
      <c r="BL372" s="59"/>
      <c r="BM372" s="58"/>
      <c r="BN372" s="58"/>
      <c r="BO372" s="58"/>
      <c r="BP372" s="58"/>
      <c r="BQ372" s="58"/>
      <c r="BR372" s="58"/>
      <c r="BS372" s="58"/>
      <c r="BT372" s="58"/>
      <c r="BU372" s="58"/>
      <c r="BV372" s="58"/>
      <c r="BW372" s="58"/>
      <c r="BX372" s="58"/>
      <c r="BY372" s="58"/>
      <c r="BZ372" s="58"/>
      <c r="CA372" s="58"/>
      <c r="CB372" s="58"/>
      <c r="CC372" s="58"/>
      <c r="CD372" s="58"/>
      <c r="CE372" s="58"/>
      <c r="CF372" s="58"/>
      <c r="CG372" s="58"/>
      <c r="CH372" s="58"/>
      <c r="CI372" s="58"/>
      <c r="CJ372" s="58"/>
      <c r="CK372" s="58"/>
      <c r="CL372" s="58"/>
      <c r="CM372" s="58"/>
      <c r="CN372" s="58"/>
      <c r="CO372" s="58"/>
      <c r="CP372" s="58"/>
      <c r="CQ372" s="58"/>
      <c r="CR372" s="58"/>
      <c r="CS372" s="58"/>
      <c r="CT372" s="58"/>
      <c r="CU372" s="58"/>
    </row>
    <row r="373" spans="1:99" ht="15" thickBot="1" x14ac:dyDescent="0.4">
      <c r="A373" s="14"/>
      <c r="B373" s="14"/>
      <c r="C373" s="14"/>
      <c r="D373" s="14"/>
      <c r="E373" s="14"/>
      <c r="F373" s="14"/>
      <c r="G373" s="14"/>
      <c r="H373" s="14"/>
      <c r="I373" s="14"/>
      <c r="J373" s="15"/>
      <c r="L373" s="58"/>
      <c r="M373" s="58"/>
      <c r="N373" s="58"/>
      <c r="O373" s="58"/>
      <c r="P373" s="269"/>
      <c r="Q373" s="58"/>
      <c r="R373" s="58"/>
      <c r="S373" s="58"/>
      <c r="T373" s="58"/>
      <c r="U373" s="58"/>
      <c r="V373" s="269"/>
      <c r="W373" s="58"/>
      <c r="X373" s="58"/>
      <c r="Y373" s="58"/>
      <c r="Z373" s="58"/>
      <c r="AA373" s="58"/>
      <c r="AB373" s="269"/>
      <c r="AC373" s="58"/>
      <c r="AD373" s="58"/>
      <c r="AE373" s="58"/>
      <c r="AF373" s="58"/>
      <c r="AG373" s="58"/>
      <c r="AH373" s="269"/>
      <c r="AI373" s="58"/>
      <c r="AJ373" s="58"/>
      <c r="AK373" s="58"/>
      <c r="AL373" s="58"/>
      <c r="AM373" s="58"/>
      <c r="AN373" s="59"/>
      <c r="AO373" s="58"/>
      <c r="AP373" s="58"/>
      <c r="AQ373" s="58"/>
      <c r="AR373" s="58"/>
      <c r="AS373" s="58"/>
      <c r="AT373" s="59"/>
      <c r="AU373" s="58"/>
      <c r="AV373" s="58"/>
      <c r="AW373" s="58"/>
      <c r="AX373" s="58"/>
      <c r="AY373" s="58"/>
      <c r="AZ373" s="59"/>
      <c r="BA373" s="58"/>
      <c r="BB373" s="58"/>
      <c r="BC373" s="58"/>
      <c r="BD373" s="58"/>
      <c r="BE373" s="58"/>
      <c r="BF373" s="59"/>
      <c r="BG373" s="58"/>
      <c r="BH373" s="58"/>
      <c r="BI373" s="58"/>
      <c r="BJ373" s="58"/>
      <c r="BK373" s="58"/>
      <c r="BL373" s="59"/>
      <c r="BM373" s="58"/>
      <c r="BN373" s="58"/>
      <c r="BO373" s="58"/>
      <c r="BP373" s="58"/>
      <c r="BQ373" s="58"/>
      <c r="BR373" s="58"/>
      <c r="BS373" s="58"/>
      <c r="BT373" s="58"/>
      <c r="BU373" s="58"/>
      <c r="BV373" s="58"/>
      <c r="BW373" s="58"/>
      <c r="BX373" s="58"/>
      <c r="BY373" s="58"/>
      <c r="BZ373" s="58"/>
      <c r="CA373" s="58"/>
      <c r="CB373" s="58"/>
      <c r="CC373" s="58"/>
      <c r="CD373" s="58"/>
      <c r="CE373" s="58"/>
      <c r="CF373" s="58"/>
      <c r="CG373" s="58"/>
      <c r="CH373" s="58"/>
      <c r="CI373" s="58"/>
      <c r="CJ373" s="58"/>
      <c r="CK373" s="58"/>
      <c r="CL373" s="58"/>
      <c r="CM373" s="58"/>
      <c r="CN373" s="58"/>
      <c r="CO373" s="58"/>
      <c r="CP373" s="58"/>
      <c r="CQ373" s="58"/>
      <c r="CR373" s="58"/>
      <c r="CS373" s="58"/>
      <c r="CT373" s="58"/>
      <c r="CU373" s="58"/>
    </row>
    <row r="374" spans="1:99" ht="15" thickBot="1" x14ac:dyDescent="0.4">
      <c r="A374" s="14"/>
      <c r="B374" s="14"/>
      <c r="C374" s="14"/>
      <c r="D374" s="14"/>
      <c r="E374" s="14"/>
      <c r="F374" s="14"/>
      <c r="G374" s="14"/>
      <c r="H374" s="14"/>
      <c r="I374" s="14"/>
      <c r="J374" s="15"/>
      <c r="L374" s="58"/>
      <c r="M374" s="58"/>
      <c r="N374" s="58"/>
      <c r="O374" s="58"/>
      <c r="P374" s="269"/>
      <c r="Q374" s="58"/>
      <c r="R374" s="58"/>
      <c r="S374" s="58"/>
      <c r="T374" s="58"/>
      <c r="U374" s="58"/>
      <c r="V374" s="269"/>
      <c r="W374" s="58"/>
      <c r="X374" s="58"/>
      <c r="Y374" s="58"/>
      <c r="Z374" s="58"/>
      <c r="AA374" s="58"/>
      <c r="AB374" s="269"/>
      <c r="AC374" s="58"/>
      <c r="AD374" s="58"/>
      <c r="AE374" s="58"/>
      <c r="AF374" s="58"/>
      <c r="AG374" s="58"/>
      <c r="AH374" s="269"/>
      <c r="AI374" s="58"/>
      <c r="AJ374" s="58"/>
      <c r="AK374" s="58"/>
      <c r="AL374" s="58"/>
      <c r="AM374" s="58"/>
      <c r="AN374" s="59"/>
      <c r="AO374" s="58"/>
      <c r="AP374" s="58"/>
      <c r="AQ374" s="58"/>
      <c r="AR374" s="58"/>
      <c r="AS374" s="58"/>
      <c r="AT374" s="59"/>
      <c r="AU374" s="58"/>
      <c r="AV374" s="58"/>
      <c r="AW374" s="58"/>
      <c r="AX374" s="58"/>
      <c r="AY374" s="58"/>
      <c r="AZ374" s="59"/>
      <c r="BA374" s="58"/>
      <c r="BB374" s="58"/>
      <c r="BC374" s="58"/>
      <c r="BD374" s="58"/>
      <c r="BE374" s="58"/>
      <c r="BF374" s="59"/>
      <c r="BG374" s="58"/>
      <c r="BH374" s="58"/>
      <c r="BI374" s="58"/>
      <c r="BJ374" s="58"/>
      <c r="BK374" s="58"/>
      <c r="BL374" s="59"/>
      <c r="BM374" s="58"/>
      <c r="BN374" s="58"/>
      <c r="BO374" s="58"/>
      <c r="BP374" s="58"/>
      <c r="BQ374" s="58"/>
      <c r="BR374" s="58"/>
      <c r="BS374" s="58"/>
      <c r="BT374" s="58"/>
      <c r="BU374" s="58"/>
      <c r="BV374" s="58"/>
      <c r="BW374" s="58"/>
      <c r="BX374" s="58"/>
      <c r="BY374" s="58"/>
      <c r="BZ374" s="58"/>
      <c r="CA374" s="58"/>
      <c r="CB374" s="58"/>
      <c r="CC374" s="58"/>
      <c r="CD374" s="58"/>
      <c r="CE374" s="58"/>
      <c r="CF374" s="58"/>
      <c r="CG374" s="58"/>
      <c r="CH374" s="58"/>
      <c r="CI374" s="58"/>
      <c r="CJ374" s="58"/>
      <c r="CK374" s="58"/>
      <c r="CL374" s="58"/>
      <c r="CM374" s="58"/>
      <c r="CN374" s="58"/>
      <c r="CO374" s="58"/>
      <c r="CP374" s="58"/>
      <c r="CQ374" s="58"/>
      <c r="CR374" s="58"/>
      <c r="CS374" s="58"/>
      <c r="CT374" s="58"/>
      <c r="CU374" s="58"/>
    </row>
    <row r="375" spans="1:99" ht="15" thickBot="1" x14ac:dyDescent="0.4">
      <c r="A375" s="14"/>
      <c r="B375" s="14"/>
      <c r="C375" s="14"/>
      <c r="D375" s="14"/>
      <c r="E375" s="14"/>
      <c r="F375" s="14"/>
      <c r="G375" s="14"/>
      <c r="H375" s="14"/>
      <c r="I375" s="14"/>
      <c r="J375" s="15"/>
      <c r="L375" s="58"/>
      <c r="M375" s="58"/>
      <c r="N375" s="58"/>
      <c r="O375" s="58"/>
      <c r="P375" s="269"/>
      <c r="Q375" s="58"/>
      <c r="R375" s="58"/>
      <c r="S375" s="58"/>
      <c r="T375" s="58"/>
      <c r="U375" s="58"/>
      <c r="V375" s="269"/>
      <c r="W375" s="58"/>
      <c r="X375" s="58"/>
      <c r="Y375" s="58"/>
      <c r="Z375" s="58"/>
      <c r="AA375" s="58"/>
      <c r="AB375" s="269"/>
      <c r="AC375" s="58"/>
      <c r="AD375" s="58"/>
      <c r="AE375" s="58"/>
      <c r="AF375" s="58"/>
      <c r="AG375" s="58"/>
      <c r="AH375" s="269"/>
      <c r="AI375" s="58"/>
      <c r="AJ375" s="58"/>
      <c r="AK375" s="58"/>
      <c r="AL375" s="58"/>
      <c r="AM375" s="58"/>
      <c r="AN375" s="59"/>
      <c r="AO375" s="58"/>
      <c r="AP375" s="58"/>
      <c r="AQ375" s="58"/>
      <c r="AR375" s="58"/>
      <c r="AS375" s="58"/>
      <c r="AT375" s="59"/>
      <c r="AU375" s="58"/>
      <c r="AV375" s="58"/>
      <c r="AW375" s="58"/>
      <c r="AX375" s="58"/>
      <c r="AY375" s="58"/>
      <c r="AZ375" s="59"/>
      <c r="BA375" s="58"/>
      <c r="BB375" s="58"/>
      <c r="BC375" s="58"/>
      <c r="BD375" s="58"/>
      <c r="BE375" s="58"/>
      <c r="BF375" s="59"/>
      <c r="BG375" s="58"/>
      <c r="BH375" s="58"/>
      <c r="BI375" s="58"/>
      <c r="BJ375" s="58"/>
      <c r="BK375" s="58"/>
      <c r="BL375" s="59"/>
      <c r="BM375" s="58"/>
      <c r="BN375" s="58"/>
      <c r="BO375" s="58"/>
      <c r="BP375" s="58"/>
      <c r="BQ375" s="58"/>
      <c r="BR375" s="58"/>
      <c r="BS375" s="58"/>
      <c r="BT375" s="58"/>
      <c r="BU375" s="58"/>
      <c r="BV375" s="58"/>
      <c r="BW375" s="58"/>
      <c r="BX375" s="58"/>
      <c r="BY375" s="58"/>
      <c r="BZ375" s="58"/>
      <c r="CA375" s="58"/>
      <c r="CB375" s="58"/>
      <c r="CC375" s="58"/>
      <c r="CD375" s="58"/>
      <c r="CE375" s="58"/>
      <c r="CF375" s="58"/>
      <c r="CG375" s="58"/>
      <c r="CH375" s="58"/>
      <c r="CI375" s="58"/>
      <c r="CJ375" s="58"/>
      <c r="CK375" s="58"/>
      <c r="CL375" s="58"/>
      <c r="CM375" s="58"/>
      <c r="CN375" s="58"/>
      <c r="CO375" s="58"/>
      <c r="CP375" s="58"/>
      <c r="CQ375" s="58"/>
      <c r="CR375" s="58"/>
      <c r="CS375" s="58"/>
      <c r="CT375" s="58"/>
      <c r="CU375" s="58"/>
    </row>
    <row r="376" spans="1:99" ht="15" thickBot="1" x14ac:dyDescent="0.4">
      <c r="A376" s="14"/>
      <c r="B376" s="14"/>
      <c r="C376" s="14"/>
      <c r="D376" s="14"/>
      <c r="E376" s="14"/>
      <c r="F376" s="14"/>
      <c r="G376" s="14"/>
      <c r="H376" s="14"/>
      <c r="I376" s="14"/>
      <c r="J376" s="15"/>
      <c r="L376" s="58"/>
      <c r="M376" s="58"/>
      <c r="N376" s="58"/>
      <c r="O376" s="58"/>
      <c r="P376" s="269"/>
      <c r="Q376" s="58"/>
      <c r="R376" s="58"/>
      <c r="S376" s="58"/>
      <c r="T376" s="58"/>
      <c r="U376" s="58"/>
      <c r="V376" s="269"/>
      <c r="W376" s="58"/>
      <c r="X376" s="58"/>
      <c r="Y376" s="58"/>
      <c r="Z376" s="58"/>
      <c r="AA376" s="58"/>
      <c r="AB376" s="269"/>
      <c r="AC376" s="58"/>
      <c r="AD376" s="58"/>
      <c r="AE376" s="58"/>
      <c r="AF376" s="58"/>
      <c r="AG376" s="58"/>
      <c r="AH376" s="269"/>
      <c r="AI376" s="58"/>
      <c r="AJ376" s="58"/>
      <c r="AK376" s="58"/>
      <c r="AL376" s="58"/>
      <c r="AM376" s="58"/>
      <c r="AN376" s="59"/>
      <c r="AO376" s="58"/>
      <c r="AP376" s="58"/>
      <c r="AQ376" s="58"/>
      <c r="AR376" s="58"/>
      <c r="AS376" s="58"/>
      <c r="AT376" s="59"/>
      <c r="AU376" s="58"/>
      <c r="AV376" s="58"/>
      <c r="AW376" s="58"/>
      <c r="AX376" s="58"/>
      <c r="AY376" s="58"/>
      <c r="AZ376" s="59"/>
      <c r="BA376" s="58"/>
      <c r="BB376" s="58"/>
      <c r="BC376" s="58"/>
      <c r="BD376" s="58"/>
      <c r="BE376" s="58"/>
      <c r="BF376" s="59"/>
      <c r="BG376" s="58"/>
      <c r="BH376" s="58"/>
      <c r="BI376" s="58"/>
      <c r="BJ376" s="58"/>
      <c r="BK376" s="58"/>
      <c r="BL376" s="59"/>
      <c r="BM376" s="58"/>
      <c r="BN376" s="58"/>
      <c r="BO376" s="58"/>
      <c r="BP376" s="58"/>
      <c r="BQ376" s="58"/>
      <c r="BR376" s="58"/>
      <c r="BS376" s="58"/>
      <c r="BT376" s="58"/>
      <c r="BU376" s="58"/>
      <c r="BV376" s="58"/>
      <c r="BW376" s="58"/>
      <c r="BX376" s="58"/>
      <c r="BY376" s="58"/>
      <c r="BZ376" s="58"/>
      <c r="CA376" s="58"/>
      <c r="CB376" s="58"/>
      <c r="CC376" s="58"/>
      <c r="CD376" s="58"/>
      <c r="CE376" s="58"/>
      <c r="CF376" s="58"/>
      <c r="CG376" s="58"/>
      <c r="CH376" s="58"/>
      <c r="CI376" s="58"/>
      <c r="CJ376" s="58"/>
      <c r="CK376" s="58"/>
      <c r="CL376" s="58"/>
      <c r="CM376" s="58"/>
      <c r="CN376" s="58"/>
      <c r="CO376" s="58"/>
      <c r="CP376" s="58"/>
      <c r="CQ376" s="58"/>
      <c r="CR376" s="58"/>
      <c r="CS376" s="58"/>
      <c r="CT376" s="58"/>
      <c r="CU376" s="58"/>
    </row>
    <row r="377" spans="1:99" ht="15" thickBot="1" x14ac:dyDescent="0.4">
      <c r="A377" s="14"/>
      <c r="B377" s="14"/>
      <c r="C377" s="14"/>
      <c r="D377" s="14"/>
      <c r="E377" s="14"/>
      <c r="F377" s="14"/>
      <c r="G377" s="14"/>
      <c r="H377" s="14"/>
      <c r="I377" s="14"/>
      <c r="J377" s="15"/>
      <c r="L377" s="58"/>
      <c r="M377" s="58"/>
      <c r="N377" s="58"/>
      <c r="O377" s="58"/>
      <c r="P377" s="269"/>
      <c r="Q377" s="58"/>
      <c r="R377" s="58"/>
      <c r="S377" s="58"/>
      <c r="T377" s="58"/>
      <c r="U377" s="58"/>
      <c r="V377" s="269"/>
      <c r="W377" s="58"/>
      <c r="X377" s="58"/>
      <c r="Y377" s="58"/>
      <c r="Z377" s="58"/>
      <c r="AA377" s="58"/>
      <c r="AB377" s="269"/>
      <c r="AC377" s="58"/>
      <c r="AD377" s="58"/>
      <c r="AE377" s="58"/>
      <c r="AF377" s="58"/>
      <c r="AG377" s="58"/>
      <c r="AH377" s="269"/>
      <c r="AI377" s="58"/>
      <c r="AJ377" s="58"/>
      <c r="AK377" s="58"/>
      <c r="AL377" s="58"/>
      <c r="AM377" s="58"/>
      <c r="AN377" s="59"/>
      <c r="AO377" s="58"/>
      <c r="AP377" s="58"/>
      <c r="AQ377" s="58"/>
      <c r="AR377" s="58"/>
      <c r="AS377" s="58"/>
      <c r="AT377" s="59"/>
      <c r="AU377" s="58"/>
      <c r="AV377" s="58"/>
      <c r="AW377" s="58"/>
      <c r="AX377" s="58"/>
      <c r="AY377" s="58"/>
      <c r="AZ377" s="59"/>
      <c r="BA377" s="58"/>
      <c r="BB377" s="58"/>
      <c r="BC377" s="58"/>
      <c r="BD377" s="58"/>
      <c r="BE377" s="58"/>
      <c r="BF377" s="59"/>
      <c r="BG377" s="58"/>
      <c r="BH377" s="58"/>
      <c r="BI377" s="58"/>
      <c r="BJ377" s="58"/>
      <c r="BK377" s="58"/>
      <c r="BL377" s="59"/>
      <c r="BM377" s="58"/>
      <c r="BN377" s="58"/>
      <c r="BO377" s="58"/>
      <c r="BP377" s="58"/>
      <c r="BQ377" s="58"/>
      <c r="BR377" s="58"/>
      <c r="BS377" s="58"/>
      <c r="BT377" s="58"/>
      <c r="BU377" s="58"/>
      <c r="BV377" s="58"/>
      <c r="BW377" s="58"/>
      <c r="BX377" s="58"/>
      <c r="BY377" s="58"/>
      <c r="BZ377" s="58"/>
      <c r="CA377" s="58"/>
      <c r="CB377" s="58"/>
      <c r="CC377" s="58"/>
      <c r="CD377" s="58"/>
      <c r="CE377" s="58"/>
      <c r="CF377" s="58"/>
      <c r="CG377" s="58"/>
      <c r="CH377" s="58"/>
      <c r="CI377" s="58"/>
      <c r="CJ377" s="58"/>
      <c r="CK377" s="58"/>
      <c r="CL377" s="58"/>
      <c r="CM377" s="58"/>
      <c r="CN377" s="58"/>
      <c r="CO377" s="58"/>
      <c r="CP377" s="58"/>
      <c r="CQ377" s="58"/>
      <c r="CR377" s="58"/>
      <c r="CS377" s="58"/>
      <c r="CT377" s="58"/>
      <c r="CU377" s="58"/>
    </row>
    <row r="378" spans="1:99" ht="15" thickBot="1" x14ac:dyDescent="0.4">
      <c r="A378" s="14"/>
      <c r="B378" s="14"/>
      <c r="C378" s="14"/>
      <c r="D378" s="14"/>
      <c r="E378" s="14"/>
      <c r="F378" s="14"/>
      <c r="G378" s="14"/>
      <c r="H378" s="14"/>
      <c r="I378" s="14"/>
      <c r="J378" s="15"/>
      <c r="L378" s="58"/>
      <c r="M378" s="58"/>
      <c r="N378" s="58"/>
      <c r="O378" s="58"/>
      <c r="P378" s="269"/>
      <c r="Q378" s="58"/>
      <c r="R378" s="58"/>
      <c r="S378" s="58"/>
      <c r="T378" s="58"/>
      <c r="U378" s="58"/>
      <c r="V378" s="269"/>
      <c r="W378" s="58"/>
      <c r="X378" s="58"/>
      <c r="Y378" s="58"/>
      <c r="Z378" s="58"/>
      <c r="AA378" s="58"/>
      <c r="AB378" s="269"/>
      <c r="AC378" s="58"/>
      <c r="AD378" s="58"/>
      <c r="AE378" s="58"/>
      <c r="AF378" s="58"/>
      <c r="AG378" s="58"/>
      <c r="AH378" s="269"/>
      <c r="AI378" s="58"/>
      <c r="AJ378" s="58"/>
      <c r="AK378" s="58"/>
      <c r="AL378" s="58"/>
      <c r="AM378" s="58"/>
      <c r="AN378" s="59"/>
      <c r="AO378" s="58"/>
      <c r="AP378" s="58"/>
      <c r="AQ378" s="58"/>
      <c r="AR378" s="58"/>
      <c r="AS378" s="58"/>
      <c r="AT378" s="59"/>
      <c r="AU378" s="58"/>
      <c r="AV378" s="58"/>
      <c r="AW378" s="58"/>
      <c r="AX378" s="58"/>
      <c r="AY378" s="58"/>
      <c r="AZ378" s="59"/>
      <c r="BA378" s="58"/>
      <c r="BB378" s="58"/>
      <c r="BC378" s="58"/>
      <c r="BD378" s="58"/>
      <c r="BE378" s="58"/>
      <c r="BF378" s="59"/>
      <c r="BG378" s="58"/>
      <c r="BH378" s="58"/>
      <c r="BI378" s="58"/>
      <c r="BJ378" s="58"/>
      <c r="BK378" s="58"/>
      <c r="BL378" s="59"/>
      <c r="BM378" s="58"/>
      <c r="BN378" s="58"/>
      <c r="BO378" s="58"/>
      <c r="BP378" s="58"/>
      <c r="BQ378" s="58"/>
      <c r="BR378" s="58"/>
      <c r="BS378" s="58"/>
      <c r="BT378" s="58"/>
      <c r="BU378" s="58"/>
      <c r="BV378" s="58"/>
      <c r="BW378" s="58"/>
      <c r="BX378" s="58"/>
      <c r="BY378" s="58"/>
      <c r="BZ378" s="58"/>
      <c r="CA378" s="58"/>
      <c r="CB378" s="58"/>
      <c r="CC378" s="58"/>
      <c r="CD378" s="58"/>
      <c r="CE378" s="58"/>
      <c r="CF378" s="58"/>
      <c r="CG378" s="58"/>
      <c r="CH378" s="58"/>
      <c r="CI378" s="58"/>
      <c r="CJ378" s="58"/>
      <c r="CK378" s="58"/>
      <c r="CL378" s="58"/>
      <c r="CM378" s="58"/>
      <c r="CN378" s="58"/>
      <c r="CO378" s="58"/>
      <c r="CP378" s="58"/>
      <c r="CQ378" s="58"/>
      <c r="CR378" s="58"/>
      <c r="CS378" s="58"/>
      <c r="CT378" s="58"/>
      <c r="CU378" s="58"/>
    </row>
    <row r="379" spans="1:99" ht="15" thickBot="1" x14ac:dyDescent="0.4">
      <c r="A379" s="14"/>
      <c r="B379" s="14"/>
      <c r="C379" s="14"/>
      <c r="D379" s="14"/>
      <c r="E379" s="14"/>
      <c r="F379" s="14"/>
      <c r="G379" s="14"/>
      <c r="H379" s="14"/>
      <c r="I379" s="14"/>
      <c r="J379" s="15"/>
      <c r="L379" s="58"/>
      <c r="M379" s="58"/>
      <c r="N379" s="58"/>
      <c r="O379" s="58"/>
      <c r="P379" s="269"/>
      <c r="Q379" s="58"/>
      <c r="R379" s="58"/>
      <c r="S379" s="58"/>
      <c r="T379" s="58"/>
      <c r="U379" s="58"/>
      <c r="V379" s="269"/>
      <c r="W379" s="58"/>
      <c r="X379" s="58"/>
      <c r="Y379" s="58"/>
      <c r="Z379" s="58"/>
      <c r="AA379" s="58"/>
      <c r="AB379" s="269"/>
      <c r="AC379" s="58"/>
      <c r="AD379" s="58"/>
      <c r="AE379" s="58"/>
      <c r="AF379" s="58"/>
      <c r="AG379" s="58"/>
      <c r="AH379" s="269"/>
      <c r="AI379" s="58"/>
      <c r="AJ379" s="58"/>
      <c r="AK379" s="58"/>
      <c r="AL379" s="58"/>
      <c r="AM379" s="58"/>
      <c r="AN379" s="59"/>
      <c r="AO379" s="58"/>
      <c r="AP379" s="58"/>
      <c r="AQ379" s="58"/>
      <c r="AR379" s="58"/>
      <c r="AS379" s="58"/>
      <c r="AT379" s="59"/>
      <c r="AU379" s="58"/>
      <c r="AV379" s="58"/>
      <c r="AW379" s="58"/>
      <c r="AX379" s="58"/>
      <c r="AY379" s="58"/>
      <c r="AZ379" s="59"/>
      <c r="BA379" s="58"/>
      <c r="BB379" s="58"/>
      <c r="BC379" s="58"/>
      <c r="BD379" s="58"/>
      <c r="BE379" s="58"/>
      <c r="BF379" s="59"/>
      <c r="BG379" s="58"/>
      <c r="BH379" s="58"/>
      <c r="BI379" s="58"/>
      <c r="BJ379" s="58"/>
      <c r="BK379" s="58"/>
      <c r="BL379" s="59"/>
      <c r="BM379" s="58"/>
      <c r="BN379" s="58"/>
      <c r="BO379" s="58"/>
      <c r="BP379" s="58"/>
      <c r="BQ379" s="58"/>
      <c r="BR379" s="58"/>
      <c r="BS379" s="58"/>
      <c r="BT379" s="58"/>
      <c r="BU379" s="58"/>
      <c r="BV379" s="58"/>
      <c r="BW379" s="58"/>
      <c r="BX379" s="58"/>
      <c r="BY379" s="58"/>
      <c r="BZ379" s="58"/>
      <c r="CA379" s="58"/>
      <c r="CB379" s="58"/>
      <c r="CC379" s="58"/>
      <c r="CD379" s="58"/>
      <c r="CE379" s="58"/>
      <c r="CF379" s="58"/>
      <c r="CG379" s="58"/>
      <c r="CH379" s="58"/>
      <c r="CI379" s="58"/>
      <c r="CJ379" s="58"/>
      <c r="CK379" s="58"/>
      <c r="CL379" s="58"/>
      <c r="CM379" s="58"/>
      <c r="CN379" s="58"/>
      <c r="CO379" s="58"/>
      <c r="CP379" s="58"/>
      <c r="CQ379" s="58"/>
      <c r="CR379" s="58"/>
      <c r="CS379" s="58"/>
      <c r="CT379" s="58"/>
      <c r="CU379" s="58"/>
    </row>
    <row r="380" spans="1:99" ht="15" thickBot="1" x14ac:dyDescent="0.4">
      <c r="A380" s="14"/>
      <c r="B380" s="14"/>
      <c r="C380" s="14"/>
      <c r="D380" s="14"/>
      <c r="E380" s="14"/>
      <c r="F380" s="14"/>
      <c r="G380" s="14"/>
      <c r="H380" s="14"/>
      <c r="I380" s="14"/>
      <c r="J380" s="15"/>
      <c r="L380" s="58"/>
      <c r="M380" s="58"/>
      <c r="N380" s="58"/>
      <c r="O380" s="58"/>
      <c r="P380" s="269"/>
      <c r="Q380" s="58"/>
      <c r="R380" s="58"/>
      <c r="S380" s="58"/>
      <c r="T380" s="58"/>
      <c r="U380" s="58"/>
      <c r="V380" s="269"/>
      <c r="W380" s="58"/>
      <c r="X380" s="58"/>
      <c r="Y380" s="58"/>
      <c r="Z380" s="58"/>
      <c r="AA380" s="58"/>
      <c r="AB380" s="269"/>
      <c r="AC380" s="58"/>
      <c r="AD380" s="58"/>
      <c r="AE380" s="58"/>
      <c r="AF380" s="58"/>
      <c r="AG380" s="58"/>
      <c r="AH380" s="269"/>
      <c r="AI380" s="58"/>
      <c r="AJ380" s="58"/>
      <c r="AK380" s="58"/>
      <c r="AL380" s="58"/>
      <c r="AM380" s="58"/>
      <c r="AN380" s="59"/>
      <c r="AO380" s="58"/>
      <c r="AP380" s="58"/>
      <c r="AQ380" s="58"/>
      <c r="AR380" s="58"/>
      <c r="AS380" s="58"/>
      <c r="AT380" s="59"/>
      <c r="AU380" s="58"/>
      <c r="AV380" s="58"/>
      <c r="AW380" s="58"/>
      <c r="AX380" s="58"/>
      <c r="AY380" s="58"/>
      <c r="AZ380" s="59"/>
      <c r="BA380" s="58"/>
      <c r="BB380" s="58"/>
      <c r="BC380" s="58"/>
      <c r="BD380" s="58"/>
      <c r="BE380" s="58"/>
      <c r="BF380" s="59"/>
      <c r="BG380" s="58"/>
      <c r="BH380" s="58"/>
      <c r="BI380" s="58"/>
      <c r="BJ380" s="58"/>
      <c r="BK380" s="58"/>
      <c r="BL380" s="59"/>
      <c r="BM380" s="58"/>
      <c r="BN380" s="58"/>
      <c r="BO380" s="58"/>
      <c r="BP380" s="58"/>
      <c r="BQ380" s="58"/>
      <c r="BR380" s="58"/>
      <c r="BS380" s="58"/>
      <c r="BT380" s="58"/>
      <c r="BU380" s="58"/>
      <c r="BV380" s="58"/>
      <c r="BW380" s="58"/>
      <c r="BX380" s="58"/>
      <c r="BY380" s="58"/>
      <c r="BZ380" s="58"/>
      <c r="CA380" s="58"/>
      <c r="CB380" s="58"/>
      <c r="CC380" s="58"/>
      <c r="CD380" s="58"/>
      <c r="CE380" s="58"/>
      <c r="CF380" s="58"/>
      <c r="CG380" s="58"/>
      <c r="CH380" s="58"/>
      <c r="CI380" s="58"/>
      <c r="CJ380" s="58"/>
      <c r="CK380" s="58"/>
      <c r="CL380" s="58"/>
      <c r="CM380" s="58"/>
      <c r="CN380" s="58"/>
      <c r="CO380" s="58"/>
      <c r="CP380" s="58"/>
      <c r="CQ380" s="58"/>
      <c r="CR380" s="58"/>
      <c r="CS380" s="58"/>
      <c r="CT380" s="58"/>
      <c r="CU380" s="58"/>
    </row>
    <row r="381" spans="1:99" ht="15" thickBot="1" x14ac:dyDescent="0.4">
      <c r="A381" s="14"/>
      <c r="B381" s="14"/>
      <c r="C381" s="14"/>
      <c r="D381" s="14"/>
      <c r="E381" s="14"/>
      <c r="F381" s="14"/>
      <c r="G381" s="14"/>
      <c r="H381" s="14"/>
      <c r="I381" s="14"/>
      <c r="J381" s="15"/>
      <c r="L381" s="58"/>
      <c r="M381" s="58"/>
      <c r="N381" s="58"/>
      <c r="O381" s="58"/>
      <c r="P381" s="269"/>
      <c r="Q381" s="58"/>
      <c r="R381" s="58"/>
      <c r="S381" s="58"/>
      <c r="T381" s="58"/>
      <c r="U381" s="58"/>
      <c r="V381" s="269"/>
      <c r="W381" s="58"/>
      <c r="X381" s="58"/>
      <c r="Y381" s="58"/>
      <c r="Z381" s="58"/>
      <c r="AA381" s="58"/>
      <c r="AB381" s="269"/>
      <c r="AC381" s="58"/>
      <c r="AD381" s="58"/>
      <c r="AE381" s="58"/>
      <c r="AF381" s="58"/>
      <c r="AG381" s="58"/>
      <c r="AH381" s="269"/>
      <c r="AI381" s="58"/>
      <c r="AJ381" s="58"/>
      <c r="AK381" s="58"/>
      <c r="AL381" s="58"/>
      <c r="AM381" s="58"/>
      <c r="AN381" s="59"/>
      <c r="AO381" s="58"/>
      <c r="AP381" s="58"/>
      <c r="AQ381" s="58"/>
      <c r="AR381" s="58"/>
      <c r="AS381" s="58"/>
      <c r="AT381" s="59"/>
      <c r="AU381" s="58"/>
      <c r="AV381" s="58"/>
      <c r="AW381" s="58"/>
      <c r="AX381" s="58"/>
      <c r="AY381" s="58"/>
      <c r="AZ381" s="59"/>
      <c r="BA381" s="58"/>
      <c r="BB381" s="58"/>
      <c r="BC381" s="58"/>
      <c r="BD381" s="58"/>
      <c r="BE381" s="58"/>
      <c r="BF381" s="59"/>
      <c r="BG381" s="58"/>
      <c r="BH381" s="58"/>
      <c r="BI381" s="58"/>
      <c r="BJ381" s="58"/>
      <c r="BK381" s="58"/>
      <c r="BL381" s="59"/>
      <c r="BM381" s="58"/>
      <c r="BN381" s="58"/>
      <c r="BO381" s="58"/>
      <c r="BP381" s="58"/>
      <c r="BQ381" s="58"/>
      <c r="BR381" s="58"/>
      <c r="BS381" s="58"/>
      <c r="BT381" s="58"/>
      <c r="BU381" s="58"/>
      <c r="BV381" s="58"/>
      <c r="BW381" s="58"/>
      <c r="BX381" s="58"/>
      <c r="BY381" s="58"/>
      <c r="BZ381" s="58"/>
      <c r="CA381" s="58"/>
      <c r="CB381" s="58"/>
      <c r="CC381" s="58"/>
      <c r="CD381" s="58"/>
      <c r="CE381" s="58"/>
      <c r="CF381" s="58"/>
      <c r="CG381" s="58"/>
      <c r="CH381" s="58"/>
      <c r="CI381" s="58"/>
      <c r="CJ381" s="58"/>
      <c r="CK381" s="58"/>
      <c r="CL381" s="58"/>
      <c r="CM381" s="58"/>
      <c r="CN381" s="58"/>
      <c r="CO381" s="58"/>
      <c r="CP381" s="58"/>
      <c r="CQ381" s="58"/>
      <c r="CR381" s="58"/>
      <c r="CS381" s="58"/>
      <c r="CT381" s="58"/>
      <c r="CU381" s="58"/>
    </row>
    <row r="382" spans="1:99" ht="15" thickBot="1" x14ac:dyDescent="0.4">
      <c r="A382" s="14"/>
      <c r="B382" s="14"/>
      <c r="C382" s="14"/>
      <c r="D382" s="14"/>
      <c r="E382" s="14"/>
      <c r="F382" s="14"/>
      <c r="G382" s="14"/>
      <c r="H382" s="14"/>
      <c r="I382" s="14"/>
      <c r="J382" s="15"/>
      <c r="L382" s="58"/>
      <c r="M382" s="58"/>
      <c r="N382" s="58"/>
      <c r="O382" s="58"/>
      <c r="P382" s="269"/>
      <c r="Q382" s="58"/>
      <c r="R382" s="58"/>
      <c r="S382" s="58"/>
      <c r="T382" s="58"/>
      <c r="U382" s="58"/>
      <c r="V382" s="269"/>
      <c r="W382" s="58"/>
      <c r="X382" s="58"/>
      <c r="Y382" s="58"/>
      <c r="Z382" s="58"/>
      <c r="AA382" s="58"/>
      <c r="AB382" s="269"/>
      <c r="AC382" s="58"/>
      <c r="AD382" s="58"/>
      <c r="AE382" s="58"/>
      <c r="AF382" s="58"/>
      <c r="AG382" s="58"/>
      <c r="AH382" s="269"/>
      <c r="AI382" s="58"/>
      <c r="AJ382" s="58"/>
      <c r="AK382" s="58"/>
      <c r="AL382" s="58"/>
      <c r="AM382" s="58"/>
      <c r="AN382" s="59"/>
      <c r="AO382" s="58"/>
      <c r="AP382" s="58"/>
      <c r="AQ382" s="58"/>
      <c r="AR382" s="58"/>
      <c r="AS382" s="58"/>
      <c r="AT382" s="59"/>
      <c r="AU382" s="58"/>
      <c r="AV382" s="58"/>
      <c r="AW382" s="58"/>
      <c r="AX382" s="58"/>
      <c r="AY382" s="58"/>
      <c r="AZ382" s="59"/>
      <c r="BA382" s="58"/>
      <c r="BB382" s="58"/>
      <c r="BC382" s="58"/>
      <c r="BD382" s="58"/>
      <c r="BE382" s="58"/>
      <c r="BF382" s="59"/>
      <c r="BG382" s="58"/>
      <c r="BH382" s="58"/>
      <c r="BI382" s="58"/>
      <c r="BJ382" s="58"/>
      <c r="BK382" s="58"/>
      <c r="BL382" s="59"/>
      <c r="BM382" s="58"/>
      <c r="BN382" s="58"/>
      <c r="BO382" s="58"/>
      <c r="BP382" s="58"/>
      <c r="BQ382" s="58"/>
      <c r="BR382" s="58"/>
      <c r="BS382" s="58"/>
      <c r="BT382" s="58"/>
      <c r="BU382" s="58"/>
      <c r="BV382" s="58"/>
      <c r="BW382" s="58"/>
      <c r="BX382" s="58"/>
      <c r="BY382" s="58"/>
      <c r="BZ382" s="58"/>
      <c r="CA382" s="58"/>
      <c r="CB382" s="58"/>
      <c r="CC382" s="58"/>
      <c r="CD382" s="58"/>
      <c r="CE382" s="58"/>
      <c r="CF382" s="58"/>
      <c r="CG382" s="58"/>
      <c r="CH382" s="58"/>
      <c r="CI382" s="58"/>
      <c r="CJ382" s="58"/>
      <c r="CK382" s="58"/>
      <c r="CL382" s="58"/>
      <c r="CM382" s="58"/>
      <c r="CN382" s="58"/>
      <c r="CO382" s="58"/>
      <c r="CP382" s="58"/>
      <c r="CQ382" s="58"/>
      <c r="CR382" s="58"/>
      <c r="CS382" s="58"/>
      <c r="CT382" s="58"/>
      <c r="CU382" s="58"/>
    </row>
    <row r="383" spans="1:99" ht="15" thickBot="1" x14ac:dyDescent="0.4">
      <c r="A383" s="14"/>
      <c r="B383" s="14"/>
      <c r="C383" s="14"/>
      <c r="D383" s="14"/>
      <c r="E383" s="14"/>
      <c r="F383" s="14"/>
      <c r="G383" s="14"/>
      <c r="H383" s="14"/>
      <c r="I383" s="14"/>
      <c r="J383" s="15"/>
      <c r="L383" s="58"/>
      <c r="M383" s="58"/>
      <c r="N383" s="58"/>
      <c r="O383" s="58"/>
      <c r="P383" s="269"/>
      <c r="Q383" s="58"/>
      <c r="R383" s="58"/>
      <c r="S383" s="58"/>
      <c r="T383" s="58"/>
      <c r="U383" s="58"/>
      <c r="V383" s="269"/>
      <c r="W383" s="58"/>
      <c r="X383" s="58"/>
      <c r="Y383" s="58"/>
      <c r="Z383" s="58"/>
      <c r="AA383" s="58"/>
      <c r="AB383" s="269"/>
      <c r="AC383" s="58"/>
      <c r="AD383" s="58"/>
      <c r="AE383" s="58"/>
      <c r="AF383" s="58"/>
      <c r="AG383" s="58"/>
      <c r="AH383" s="269"/>
      <c r="AI383" s="58"/>
      <c r="AJ383" s="58"/>
      <c r="AK383" s="58"/>
      <c r="AL383" s="58"/>
      <c r="AM383" s="58"/>
      <c r="AN383" s="59"/>
      <c r="AO383" s="58"/>
      <c r="AP383" s="58"/>
      <c r="AQ383" s="58"/>
      <c r="AR383" s="58"/>
      <c r="AS383" s="58"/>
      <c r="AT383" s="59"/>
      <c r="AU383" s="58"/>
      <c r="AV383" s="58"/>
      <c r="AW383" s="58"/>
      <c r="AX383" s="58"/>
      <c r="AY383" s="58"/>
      <c r="AZ383" s="59"/>
      <c r="BA383" s="58"/>
      <c r="BB383" s="58"/>
      <c r="BC383" s="58"/>
      <c r="BD383" s="58"/>
      <c r="BE383" s="58"/>
      <c r="BF383" s="59"/>
      <c r="BG383" s="58"/>
      <c r="BH383" s="58"/>
      <c r="BI383" s="58"/>
      <c r="BJ383" s="58"/>
      <c r="BK383" s="58"/>
      <c r="BL383" s="59"/>
      <c r="BM383" s="58"/>
      <c r="BN383" s="58"/>
      <c r="BO383" s="58"/>
      <c r="BP383" s="58"/>
      <c r="BQ383" s="58"/>
      <c r="BR383" s="58"/>
      <c r="BS383" s="58"/>
      <c r="BT383" s="58"/>
      <c r="BU383" s="58"/>
      <c r="BV383" s="58"/>
      <c r="BW383" s="58"/>
      <c r="BX383" s="58"/>
      <c r="BY383" s="58"/>
      <c r="BZ383" s="58"/>
      <c r="CA383" s="58"/>
      <c r="CB383" s="58"/>
      <c r="CC383" s="58"/>
      <c r="CD383" s="58"/>
      <c r="CE383" s="58"/>
      <c r="CF383" s="58"/>
      <c r="CG383" s="58"/>
      <c r="CH383" s="58"/>
      <c r="CI383" s="58"/>
      <c r="CJ383" s="58"/>
      <c r="CK383" s="58"/>
      <c r="CL383" s="58"/>
      <c r="CM383" s="58"/>
      <c r="CN383" s="58"/>
      <c r="CO383" s="58"/>
      <c r="CP383" s="58"/>
      <c r="CQ383" s="58"/>
      <c r="CR383" s="58"/>
      <c r="CS383" s="58"/>
      <c r="CT383" s="58"/>
      <c r="CU383" s="58"/>
    </row>
    <row r="384" spans="1:99" ht="15" thickBot="1" x14ac:dyDescent="0.4">
      <c r="A384" s="14"/>
      <c r="B384" s="14"/>
      <c r="C384" s="14"/>
      <c r="D384" s="14"/>
      <c r="E384" s="14"/>
      <c r="F384" s="14"/>
      <c r="G384" s="14"/>
      <c r="H384" s="14"/>
      <c r="I384" s="14"/>
      <c r="J384" s="15"/>
      <c r="L384" s="58"/>
      <c r="M384" s="58"/>
      <c r="N384" s="58"/>
      <c r="O384" s="58"/>
      <c r="P384" s="269"/>
      <c r="Q384" s="58"/>
      <c r="R384" s="58"/>
      <c r="S384" s="58"/>
      <c r="T384" s="58"/>
      <c r="U384" s="58"/>
      <c r="V384" s="269"/>
      <c r="W384" s="58"/>
      <c r="X384" s="58"/>
      <c r="Y384" s="58"/>
      <c r="Z384" s="58"/>
      <c r="AA384" s="58"/>
      <c r="AB384" s="269"/>
      <c r="AC384" s="58"/>
      <c r="AD384" s="58"/>
      <c r="AE384" s="58"/>
      <c r="AF384" s="58"/>
      <c r="AG384" s="58"/>
      <c r="AH384" s="269"/>
      <c r="AI384" s="58"/>
      <c r="AJ384" s="58"/>
      <c r="AK384" s="58"/>
      <c r="AL384" s="58"/>
      <c r="AM384" s="58"/>
      <c r="AN384" s="59"/>
      <c r="AO384" s="58"/>
      <c r="AP384" s="58"/>
      <c r="AQ384" s="58"/>
      <c r="AR384" s="58"/>
      <c r="AS384" s="58"/>
      <c r="AT384" s="59"/>
      <c r="AU384" s="58"/>
      <c r="AV384" s="58"/>
      <c r="AW384" s="58"/>
      <c r="AX384" s="58"/>
      <c r="AY384" s="58"/>
      <c r="AZ384" s="59"/>
      <c r="BA384" s="58"/>
      <c r="BB384" s="58"/>
      <c r="BC384" s="58"/>
      <c r="BD384" s="58"/>
      <c r="BE384" s="58"/>
      <c r="BF384" s="59"/>
      <c r="BG384" s="58"/>
      <c r="BH384" s="58"/>
      <c r="BI384" s="58"/>
      <c r="BJ384" s="58"/>
      <c r="BK384" s="58"/>
      <c r="BL384" s="59"/>
      <c r="BM384" s="58"/>
      <c r="BN384" s="58"/>
      <c r="BO384" s="58"/>
      <c r="BP384" s="58"/>
      <c r="BQ384" s="58"/>
      <c r="BR384" s="58"/>
      <c r="BS384" s="58"/>
      <c r="BT384" s="58"/>
      <c r="BU384" s="58"/>
      <c r="BV384" s="58"/>
      <c r="BW384" s="58"/>
      <c r="BX384" s="58"/>
      <c r="BY384" s="58"/>
      <c r="BZ384" s="58"/>
      <c r="CA384" s="58"/>
      <c r="CB384" s="58"/>
      <c r="CC384" s="58"/>
      <c r="CD384" s="58"/>
      <c r="CE384" s="58"/>
      <c r="CF384" s="58"/>
      <c r="CG384" s="58"/>
      <c r="CH384" s="58"/>
      <c r="CI384" s="58"/>
      <c r="CJ384" s="58"/>
      <c r="CK384" s="58"/>
      <c r="CL384" s="58"/>
      <c r="CM384" s="58"/>
      <c r="CN384" s="58"/>
      <c r="CO384" s="58"/>
      <c r="CP384" s="58"/>
      <c r="CQ384" s="58"/>
      <c r="CR384" s="58"/>
      <c r="CS384" s="58"/>
      <c r="CT384" s="58"/>
      <c r="CU384" s="58"/>
    </row>
    <row r="385" spans="1:99" ht="15" thickBot="1" x14ac:dyDescent="0.4">
      <c r="A385" s="14"/>
      <c r="B385" s="14"/>
      <c r="C385" s="14"/>
      <c r="D385" s="14"/>
      <c r="E385" s="14"/>
      <c r="F385" s="14"/>
      <c r="G385" s="14"/>
      <c r="H385" s="14"/>
      <c r="I385" s="14"/>
      <c r="J385" s="15"/>
      <c r="L385" s="58"/>
      <c r="M385" s="58"/>
      <c r="N385" s="58"/>
      <c r="O385" s="58"/>
      <c r="P385" s="269"/>
      <c r="Q385" s="58"/>
      <c r="R385" s="58"/>
      <c r="S385" s="58"/>
      <c r="T385" s="58"/>
      <c r="U385" s="58"/>
      <c r="V385" s="269"/>
      <c r="W385" s="58"/>
      <c r="X385" s="58"/>
      <c r="Y385" s="58"/>
      <c r="Z385" s="58"/>
      <c r="AA385" s="58"/>
      <c r="AB385" s="269"/>
      <c r="AC385" s="58"/>
      <c r="AD385" s="58"/>
      <c r="AE385" s="58"/>
      <c r="AF385" s="58"/>
      <c r="AG385" s="58"/>
      <c r="AH385" s="269"/>
      <c r="AI385" s="58"/>
      <c r="AJ385" s="58"/>
      <c r="AK385" s="58"/>
      <c r="AL385" s="58"/>
      <c r="AM385" s="58"/>
      <c r="AN385" s="59"/>
      <c r="AO385" s="58"/>
      <c r="AP385" s="58"/>
      <c r="AQ385" s="58"/>
      <c r="AR385" s="58"/>
      <c r="AS385" s="58"/>
      <c r="AT385" s="59"/>
      <c r="AU385" s="58"/>
      <c r="AV385" s="58"/>
      <c r="AW385" s="58"/>
      <c r="AX385" s="58"/>
      <c r="AY385" s="58"/>
      <c r="AZ385" s="59"/>
      <c r="BA385" s="58"/>
      <c r="BB385" s="58"/>
      <c r="BC385" s="58"/>
      <c r="BD385" s="58"/>
      <c r="BE385" s="58"/>
      <c r="BF385" s="59"/>
      <c r="BG385" s="58"/>
      <c r="BH385" s="58"/>
      <c r="BI385" s="58"/>
      <c r="BJ385" s="58"/>
      <c r="BK385" s="58"/>
      <c r="BL385" s="59"/>
      <c r="BM385" s="58"/>
      <c r="BN385" s="58"/>
      <c r="BO385" s="58"/>
      <c r="BP385" s="58"/>
      <c r="BQ385" s="58"/>
      <c r="BR385" s="58"/>
      <c r="BS385" s="58"/>
      <c r="BT385" s="58"/>
      <c r="BU385" s="58"/>
      <c r="BV385" s="58"/>
      <c r="BW385" s="58"/>
      <c r="BX385" s="58"/>
      <c r="BY385" s="58"/>
      <c r="BZ385" s="58"/>
      <c r="CA385" s="58"/>
      <c r="CB385" s="58"/>
      <c r="CC385" s="58"/>
      <c r="CD385" s="58"/>
      <c r="CE385" s="58"/>
      <c r="CF385" s="58"/>
      <c r="CG385" s="58"/>
      <c r="CH385" s="58"/>
      <c r="CI385" s="58"/>
      <c r="CJ385" s="58"/>
      <c r="CK385" s="58"/>
      <c r="CL385" s="58"/>
      <c r="CM385" s="58"/>
      <c r="CN385" s="58"/>
      <c r="CO385" s="58"/>
      <c r="CP385" s="58"/>
      <c r="CQ385" s="58"/>
      <c r="CR385" s="58"/>
      <c r="CS385" s="58"/>
      <c r="CT385" s="58"/>
      <c r="CU385" s="58"/>
    </row>
    <row r="386" spans="1:99" ht="15" thickBot="1" x14ac:dyDescent="0.4">
      <c r="A386" s="14"/>
      <c r="B386" s="14"/>
      <c r="C386" s="14"/>
      <c r="D386" s="14"/>
      <c r="E386" s="14"/>
      <c r="F386" s="14"/>
      <c r="G386" s="14"/>
      <c r="H386" s="14"/>
      <c r="I386" s="14"/>
      <c r="J386" s="15"/>
      <c r="L386" s="58"/>
      <c r="M386" s="58"/>
      <c r="N386" s="58"/>
      <c r="O386" s="58"/>
      <c r="P386" s="269"/>
      <c r="Q386" s="58"/>
      <c r="R386" s="58"/>
      <c r="S386" s="58"/>
      <c r="T386" s="58"/>
      <c r="U386" s="58"/>
      <c r="V386" s="269"/>
      <c r="W386" s="58"/>
      <c r="X386" s="58"/>
      <c r="Y386" s="58"/>
      <c r="Z386" s="58"/>
      <c r="AA386" s="58"/>
      <c r="AB386" s="269"/>
      <c r="AC386" s="58"/>
      <c r="AD386" s="58"/>
      <c r="AE386" s="58"/>
      <c r="AF386" s="58"/>
      <c r="AG386" s="58"/>
      <c r="AH386" s="269"/>
      <c r="AI386" s="58"/>
      <c r="AJ386" s="58"/>
      <c r="AK386" s="58"/>
      <c r="AL386" s="58"/>
      <c r="AM386" s="58"/>
      <c r="AN386" s="59"/>
      <c r="AO386" s="58"/>
      <c r="AP386" s="58"/>
      <c r="AQ386" s="58"/>
      <c r="AR386" s="58"/>
      <c r="AS386" s="58"/>
      <c r="AT386" s="59"/>
      <c r="AU386" s="58"/>
      <c r="AV386" s="58"/>
      <c r="AW386" s="58"/>
      <c r="AX386" s="58"/>
      <c r="AY386" s="58"/>
      <c r="AZ386" s="59"/>
      <c r="BA386" s="58"/>
      <c r="BB386" s="58"/>
      <c r="BC386" s="58"/>
      <c r="BD386" s="58"/>
      <c r="BE386" s="58"/>
      <c r="BF386" s="59"/>
      <c r="BG386" s="58"/>
      <c r="BH386" s="58"/>
      <c r="BI386" s="58"/>
      <c r="BJ386" s="58"/>
      <c r="BK386" s="58"/>
      <c r="BL386" s="59"/>
      <c r="BM386" s="58"/>
      <c r="BN386" s="58"/>
      <c r="BO386" s="58"/>
      <c r="BP386" s="58"/>
      <c r="BQ386" s="58"/>
      <c r="BR386" s="58"/>
      <c r="BS386" s="58"/>
      <c r="BT386" s="58"/>
      <c r="BU386" s="58"/>
      <c r="BV386" s="58"/>
      <c r="BW386" s="58"/>
      <c r="BX386" s="58"/>
      <c r="BY386" s="58"/>
      <c r="BZ386" s="58"/>
      <c r="CA386" s="58"/>
      <c r="CB386" s="58"/>
      <c r="CC386" s="58"/>
      <c r="CD386" s="58"/>
      <c r="CE386" s="58"/>
      <c r="CF386" s="58"/>
      <c r="CG386" s="58"/>
      <c r="CH386" s="58"/>
      <c r="CI386" s="58"/>
      <c r="CJ386" s="58"/>
      <c r="CK386" s="58"/>
      <c r="CL386" s="58"/>
      <c r="CM386" s="58"/>
      <c r="CN386" s="58"/>
      <c r="CO386" s="58"/>
      <c r="CP386" s="58"/>
      <c r="CQ386" s="58"/>
      <c r="CR386" s="58"/>
      <c r="CS386" s="58"/>
      <c r="CT386" s="58"/>
      <c r="CU386" s="58"/>
    </row>
    <row r="387" spans="1:99" ht="15" thickBot="1" x14ac:dyDescent="0.4">
      <c r="A387" s="14"/>
      <c r="B387" s="14"/>
      <c r="C387" s="14"/>
      <c r="D387" s="14"/>
      <c r="E387" s="14"/>
      <c r="F387" s="14"/>
      <c r="G387" s="14"/>
      <c r="H387" s="14"/>
      <c r="I387" s="14"/>
      <c r="J387" s="15"/>
      <c r="L387" s="58"/>
      <c r="M387" s="58"/>
      <c r="N387" s="58"/>
      <c r="O387" s="58"/>
      <c r="P387" s="269"/>
      <c r="Q387" s="58"/>
      <c r="R387" s="58"/>
      <c r="S387" s="58"/>
      <c r="T387" s="58"/>
      <c r="U387" s="58"/>
      <c r="V387" s="269"/>
      <c r="W387" s="58"/>
      <c r="X387" s="58"/>
      <c r="Y387" s="58"/>
      <c r="Z387" s="58"/>
      <c r="AA387" s="58"/>
      <c r="AB387" s="269"/>
      <c r="AC387" s="58"/>
      <c r="AD387" s="58"/>
      <c r="AE387" s="58"/>
      <c r="AF387" s="58"/>
      <c r="AG387" s="58"/>
      <c r="AH387" s="269"/>
      <c r="AI387" s="58"/>
      <c r="AJ387" s="58"/>
      <c r="AK387" s="58"/>
      <c r="AL387" s="58"/>
      <c r="AM387" s="58"/>
      <c r="AN387" s="59"/>
      <c r="AO387" s="58"/>
      <c r="AP387" s="58"/>
      <c r="AQ387" s="58"/>
      <c r="AR387" s="58"/>
      <c r="AS387" s="58"/>
      <c r="AT387" s="59"/>
      <c r="AU387" s="58"/>
      <c r="AV387" s="58"/>
      <c r="AW387" s="58"/>
      <c r="AX387" s="58"/>
      <c r="AY387" s="58"/>
      <c r="AZ387" s="59"/>
      <c r="BA387" s="58"/>
      <c r="BB387" s="58"/>
      <c r="BC387" s="58"/>
      <c r="BD387" s="58"/>
      <c r="BE387" s="58"/>
      <c r="BF387" s="59"/>
      <c r="BG387" s="58"/>
      <c r="BH387" s="58"/>
      <c r="BI387" s="58"/>
      <c r="BJ387" s="58"/>
      <c r="BK387" s="58"/>
      <c r="BL387" s="59"/>
      <c r="BM387" s="58"/>
      <c r="BN387" s="58"/>
      <c r="BO387" s="58"/>
      <c r="BP387" s="58"/>
      <c r="BQ387" s="58"/>
      <c r="BR387" s="58"/>
      <c r="BS387" s="58"/>
      <c r="BT387" s="58"/>
      <c r="BU387" s="58"/>
      <c r="BV387" s="58"/>
      <c r="BW387" s="58"/>
      <c r="BX387" s="58"/>
      <c r="BY387" s="58"/>
      <c r="BZ387" s="58"/>
      <c r="CA387" s="58"/>
      <c r="CB387" s="58"/>
      <c r="CC387" s="58"/>
      <c r="CD387" s="58"/>
      <c r="CE387" s="58"/>
      <c r="CF387" s="58"/>
      <c r="CG387" s="58"/>
      <c r="CH387" s="58"/>
      <c r="CI387" s="58"/>
      <c r="CJ387" s="58"/>
      <c r="CK387" s="58"/>
      <c r="CL387" s="58"/>
      <c r="CM387" s="58"/>
      <c r="CN387" s="58"/>
      <c r="CO387" s="58"/>
      <c r="CP387" s="58"/>
      <c r="CQ387" s="58"/>
      <c r="CR387" s="58"/>
      <c r="CS387" s="58"/>
      <c r="CT387" s="58"/>
      <c r="CU387" s="58"/>
    </row>
    <row r="388" spans="1:99" ht="15" thickBot="1" x14ac:dyDescent="0.4">
      <c r="A388" s="14"/>
      <c r="B388" s="14"/>
      <c r="C388" s="14"/>
      <c r="D388" s="14"/>
      <c r="E388" s="14"/>
      <c r="F388" s="14"/>
      <c r="G388" s="14"/>
      <c r="H388" s="14"/>
      <c r="I388" s="14"/>
      <c r="J388" s="15"/>
      <c r="L388" s="58"/>
      <c r="M388" s="58"/>
      <c r="N388" s="58"/>
      <c r="O388" s="58"/>
      <c r="P388" s="269"/>
      <c r="Q388" s="58"/>
      <c r="R388" s="58"/>
      <c r="S388" s="58"/>
      <c r="T388" s="58"/>
      <c r="U388" s="58"/>
      <c r="V388" s="269"/>
      <c r="W388" s="58"/>
      <c r="X388" s="58"/>
      <c r="Y388" s="58"/>
      <c r="Z388" s="58"/>
      <c r="AA388" s="58"/>
      <c r="AB388" s="269"/>
      <c r="AC388" s="58"/>
      <c r="AD388" s="58"/>
      <c r="AE388" s="58"/>
      <c r="AF388" s="58"/>
      <c r="AG388" s="58"/>
      <c r="AH388" s="269"/>
      <c r="AI388" s="58"/>
      <c r="AJ388" s="58"/>
      <c r="AK388" s="58"/>
      <c r="AL388" s="58"/>
      <c r="AM388" s="58"/>
      <c r="AN388" s="59"/>
      <c r="AO388" s="58"/>
      <c r="AP388" s="58"/>
      <c r="AQ388" s="58"/>
      <c r="AR388" s="58"/>
      <c r="AS388" s="58"/>
      <c r="AT388" s="59"/>
      <c r="AU388" s="58"/>
      <c r="AV388" s="58"/>
      <c r="AW388" s="58"/>
      <c r="AX388" s="58"/>
      <c r="AY388" s="58"/>
      <c r="AZ388" s="59"/>
      <c r="BA388" s="58"/>
      <c r="BB388" s="58"/>
      <c r="BC388" s="58"/>
      <c r="BD388" s="58"/>
      <c r="BE388" s="58"/>
      <c r="BF388" s="59"/>
      <c r="BG388" s="58"/>
      <c r="BH388" s="58"/>
      <c r="BI388" s="58"/>
      <c r="BJ388" s="58"/>
      <c r="BK388" s="58"/>
      <c r="BL388" s="59"/>
      <c r="BM388" s="58"/>
      <c r="BN388" s="58"/>
      <c r="BO388" s="58"/>
      <c r="BP388" s="58"/>
      <c r="BQ388" s="58"/>
      <c r="BR388" s="58"/>
      <c r="BS388" s="58"/>
      <c r="BT388" s="58"/>
      <c r="BU388" s="58"/>
      <c r="BV388" s="58"/>
      <c r="BW388" s="58"/>
      <c r="BX388" s="58"/>
      <c r="BY388" s="58"/>
      <c r="BZ388" s="58"/>
      <c r="CA388" s="58"/>
      <c r="CB388" s="58"/>
      <c r="CC388" s="58"/>
      <c r="CD388" s="58"/>
      <c r="CE388" s="58"/>
      <c r="CF388" s="58"/>
      <c r="CG388" s="58"/>
      <c r="CH388" s="58"/>
      <c r="CI388" s="58"/>
      <c r="CJ388" s="58"/>
      <c r="CK388" s="58"/>
      <c r="CL388" s="58"/>
      <c r="CM388" s="58"/>
      <c r="CN388" s="58"/>
      <c r="CO388" s="58"/>
      <c r="CP388" s="58"/>
      <c r="CQ388" s="58"/>
      <c r="CR388" s="58"/>
      <c r="CS388" s="58"/>
      <c r="CT388" s="58"/>
      <c r="CU388" s="58"/>
    </row>
    <row r="389" spans="1:99" ht="15" thickBot="1" x14ac:dyDescent="0.4">
      <c r="A389" s="14"/>
      <c r="B389" s="14"/>
      <c r="C389" s="14"/>
      <c r="D389" s="14"/>
      <c r="E389" s="14"/>
      <c r="F389" s="14"/>
      <c r="G389" s="14"/>
      <c r="H389" s="14"/>
      <c r="I389" s="14"/>
      <c r="J389" s="15"/>
      <c r="L389" s="58"/>
      <c r="M389" s="58"/>
      <c r="N389" s="58"/>
      <c r="O389" s="58"/>
      <c r="P389" s="269"/>
      <c r="Q389" s="58"/>
      <c r="R389" s="58"/>
      <c r="S389" s="58"/>
      <c r="T389" s="58"/>
      <c r="U389" s="58"/>
      <c r="V389" s="269"/>
      <c r="W389" s="58"/>
      <c r="X389" s="58"/>
      <c r="Y389" s="58"/>
      <c r="Z389" s="58"/>
      <c r="AA389" s="58"/>
      <c r="AB389" s="269"/>
      <c r="AC389" s="58"/>
      <c r="AD389" s="58"/>
      <c r="AE389" s="58"/>
      <c r="AF389" s="58"/>
      <c r="AG389" s="58"/>
      <c r="AH389" s="269"/>
      <c r="AI389" s="58"/>
      <c r="AJ389" s="58"/>
      <c r="AK389" s="58"/>
      <c r="AL389" s="58"/>
      <c r="AM389" s="58"/>
      <c r="AN389" s="59"/>
      <c r="AO389" s="58"/>
      <c r="AP389" s="58"/>
      <c r="AQ389" s="58"/>
      <c r="AR389" s="58"/>
      <c r="AS389" s="58"/>
      <c r="AT389" s="59"/>
      <c r="AU389" s="58"/>
      <c r="AV389" s="58"/>
      <c r="AW389" s="58"/>
      <c r="AX389" s="58"/>
      <c r="AY389" s="58"/>
      <c r="AZ389" s="59"/>
      <c r="BA389" s="58"/>
      <c r="BB389" s="58"/>
      <c r="BC389" s="58"/>
      <c r="BD389" s="58"/>
      <c r="BE389" s="58"/>
      <c r="BF389" s="59"/>
      <c r="BG389" s="58"/>
      <c r="BH389" s="58"/>
      <c r="BI389" s="58"/>
      <c r="BJ389" s="58"/>
      <c r="BK389" s="58"/>
      <c r="BL389" s="59"/>
      <c r="BM389" s="58"/>
      <c r="BN389" s="58"/>
      <c r="BO389" s="58"/>
      <c r="BP389" s="58"/>
      <c r="BQ389" s="58"/>
      <c r="BR389" s="58"/>
      <c r="BS389" s="58"/>
      <c r="BT389" s="58"/>
      <c r="BU389" s="58"/>
      <c r="BV389" s="58"/>
      <c r="BW389" s="58"/>
      <c r="BX389" s="58"/>
      <c r="BY389" s="58"/>
      <c r="BZ389" s="58"/>
      <c r="CA389" s="58"/>
      <c r="CB389" s="58"/>
      <c r="CC389" s="58"/>
      <c r="CD389" s="58"/>
      <c r="CE389" s="58"/>
      <c r="CF389" s="58"/>
      <c r="CG389" s="58"/>
      <c r="CH389" s="58"/>
      <c r="CI389" s="58"/>
      <c r="CJ389" s="58"/>
      <c r="CK389" s="58"/>
      <c r="CL389" s="58"/>
      <c r="CM389" s="58"/>
      <c r="CN389" s="58"/>
      <c r="CO389" s="58"/>
      <c r="CP389" s="58"/>
      <c r="CQ389" s="58"/>
      <c r="CR389" s="58"/>
      <c r="CS389" s="58"/>
      <c r="CT389" s="58"/>
      <c r="CU389" s="58"/>
    </row>
    <row r="390" spans="1:99" ht="15" thickBot="1" x14ac:dyDescent="0.4">
      <c r="A390" s="14"/>
      <c r="B390" s="14"/>
      <c r="C390" s="14"/>
      <c r="D390" s="14"/>
      <c r="E390" s="14"/>
      <c r="F390" s="14"/>
      <c r="G390" s="14"/>
      <c r="H390" s="14"/>
      <c r="I390" s="14"/>
      <c r="J390" s="15"/>
      <c r="L390" s="58"/>
      <c r="M390" s="58"/>
      <c r="N390" s="58"/>
      <c r="O390" s="58"/>
      <c r="P390" s="269"/>
      <c r="Q390" s="58"/>
      <c r="R390" s="58"/>
      <c r="S390" s="58"/>
      <c r="T390" s="58"/>
      <c r="U390" s="58"/>
      <c r="V390" s="269"/>
      <c r="W390" s="58"/>
      <c r="X390" s="58"/>
      <c r="Y390" s="58"/>
      <c r="Z390" s="58"/>
      <c r="AA390" s="58"/>
      <c r="AB390" s="269"/>
      <c r="AC390" s="58"/>
      <c r="AD390" s="58"/>
      <c r="AE390" s="58"/>
      <c r="AF390" s="58"/>
      <c r="AG390" s="58"/>
      <c r="AH390" s="269"/>
      <c r="AI390" s="58"/>
      <c r="AJ390" s="58"/>
      <c r="AK390" s="58"/>
      <c r="AL390" s="58"/>
      <c r="AM390" s="58"/>
      <c r="AN390" s="59"/>
      <c r="AO390" s="58"/>
      <c r="AP390" s="58"/>
      <c r="AQ390" s="58"/>
      <c r="AR390" s="58"/>
      <c r="AS390" s="58"/>
      <c r="AT390" s="59"/>
      <c r="AU390" s="58"/>
      <c r="AV390" s="58"/>
      <c r="AW390" s="58"/>
      <c r="AX390" s="58"/>
      <c r="AY390" s="58"/>
      <c r="AZ390" s="59"/>
      <c r="BA390" s="58"/>
      <c r="BB390" s="58"/>
      <c r="BC390" s="58"/>
      <c r="BD390" s="58"/>
      <c r="BE390" s="58"/>
      <c r="BF390" s="59"/>
      <c r="BG390" s="58"/>
      <c r="BH390" s="58"/>
      <c r="BI390" s="58"/>
      <c r="BJ390" s="58"/>
      <c r="BK390" s="58"/>
      <c r="BL390" s="59"/>
      <c r="BM390" s="58"/>
      <c r="BN390" s="58"/>
      <c r="BO390" s="58"/>
      <c r="BP390" s="58"/>
      <c r="BQ390" s="58"/>
      <c r="BR390" s="58"/>
      <c r="BS390" s="58"/>
      <c r="BT390" s="58"/>
      <c r="BU390" s="58"/>
      <c r="BV390" s="58"/>
      <c r="BW390" s="58"/>
      <c r="BX390" s="58"/>
      <c r="BY390" s="58"/>
      <c r="BZ390" s="58"/>
      <c r="CA390" s="58"/>
      <c r="CB390" s="58"/>
      <c r="CC390" s="58"/>
      <c r="CD390" s="58"/>
      <c r="CE390" s="58"/>
      <c r="CF390" s="58"/>
      <c r="CG390" s="58"/>
      <c r="CH390" s="58"/>
      <c r="CI390" s="58"/>
      <c r="CJ390" s="58"/>
      <c r="CK390" s="58"/>
      <c r="CL390" s="58"/>
      <c r="CM390" s="58"/>
      <c r="CN390" s="58"/>
      <c r="CO390" s="58"/>
      <c r="CP390" s="58"/>
      <c r="CQ390" s="58"/>
      <c r="CR390" s="58"/>
      <c r="CS390" s="58"/>
      <c r="CT390" s="58"/>
      <c r="CU390" s="58"/>
    </row>
    <row r="391" spans="1:99" ht="15" thickBot="1" x14ac:dyDescent="0.4">
      <c r="A391" s="14"/>
      <c r="B391" s="14"/>
      <c r="C391" s="14"/>
      <c r="D391" s="14"/>
      <c r="E391" s="14"/>
      <c r="F391" s="14"/>
      <c r="G391" s="14"/>
      <c r="H391" s="14"/>
      <c r="I391" s="14"/>
      <c r="J391" s="15"/>
      <c r="L391" s="58"/>
      <c r="M391" s="58"/>
      <c r="N391" s="58"/>
      <c r="O391" s="58"/>
      <c r="P391" s="269"/>
      <c r="Q391" s="58"/>
      <c r="R391" s="58"/>
      <c r="S391" s="58"/>
      <c r="T391" s="58"/>
      <c r="U391" s="58"/>
      <c r="V391" s="269"/>
      <c r="W391" s="58"/>
      <c r="X391" s="58"/>
      <c r="Y391" s="58"/>
      <c r="Z391" s="58"/>
      <c r="AA391" s="58"/>
      <c r="AB391" s="269"/>
      <c r="AC391" s="58"/>
      <c r="AD391" s="58"/>
      <c r="AE391" s="58"/>
      <c r="AF391" s="58"/>
      <c r="AG391" s="58"/>
      <c r="AH391" s="269"/>
      <c r="AI391" s="58"/>
      <c r="AJ391" s="58"/>
      <c r="AK391" s="58"/>
      <c r="AL391" s="58"/>
      <c r="AM391" s="58"/>
      <c r="AN391" s="59"/>
      <c r="AO391" s="58"/>
      <c r="AP391" s="58"/>
      <c r="AQ391" s="58"/>
      <c r="AR391" s="58"/>
      <c r="AS391" s="58"/>
      <c r="AT391" s="59"/>
      <c r="AU391" s="58"/>
      <c r="AV391" s="58"/>
      <c r="AW391" s="58"/>
      <c r="AX391" s="58"/>
      <c r="AY391" s="58"/>
      <c r="AZ391" s="59"/>
      <c r="BA391" s="58"/>
      <c r="BB391" s="58"/>
      <c r="BC391" s="58"/>
      <c r="BD391" s="58"/>
      <c r="BE391" s="58"/>
      <c r="BF391" s="59"/>
      <c r="BG391" s="58"/>
      <c r="BH391" s="58"/>
      <c r="BI391" s="58"/>
      <c r="BJ391" s="58"/>
      <c r="BK391" s="58"/>
      <c r="BL391" s="59"/>
      <c r="BM391" s="58"/>
      <c r="BN391" s="58"/>
      <c r="BO391" s="58"/>
      <c r="BP391" s="58"/>
      <c r="BQ391" s="58"/>
      <c r="BR391" s="58"/>
      <c r="BS391" s="58"/>
      <c r="BT391" s="58"/>
      <c r="BU391" s="58"/>
      <c r="BV391" s="58"/>
      <c r="BW391" s="58"/>
      <c r="BX391" s="58"/>
      <c r="BY391" s="58"/>
      <c r="BZ391" s="58"/>
      <c r="CA391" s="58"/>
      <c r="CB391" s="58"/>
      <c r="CC391" s="58"/>
      <c r="CD391" s="58"/>
      <c r="CE391" s="58"/>
      <c r="CF391" s="58"/>
      <c r="CG391" s="58"/>
      <c r="CH391" s="58"/>
      <c r="CI391" s="58"/>
      <c r="CJ391" s="58"/>
      <c r="CK391" s="58"/>
      <c r="CL391" s="58"/>
      <c r="CM391" s="58"/>
      <c r="CN391" s="58"/>
      <c r="CO391" s="58"/>
      <c r="CP391" s="58"/>
      <c r="CQ391" s="58"/>
      <c r="CR391" s="58"/>
      <c r="CS391" s="58"/>
      <c r="CT391" s="58"/>
      <c r="CU391" s="58"/>
    </row>
    <row r="392" spans="1:99" ht="15" thickBot="1" x14ac:dyDescent="0.4">
      <c r="A392" s="14"/>
      <c r="B392" s="14"/>
      <c r="C392" s="14"/>
      <c r="D392" s="14"/>
      <c r="E392" s="14"/>
      <c r="F392" s="14"/>
      <c r="G392" s="14"/>
      <c r="H392" s="14"/>
      <c r="I392" s="14"/>
      <c r="J392" s="15"/>
      <c r="L392" s="58"/>
      <c r="M392" s="58"/>
      <c r="N392" s="58"/>
      <c r="O392" s="58"/>
      <c r="P392" s="269"/>
      <c r="Q392" s="58"/>
      <c r="R392" s="58"/>
      <c r="S392" s="58"/>
      <c r="T392" s="58"/>
      <c r="U392" s="58"/>
      <c r="V392" s="269"/>
      <c r="W392" s="58"/>
      <c r="X392" s="58"/>
      <c r="Y392" s="58"/>
      <c r="Z392" s="58"/>
      <c r="AA392" s="58"/>
      <c r="AB392" s="269"/>
      <c r="AC392" s="58"/>
      <c r="AD392" s="58"/>
      <c r="AE392" s="58"/>
      <c r="AF392" s="58"/>
      <c r="AG392" s="58"/>
      <c r="AH392" s="269"/>
      <c r="AI392" s="58"/>
      <c r="AJ392" s="58"/>
      <c r="AK392" s="58"/>
      <c r="AL392" s="58"/>
      <c r="AM392" s="58"/>
      <c r="AN392" s="59"/>
      <c r="AO392" s="58"/>
      <c r="AP392" s="58"/>
      <c r="AQ392" s="58"/>
      <c r="AR392" s="58"/>
      <c r="AS392" s="58"/>
      <c r="AT392" s="59"/>
      <c r="AU392" s="58"/>
      <c r="AV392" s="58"/>
      <c r="AW392" s="58"/>
      <c r="AX392" s="58"/>
      <c r="AY392" s="58"/>
      <c r="AZ392" s="59"/>
      <c r="BA392" s="58"/>
      <c r="BB392" s="58"/>
      <c r="BC392" s="58"/>
      <c r="BD392" s="58"/>
      <c r="BE392" s="58"/>
      <c r="BF392" s="59"/>
      <c r="BG392" s="58"/>
      <c r="BH392" s="58"/>
      <c r="BI392" s="58"/>
      <c r="BJ392" s="58"/>
      <c r="BK392" s="58"/>
      <c r="BL392" s="59"/>
      <c r="BM392" s="58"/>
      <c r="BN392" s="58"/>
      <c r="BO392" s="58"/>
      <c r="BP392" s="58"/>
      <c r="BQ392" s="58"/>
      <c r="BR392" s="58"/>
      <c r="BS392" s="58"/>
      <c r="BT392" s="58"/>
      <c r="BU392" s="58"/>
      <c r="BV392" s="58"/>
      <c r="BW392" s="58"/>
      <c r="BX392" s="58"/>
      <c r="BY392" s="58"/>
      <c r="BZ392" s="58"/>
      <c r="CA392" s="58"/>
      <c r="CB392" s="58"/>
      <c r="CC392" s="58"/>
      <c r="CD392" s="58"/>
      <c r="CE392" s="58"/>
      <c r="CF392" s="58"/>
      <c r="CG392" s="58"/>
      <c r="CH392" s="58"/>
      <c r="CI392" s="58"/>
      <c r="CJ392" s="58"/>
      <c r="CK392" s="58"/>
      <c r="CL392" s="58"/>
      <c r="CM392" s="58"/>
      <c r="CN392" s="58"/>
      <c r="CO392" s="58"/>
      <c r="CP392" s="58"/>
      <c r="CQ392" s="58"/>
      <c r="CR392" s="58"/>
      <c r="CS392" s="58"/>
      <c r="CT392" s="58"/>
      <c r="CU392" s="58"/>
    </row>
    <row r="393" spans="1:99" ht="15" thickBot="1" x14ac:dyDescent="0.4">
      <c r="A393" s="14"/>
      <c r="B393" s="14"/>
      <c r="C393" s="14"/>
      <c r="D393" s="14"/>
      <c r="E393" s="14"/>
      <c r="F393" s="14"/>
      <c r="G393" s="14"/>
      <c r="H393" s="14"/>
      <c r="I393" s="14"/>
      <c r="J393" s="15"/>
      <c r="L393" s="58"/>
      <c r="M393" s="58"/>
      <c r="N393" s="58"/>
      <c r="O393" s="58"/>
      <c r="P393" s="269"/>
      <c r="Q393" s="58"/>
      <c r="R393" s="58"/>
      <c r="S393" s="58"/>
      <c r="T393" s="58"/>
      <c r="U393" s="58"/>
      <c r="V393" s="269"/>
      <c r="W393" s="58"/>
      <c r="X393" s="58"/>
      <c r="Y393" s="58"/>
      <c r="Z393" s="58"/>
      <c r="AA393" s="58"/>
      <c r="AB393" s="269"/>
      <c r="AC393" s="58"/>
      <c r="AD393" s="58"/>
      <c r="AE393" s="58"/>
      <c r="AF393" s="58"/>
      <c r="AG393" s="58"/>
      <c r="AH393" s="269"/>
      <c r="AI393" s="58"/>
      <c r="AJ393" s="58"/>
      <c r="AK393" s="58"/>
      <c r="AL393" s="58"/>
      <c r="AM393" s="58"/>
      <c r="AN393" s="59"/>
      <c r="AO393" s="58"/>
      <c r="AP393" s="58"/>
      <c r="AQ393" s="58"/>
      <c r="AR393" s="58"/>
      <c r="AS393" s="58"/>
      <c r="AT393" s="59"/>
      <c r="AU393" s="58"/>
      <c r="AV393" s="58"/>
      <c r="AW393" s="58"/>
      <c r="AX393" s="58"/>
      <c r="AY393" s="58"/>
      <c r="AZ393" s="59"/>
      <c r="BA393" s="58"/>
      <c r="BB393" s="58"/>
      <c r="BC393" s="58"/>
      <c r="BD393" s="58"/>
      <c r="BE393" s="58"/>
      <c r="BF393" s="59"/>
      <c r="BG393" s="58"/>
      <c r="BH393" s="58"/>
      <c r="BI393" s="58"/>
      <c r="BJ393" s="58"/>
      <c r="BK393" s="58"/>
      <c r="BL393" s="59"/>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c r="CP393" s="58"/>
      <c r="CQ393" s="58"/>
      <c r="CR393" s="58"/>
      <c r="CS393" s="58"/>
      <c r="CT393" s="58"/>
      <c r="CU393" s="58"/>
    </row>
    <row r="394" spans="1:99" ht="15" thickBot="1" x14ac:dyDescent="0.4">
      <c r="A394" s="14"/>
      <c r="B394" s="14"/>
      <c r="C394" s="14"/>
      <c r="D394" s="14"/>
      <c r="E394" s="14"/>
      <c r="F394" s="14"/>
      <c r="G394" s="14"/>
      <c r="H394" s="14"/>
      <c r="I394" s="14"/>
      <c r="J394" s="15"/>
      <c r="L394" s="58"/>
      <c r="M394" s="58"/>
      <c r="N394" s="58"/>
      <c r="O394" s="58"/>
      <c r="P394" s="269"/>
      <c r="Q394" s="58"/>
      <c r="R394" s="58"/>
      <c r="S394" s="58"/>
      <c r="T394" s="58"/>
      <c r="U394" s="58"/>
      <c r="V394" s="269"/>
      <c r="W394" s="58"/>
      <c r="X394" s="58"/>
      <c r="Y394" s="58"/>
      <c r="Z394" s="58"/>
      <c r="AA394" s="58"/>
      <c r="AB394" s="269"/>
      <c r="AC394" s="58"/>
      <c r="AD394" s="58"/>
      <c r="AE394" s="58"/>
      <c r="AF394" s="58"/>
      <c r="AG394" s="58"/>
      <c r="AH394" s="269"/>
      <c r="AI394" s="58"/>
      <c r="AJ394" s="58"/>
      <c r="AK394" s="58"/>
      <c r="AL394" s="58"/>
      <c r="AM394" s="58"/>
      <c r="AN394" s="59"/>
      <c r="AO394" s="58"/>
      <c r="AP394" s="58"/>
      <c r="AQ394" s="58"/>
      <c r="AR394" s="58"/>
      <c r="AS394" s="58"/>
      <c r="AT394" s="59"/>
      <c r="AU394" s="58"/>
      <c r="AV394" s="58"/>
      <c r="AW394" s="58"/>
      <c r="AX394" s="58"/>
      <c r="AY394" s="58"/>
      <c r="AZ394" s="59"/>
      <c r="BA394" s="58"/>
      <c r="BB394" s="58"/>
      <c r="BC394" s="58"/>
      <c r="BD394" s="58"/>
      <c r="BE394" s="58"/>
      <c r="BF394" s="59"/>
      <c r="BG394" s="58"/>
      <c r="BH394" s="58"/>
      <c r="BI394" s="58"/>
      <c r="BJ394" s="58"/>
      <c r="BK394" s="58"/>
      <c r="BL394" s="59"/>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c r="CP394" s="58"/>
      <c r="CQ394" s="58"/>
      <c r="CR394" s="58"/>
      <c r="CS394" s="58"/>
      <c r="CT394" s="58"/>
      <c r="CU394" s="58"/>
    </row>
    <row r="395" spans="1:99" ht="15" thickBot="1" x14ac:dyDescent="0.4">
      <c r="A395" s="14"/>
      <c r="B395" s="14"/>
      <c r="C395" s="14"/>
      <c r="D395" s="14"/>
      <c r="E395" s="14"/>
      <c r="F395" s="14"/>
      <c r="G395" s="14"/>
      <c r="H395" s="14"/>
      <c r="I395" s="14"/>
      <c r="J395" s="15"/>
      <c r="L395" s="58"/>
      <c r="M395" s="58"/>
      <c r="N395" s="58"/>
      <c r="O395" s="58"/>
      <c r="P395" s="269"/>
      <c r="Q395" s="58"/>
      <c r="R395" s="58"/>
      <c r="S395" s="58"/>
      <c r="T395" s="58"/>
      <c r="U395" s="58"/>
      <c r="V395" s="269"/>
      <c r="W395" s="58"/>
      <c r="X395" s="58"/>
      <c r="Y395" s="58"/>
      <c r="Z395" s="58"/>
      <c r="AA395" s="58"/>
      <c r="AB395" s="269"/>
      <c r="AC395" s="58"/>
      <c r="AD395" s="58"/>
      <c r="AE395" s="58"/>
      <c r="AF395" s="58"/>
      <c r="AG395" s="58"/>
      <c r="AH395" s="269"/>
      <c r="AI395" s="58"/>
      <c r="AJ395" s="58"/>
      <c r="AK395" s="58"/>
      <c r="AL395" s="58"/>
      <c r="AM395" s="58"/>
      <c r="AN395" s="59"/>
      <c r="AO395" s="58"/>
      <c r="AP395" s="58"/>
      <c r="AQ395" s="58"/>
      <c r="AR395" s="58"/>
      <c r="AS395" s="58"/>
      <c r="AT395" s="59"/>
      <c r="AU395" s="58"/>
      <c r="AV395" s="58"/>
      <c r="AW395" s="58"/>
      <c r="AX395" s="58"/>
      <c r="AY395" s="58"/>
      <c r="AZ395" s="59"/>
      <c r="BA395" s="58"/>
      <c r="BB395" s="58"/>
      <c r="BC395" s="58"/>
      <c r="BD395" s="58"/>
      <c r="BE395" s="58"/>
      <c r="BF395" s="59"/>
      <c r="BG395" s="58"/>
      <c r="BH395" s="58"/>
      <c r="BI395" s="58"/>
      <c r="BJ395" s="58"/>
      <c r="BK395" s="58"/>
      <c r="BL395" s="59"/>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c r="CP395" s="58"/>
      <c r="CQ395" s="58"/>
      <c r="CR395" s="58"/>
      <c r="CS395" s="58"/>
      <c r="CT395" s="58"/>
      <c r="CU395" s="58"/>
    </row>
    <row r="396" spans="1:99" ht="15" thickBot="1" x14ac:dyDescent="0.4">
      <c r="A396" s="14"/>
      <c r="B396" s="14"/>
      <c r="C396" s="14"/>
      <c r="D396" s="14"/>
      <c r="E396" s="14"/>
      <c r="F396" s="14"/>
      <c r="G396" s="14"/>
      <c r="H396" s="14"/>
      <c r="I396" s="14"/>
      <c r="J396" s="15"/>
      <c r="L396" s="58"/>
      <c r="M396" s="58"/>
      <c r="N396" s="58"/>
      <c r="O396" s="58"/>
      <c r="P396" s="269"/>
      <c r="Q396" s="58"/>
      <c r="R396" s="58"/>
      <c r="S396" s="58"/>
      <c r="T396" s="58"/>
      <c r="U396" s="58"/>
      <c r="V396" s="269"/>
      <c r="W396" s="58"/>
      <c r="X396" s="58"/>
      <c r="Y396" s="58"/>
      <c r="Z396" s="58"/>
      <c r="AA396" s="58"/>
      <c r="AB396" s="269"/>
      <c r="AC396" s="58"/>
      <c r="AD396" s="58"/>
      <c r="AE396" s="58"/>
      <c r="AF396" s="58"/>
      <c r="AG396" s="58"/>
      <c r="AH396" s="269"/>
      <c r="AI396" s="58"/>
      <c r="AJ396" s="58"/>
      <c r="AK396" s="58"/>
      <c r="AL396" s="58"/>
      <c r="AM396" s="58"/>
      <c r="AN396" s="59"/>
      <c r="AO396" s="58"/>
      <c r="AP396" s="58"/>
      <c r="AQ396" s="58"/>
      <c r="AR396" s="58"/>
      <c r="AS396" s="58"/>
      <c r="AT396" s="59"/>
      <c r="AU396" s="58"/>
      <c r="AV396" s="58"/>
      <c r="AW396" s="58"/>
      <c r="AX396" s="58"/>
      <c r="AY396" s="58"/>
      <c r="AZ396" s="59"/>
      <c r="BA396" s="58"/>
      <c r="BB396" s="58"/>
      <c r="BC396" s="58"/>
      <c r="BD396" s="58"/>
      <c r="BE396" s="58"/>
      <c r="BF396" s="59"/>
      <c r="BG396" s="58"/>
      <c r="BH396" s="58"/>
      <c r="BI396" s="58"/>
      <c r="BJ396" s="58"/>
      <c r="BK396" s="58"/>
      <c r="BL396" s="59"/>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c r="CP396" s="58"/>
      <c r="CQ396" s="58"/>
      <c r="CR396" s="58"/>
      <c r="CS396" s="58"/>
      <c r="CT396" s="58"/>
      <c r="CU396" s="58"/>
    </row>
    <row r="397" spans="1:99" ht="15" thickBot="1" x14ac:dyDescent="0.4">
      <c r="A397" s="14"/>
      <c r="B397" s="14"/>
      <c r="C397" s="14"/>
      <c r="D397" s="14"/>
      <c r="E397" s="14"/>
      <c r="F397" s="14"/>
      <c r="G397" s="14"/>
      <c r="H397" s="14"/>
      <c r="I397" s="14"/>
      <c r="J397" s="15"/>
      <c r="L397" s="58"/>
      <c r="M397" s="58"/>
      <c r="N397" s="58"/>
      <c r="O397" s="58"/>
      <c r="P397" s="269"/>
      <c r="Q397" s="58"/>
      <c r="R397" s="58"/>
      <c r="S397" s="58"/>
      <c r="T397" s="58"/>
      <c r="U397" s="58"/>
      <c r="V397" s="269"/>
      <c r="W397" s="58"/>
      <c r="X397" s="58"/>
      <c r="Y397" s="58"/>
      <c r="Z397" s="58"/>
      <c r="AA397" s="58"/>
      <c r="AB397" s="269"/>
      <c r="AC397" s="58"/>
      <c r="AD397" s="58"/>
      <c r="AE397" s="58"/>
      <c r="AF397" s="58"/>
      <c r="AG397" s="58"/>
      <c r="AH397" s="269"/>
      <c r="AI397" s="58"/>
      <c r="AJ397" s="58"/>
      <c r="AK397" s="58"/>
      <c r="AL397" s="58"/>
      <c r="AM397" s="58"/>
      <c r="AN397" s="59"/>
      <c r="AO397" s="58"/>
      <c r="AP397" s="58"/>
      <c r="AQ397" s="58"/>
      <c r="AR397" s="58"/>
      <c r="AS397" s="58"/>
      <c r="AT397" s="59"/>
      <c r="AU397" s="58"/>
      <c r="AV397" s="58"/>
      <c r="AW397" s="58"/>
      <c r="AX397" s="58"/>
      <c r="AY397" s="58"/>
      <c r="AZ397" s="59"/>
      <c r="BA397" s="58"/>
      <c r="BB397" s="58"/>
      <c r="BC397" s="58"/>
      <c r="BD397" s="58"/>
      <c r="BE397" s="58"/>
      <c r="BF397" s="59"/>
      <c r="BG397" s="58"/>
      <c r="BH397" s="58"/>
      <c r="BI397" s="58"/>
      <c r="BJ397" s="58"/>
      <c r="BK397" s="58"/>
      <c r="BL397" s="59"/>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c r="CP397" s="58"/>
      <c r="CQ397" s="58"/>
      <c r="CR397" s="58"/>
      <c r="CS397" s="58"/>
      <c r="CT397" s="58"/>
      <c r="CU397" s="58"/>
    </row>
    <row r="398" spans="1:99" ht="15" thickBot="1" x14ac:dyDescent="0.4">
      <c r="A398" s="14"/>
      <c r="B398" s="14"/>
      <c r="C398" s="14"/>
      <c r="D398" s="14"/>
      <c r="E398" s="14"/>
      <c r="F398" s="14"/>
      <c r="G398" s="14"/>
      <c r="H398" s="14"/>
      <c r="I398" s="14"/>
      <c r="J398" s="15"/>
      <c r="L398" s="58"/>
      <c r="M398" s="58"/>
      <c r="N398" s="58"/>
      <c r="O398" s="58"/>
      <c r="P398" s="269"/>
      <c r="Q398" s="58"/>
      <c r="R398" s="58"/>
      <c r="S398" s="58"/>
      <c r="T398" s="58"/>
      <c r="U398" s="58"/>
      <c r="V398" s="269"/>
      <c r="W398" s="58"/>
      <c r="X398" s="58"/>
      <c r="Y398" s="58"/>
      <c r="Z398" s="58"/>
      <c r="AA398" s="58"/>
      <c r="AB398" s="269"/>
      <c r="AC398" s="58"/>
      <c r="AD398" s="58"/>
      <c r="AE398" s="58"/>
      <c r="AF398" s="58"/>
      <c r="AG398" s="58"/>
      <c r="AH398" s="269"/>
      <c r="AI398" s="58"/>
      <c r="AJ398" s="58"/>
      <c r="AK398" s="58"/>
      <c r="AL398" s="58"/>
      <c r="AM398" s="58"/>
      <c r="AN398" s="59"/>
      <c r="AO398" s="58"/>
      <c r="AP398" s="58"/>
      <c r="AQ398" s="58"/>
      <c r="AR398" s="58"/>
      <c r="AS398" s="58"/>
      <c r="AT398" s="59"/>
      <c r="AU398" s="58"/>
      <c r="AV398" s="58"/>
      <c r="AW398" s="58"/>
      <c r="AX398" s="58"/>
      <c r="AY398" s="58"/>
      <c r="AZ398" s="59"/>
      <c r="BA398" s="58"/>
      <c r="BB398" s="58"/>
      <c r="BC398" s="58"/>
      <c r="BD398" s="58"/>
      <c r="BE398" s="58"/>
      <c r="BF398" s="59"/>
      <c r="BG398" s="58"/>
      <c r="BH398" s="58"/>
      <c r="BI398" s="58"/>
      <c r="BJ398" s="58"/>
      <c r="BK398" s="58"/>
      <c r="BL398" s="59"/>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c r="CP398" s="58"/>
      <c r="CQ398" s="58"/>
      <c r="CR398" s="58"/>
      <c r="CS398" s="58"/>
      <c r="CT398" s="58"/>
      <c r="CU398" s="58"/>
    </row>
    <row r="399" spans="1:99" ht="15" thickBot="1" x14ac:dyDescent="0.4">
      <c r="A399" s="14"/>
      <c r="B399" s="14"/>
      <c r="C399" s="14"/>
      <c r="D399" s="14"/>
      <c r="E399" s="14"/>
      <c r="F399" s="14"/>
      <c r="G399" s="14"/>
      <c r="H399" s="14"/>
      <c r="I399" s="14"/>
      <c r="J399" s="15"/>
      <c r="L399" s="58"/>
      <c r="M399" s="58"/>
      <c r="N399" s="58"/>
      <c r="O399" s="58"/>
      <c r="P399" s="269"/>
      <c r="Q399" s="58"/>
      <c r="R399" s="58"/>
      <c r="S399" s="58"/>
      <c r="T399" s="58"/>
      <c r="U399" s="58"/>
      <c r="V399" s="269"/>
      <c r="W399" s="58"/>
      <c r="X399" s="58"/>
      <c r="Y399" s="58"/>
      <c r="Z399" s="58"/>
      <c r="AA399" s="58"/>
      <c r="AB399" s="269"/>
      <c r="AC399" s="58"/>
      <c r="AD399" s="58"/>
      <c r="AE399" s="58"/>
      <c r="AF399" s="58"/>
      <c r="AG399" s="58"/>
      <c r="AH399" s="269"/>
      <c r="AI399" s="58"/>
      <c r="AJ399" s="58"/>
      <c r="AK399" s="58"/>
      <c r="AL399" s="58"/>
      <c r="AM399" s="58"/>
      <c r="AN399" s="59"/>
      <c r="AO399" s="58"/>
      <c r="AP399" s="58"/>
      <c r="AQ399" s="58"/>
      <c r="AR399" s="58"/>
      <c r="AS399" s="58"/>
      <c r="AT399" s="59"/>
      <c r="AU399" s="58"/>
      <c r="AV399" s="58"/>
      <c r="AW399" s="58"/>
      <c r="AX399" s="58"/>
      <c r="AY399" s="58"/>
      <c r="AZ399" s="59"/>
      <c r="BA399" s="58"/>
      <c r="BB399" s="58"/>
      <c r="BC399" s="58"/>
      <c r="BD399" s="58"/>
      <c r="BE399" s="58"/>
      <c r="BF399" s="59"/>
      <c r="BG399" s="58"/>
      <c r="BH399" s="58"/>
      <c r="BI399" s="58"/>
      <c r="BJ399" s="58"/>
      <c r="BK399" s="58"/>
      <c r="BL399" s="59"/>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c r="CP399" s="58"/>
      <c r="CQ399" s="58"/>
      <c r="CR399" s="58"/>
      <c r="CS399" s="58"/>
      <c r="CT399" s="58"/>
      <c r="CU399" s="58"/>
    </row>
    <row r="400" spans="1:99" ht="15" thickBot="1" x14ac:dyDescent="0.4">
      <c r="A400" s="14"/>
      <c r="B400" s="14"/>
      <c r="C400" s="14"/>
      <c r="D400" s="14"/>
      <c r="E400" s="14"/>
      <c r="F400" s="14"/>
      <c r="G400" s="14"/>
      <c r="H400" s="14"/>
      <c r="I400" s="14"/>
      <c r="J400" s="15"/>
      <c r="L400" s="58"/>
      <c r="M400" s="58"/>
      <c r="N400" s="58"/>
      <c r="O400" s="58"/>
      <c r="P400" s="269"/>
      <c r="Q400" s="58"/>
      <c r="R400" s="58"/>
      <c r="S400" s="58"/>
      <c r="T400" s="58"/>
      <c r="U400" s="58"/>
      <c r="V400" s="269"/>
      <c r="W400" s="58"/>
      <c r="X400" s="58"/>
      <c r="Y400" s="58"/>
      <c r="Z400" s="58"/>
      <c r="AA400" s="58"/>
      <c r="AB400" s="269"/>
      <c r="AC400" s="58"/>
      <c r="AD400" s="58"/>
      <c r="AE400" s="58"/>
      <c r="AF400" s="58"/>
      <c r="AG400" s="58"/>
      <c r="AH400" s="269"/>
      <c r="AI400" s="58"/>
      <c r="AJ400" s="58"/>
      <c r="AK400" s="58"/>
      <c r="AL400" s="58"/>
      <c r="AM400" s="58"/>
      <c r="AN400" s="59"/>
      <c r="AO400" s="58"/>
      <c r="AP400" s="58"/>
      <c r="AQ400" s="58"/>
      <c r="AR400" s="58"/>
      <c r="AS400" s="58"/>
      <c r="AT400" s="59"/>
      <c r="AU400" s="58"/>
      <c r="AV400" s="58"/>
      <c r="AW400" s="58"/>
      <c r="AX400" s="58"/>
      <c r="AY400" s="58"/>
      <c r="AZ400" s="59"/>
      <c r="BA400" s="58"/>
      <c r="BB400" s="58"/>
      <c r="BC400" s="58"/>
      <c r="BD400" s="58"/>
      <c r="BE400" s="58"/>
      <c r="BF400" s="59"/>
      <c r="BG400" s="58"/>
      <c r="BH400" s="58"/>
      <c r="BI400" s="58"/>
      <c r="BJ400" s="58"/>
      <c r="BK400" s="58"/>
      <c r="BL400" s="59"/>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c r="CP400" s="58"/>
      <c r="CQ400" s="58"/>
      <c r="CR400" s="58"/>
      <c r="CS400" s="58"/>
      <c r="CT400" s="58"/>
      <c r="CU400" s="58"/>
    </row>
    <row r="401" spans="1:99" ht="15" thickBot="1" x14ac:dyDescent="0.4">
      <c r="A401" s="14"/>
      <c r="B401" s="14"/>
      <c r="C401" s="14"/>
      <c r="D401" s="14"/>
      <c r="E401" s="14"/>
      <c r="F401" s="14"/>
      <c r="G401" s="14"/>
      <c r="H401" s="14"/>
      <c r="I401" s="14"/>
      <c r="J401" s="15"/>
      <c r="L401" s="58"/>
      <c r="M401" s="58"/>
      <c r="N401" s="58"/>
      <c r="O401" s="58"/>
      <c r="P401" s="269"/>
      <c r="Q401" s="58"/>
      <c r="R401" s="58"/>
      <c r="S401" s="58"/>
      <c r="T401" s="58"/>
      <c r="U401" s="58"/>
      <c r="V401" s="269"/>
      <c r="W401" s="58"/>
      <c r="X401" s="58"/>
      <c r="Y401" s="58"/>
      <c r="Z401" s="58"/>
      <c r="AA401" s="58"/>
      <c r="AB401" s="269"/>
      <c r="AC401" s="58"/>
      <c r="AD401" s="58"/>
      <c r="AE401" s="58"/>
      <c r="AF401" s="58"/>
      <c r="AG401" s="58"/>
      <c r="AH401" s="269"/>
      <c r="AI401" s="58"/>
      <c r="AJ401" s="58"/>
      <c r="AK401" s="58"/>
      <c r="AL401" s="58"/>
      <c r="AM401" s="58"/>
      <c r="AN401" s="59"/>
      <c r="AO401" s="58"/>
      <c r="AP401" s="58"/>
      <c r="AQ401" s="58"/>
      <c r="AR401" s="58"/>
      <c r="AS401" s="58"/>
      <c r="AT401" s="59"/>
      <c r="AU401" s="58"/>
      <c r="AV401" s="58"/>
      <c r="AW401" s="58"/>
      <c r="AX401" s="58"/>
      <c r="AY401" s="58"/>
      <c r="AZ401" s="59"/>
      <c r="BA401" s="58"/>
      <c r="BB401" s="58"/>
      <c r="BC401" s="58"/>
      <c r="BD401" s="58"/>
      <c r="BE401" s="58"/>
      <c r="BF401" s="59"/>
      <c r="BG401" s="58"/>
      <c r="BH401" s="58"/>
      <c r="BI401" s="58"/>
      <c r="BJ401" s="58"/>
      <c r="BK401" s="58"/>
      <c r="BL401" s="59"/>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c r="CP401" s="58"/>
      <c r="CQ401" s="58"/>
      <c r="CR401" s="58"/>
      <c r="CS401" s="58"/>
      <c r="CT401" s="58"/>
      <c r="CU401" s="58"/>
    </row>
    <row r="402" spans="1:99" ht="15" thickBot="1" x14ac:dyDescent="0.4">
      <c r="A402" s="14"/>
      <c r="B402" s="14"/>
      <c r="C402" s="14"/>
      <c r="D402" s="14"/>
      <c r="E402" s="14"/>
      <c r="F402" s="14"/>
      <c r="G402" s="14"/>
      <c r="H402" s="14"/>
      <c r="I402" s="14"/>
      <c r="J402" s="15"/>
      <c r="L402" s="58"/>
      <c r="M402" s="58"/>
      <c r="N402" s="58"/>
      <c r="O402" s="58"/>
      <c r="P402" s="269"/>
      <c r="Q402" s="58"/>
      <c r="R402" s="58"/>
      <c r="S402" s="58"/>
      <c r="T402" s="58"/>
      <c r="U402" s="58"/>
      <c r="V402" s="269"/>
      <c r="W402" s="58"/>
      <c r="X402" s="58"/>
      <c r="Y402" s="58"/>
      <c r="Z402" s="58"/>
      <c r="AA402" s="58"/>
      <c r="AB402" s="269"/>
      <c r="AC402" s="58"/>
      <c r="AD402" s="58"/>
      <c r="AE402" s="58"/>
      <c r="AF402" s="58"/>
      <c r="AG402" s="58"/>
      <c r="AH402" s="269"/>
      <c r="AI402" s="58"/>
      <c r="AJ402" s="58"/>
      <c r="AK402" s="58"/>
      <c r="AL402" s="58"/>
      <c r="AM402" s="58"/>
      <c r="AN402" s="59"/>
      <c r="AO402" s="58"/>
      <c r="AP402" s="58"/>
      <c r="AQ402" s="58"/>
      <c r="AR402" s="58"/>
      <c r="AS402" s="58"/>
      <c r="AT402" s="59"/>
      <c r="AU402" s="58"/>
      <c r="AV402" s="58"/>
      <c r="AW402" s="58"/>
      <c r="AX402" s="58"/>
      <c r="AY402" s="58"/>
      <c r="AZ402" s="59"/>
      <c r="BA402" s="58"/>
      <c r="BB402" s="58"/>
      <c r="BC402" s="58"/>
      <c r="BD402" s="58"/>
      <c r="BE402" s="58"/>
      <c r="BF402" s="59"/>
      <c r="BG402" s="58"/>
      <c r="BH402" s="58"/>
      <c r="BI402" s="58"/>
      <c r="BJ402" s="58"/>
      <c r="BK402" s="58"/>
      <c r="BL402" s="59"/>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c r="CP402" s="58"/>
      <c r="CQ402" s="58"/>
      <c r="CR402" s="58"/>
      <c r="CS402" s="58"/>
      <c r="CT402" s="58"/>
      <c r="CU402" s="58"/>
    </row>
    <row r="403" spans="1:99" ht="15" thickBot="1" x14ac:dyDescent="0.4">
      <c r="A403" s="14"/>
      <c r="B403" s="14"/>
      <c r="C403" s="14"/>
      <c r="D403" s="14"/>
      <c r="E403" s="14"/>
      <c r="F403" s="14"/>
      <c r="G403" s="14"/>
      <c r="H403" s="14"/>
      <c r="I403" s="14"/>
      <c r="J403" s="15"/>
      <c r="L403" s="58"/>
      <c r="M403" s="58"/>
      <c r="N403" s="58"/>
      <c r="O403" s="58"/>
      <c r="P403" s="269"/>
      <c r="Q403" s="58"/>
      <c r="R403" s="58"/>
      <c r="S403" s="58"/>
      <c r="T403" s="58"/>
      <c r="U403" s="58"/>
      <c r="V403" s="269"/>
      <c r="W403" s="58"/>
      <c r="X403" s="58"/>
      <c r="Y403" s="58"/>
      <c r="Z403" s="58"/>
      <c r="AA403" s="58"/>
      <c r="AB403" s="269"/>
      <c r="AC403" s="58"/>
      <c r="AD403" s="58"/>
      <c r="AE403" s="58"/>
      <c r="AF403" s="58"/>
      <c r="AG403" s="58"/>
      <c r="AH403" s="269"/>
      <c r="AI403" s="58"/>
      <c r="AJ403" s="58"/>
      <c r="AK403" s="58"/>
      <c r="AL403" s="58"/>
      <c r="AM403" s="58"/>
      <c r="AN403" s="59"/>
      <c r="AO403" s="58"/>
      <c r="AP403" s="58"/>
      <c r="AQ403" s="58"/>
      <c r="AR403" s="58"/>
      <c r="AS403" s="58"/>
      <c r="AT403" s="59"/>
      <c r="AU403" s="58"/>
      <c r="AV403" s="58"/>
      <c r="AW403" s="58"/>
      <c r="AX403" s="58"/>
      <c r="AY403" s="58"/>
      <c r="AZ403" s="59"/>
      <c r="BA403" s="58"/>
      <c r="BB403" s="58"/>
      <c r="BC403" s="58"/>
      <c r="BD403" s="58"/>
      <c r="BE403" s="58"/>
      <c r="BF403" s="59"/>
      <c r="BG403" s="58"/>
      <c r="BH403" s="58"/>
      <c r="BI403" s="58"/>
      <c r="BJ403" s="58"/>
      <c r="BK403" s="58"/>
      <c r="BL403" s="59"/>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c r="CP403" s="58"/>
      <c r="CQ403" s="58"/>
      <c r="CR403" s="58"/>
      <c r="CS403" s="58"/>
      <c r="CT403" s="58"/>
      <c r="CU403" s="58"/>
    </row>
    <row r="404" spans="1:99" ht="15" thickBot="1" x14ac:dyDescent="0.4">
      <c r="A404" s="14"/>
      <c r="B404" s="14"/>
      <c r="C404" s="14"/>
      <c r="D404" s="14"/>
      <c r="E404" s="14"/>
      <c r="F404" s="14"/>
      <c r="G404" s="14"/>
      <c r="H404" s="14"/>
      <c r="I404" s="14"/>
      <c r="J404" s="15"/>
      <c r="L404" s="58"/>
      <c r="M404" s="58"/>
      <c r="N404" s="58"/>
      <c r="O404" s="58"/>
      <c r="P404" s="269"/>
      <c r="Q404" s="58"/>
      <c r="R404" s="58"/>
      <c r="S404" s="58"/>
      <c r="T404" s="58"/>
      <c r="U404" s="58"/>
      <c r="V404" s="269"/>
      <c r="W404" s="58"/>
      <c r="X404" s="58"/>
      <c r="Y404" s="58"/>
      <c r="Z404" s="58"/>
      <c r="AA404" s="58"/>
      <c r="AB404" s="269"/>
      <c r="AC404" s="58"/>
      <c r="AD404" s="58"/>
      <c r="AE404" s="58"/>
      <c r="AF404" s="58"/>
      <c r="AG404" s="58"/>
      <c r="AH404" s="269"/>
      <c r="AI404" s="58"/>
      <c r="AJ404" s="58"/>
      <c r="AK404" s="58"/>
      <c r="AL404" s="58"/>
      <c r="AM404" s="58"/>
      <c r="AN404" s="59"/>
      <c r="AO404" s="58"/>
      <c r="AP404" s="58"/>
      <c r="AQ404" s="58"/>
      <c r="AR404" s="58"/>
      <c r="AS404" s="58"/>
      <c r="AT404" s="59"/>
      <c r="AU404" s="58"/>
      <c r="AV404" s="58"/>
      <c r="AW404" s="58"/>
      <c r="AX404" s="58"/>
      <c r="AY404" s="58"/>
      <c r="AZ404" s="59"/>
      <c r="BA404" s="58"/>
      <c r="BB404" s="58"/>
      <c r="BC404" s="58"/>
      <c r="BD404" s="58"/>
      <c r="BE404" s="58"/>
      <c r="BF404" s="59"/>
      <c r="BG404" s="58"/>
      <c r="BH404" s="58"/>
      <c r="BI404" s="58"/>
      <c r="BJ404" s="58"/>
      <c r="BK404" s="58"/>
      <c r="BL404" s="59"/>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c r="CP404" s="58"/>
      <c r="CQ404" s="58"/>
      <c r="CR404" s="58"/>
      <c r="CS404" s="58"/>
      <c r="CT404" s="58"/>
      <c r="CU404" s="58"/>
    </row>
    <row r="405" spans="1:99" ht="15" thickBot="1" x14ac:dyDescent="0.4">
      <c r="A405" s="14"/>
      <c r="B405" s="14"/>
      <c r="C405" s="14"/>
      <c r="D405" s="14"/>
      <c r="E405" s="14"/>
      <c r="F405" s="14"/>
      <c r="G405" s="14"/>
      <c r="H405" s="14"/>
      <c r="I405" s="14"/>
      <c r="J405" s="15"/>
      <c r="L405" s="58"/>
      <c r="M405" s="58"/>
      <c r="N405" s="58"/>
      <c r="O405" s="58"/>
      <c r="P405" s="269"/>
      <c r="Q405" s="58"/>
      <c r="R405" s="58"/>
      <c r="S405" s="58"/>
      <c r="T405" s="58"/>
      <c r="U405" s="58"/>
      <c r="V405" s="269"/>
      <c r="W405" s="58"/>
      <c r="X405" s="58"/>
      <c r="Y405" s="58"/>
      <c r="Z405" s="58"/>
      <c r="AA405" s="58"/>
      <c r="AB405" s="269"/>
      <c r="AC405" s="58"/>
      <c r="AD405" s="58"/>
      <c r="AE405" s="58"/>
      <c r="AF405" s="58"/>
      <c r="AG405" s="58"/>
      <c r="AH405" s="269"/>
      <c r="AI405" s="58"/>
      <c r="AJ405" s="58"/>
      <c r="AK405" s="58"/>
      <c r="AL405" s="58"/>
      <c r="AM405" s="58"/>
      <c r="AN405" s="59"/>
      <c r="AO405" s="58"/>
      <c r="AP405" s="58"/>
      <c r="AQ405" s="58"/>
      <c r="AR405" s="58"/>
      <c r="AS405" s="58"/>
      <c r="AT405" s="59"/>
      <c r="AU405" s="58"/>
      <c r="AV405" s="58"/>
      <c r="AW405" s="58"/>
      <c r="AX405" s="58"/>
      <c r="AY405" s="58"/>
      <c r="AZ405" s="59"/>
      <c r="BA405" s="58"/>
      <c r="BB405" s="58"/>
      <c r="BC405" s="58"/>
      <c r="BD405" s="58"/>
      <c r="BE405" s="58"/>
      <c r="BF405" s="59"/>
      <c r="BG405" s="58"/>
      <c r="BH405" s="58"/>
      <c r="BI405" s="58"/>
      <c r="BJ405" s="58"/>
      <c r="BK405" s="58"/>
      <c r="BL405" s="59"/>
      <c r="BM405" s="58"/>
      <c r="BN405" s="58"/>
      <c r="BO405" s="58"/>
      <c r="BP405" s="58"/>
      <c r="BQ405" s="58"/>
      <c r="BR405" s="58"/>
      <c r="BS405" s="58"/>
      <c r="BT405" s="58"/>
      <c r="BU405" s="58"/>
      <c r="BV405" s="58"/>
      <c r="BW405" s="58"/>
      <c r="BX405" s="58"/>
      <c r="BY405" s="58"/>
      <c r="BZ405" s="58"/>
      <c r="CA405" s="58"/>
      <c r="CB405" s="58"/>
      <c r="CC405" s="58"/>
      <c r="CD405" s="58"/>
      <c r="CE405" s="58"/>
      <c r="CF405" s="58"/>
      <c r="CG405" s="58"/>
      <c r="CH405" s="58"/>
      <c r="CI405" s="58"/>
      <c r="CJ405" s="58"/>
      <c r="CK405" s="58"/>
      <c r="CL405" s="58"/>
      <c r="CM405" s="58"/>
      <c r="CN405" s="58"/>
      <c r="CO405" s="58"/>
      <c r="CP405" s="58"/>
      <c r="CQ405" s="58"/>
      <c r="CR405" s="58"/>
      <c r="CS405" s="58"/>
      <c r="CT405" s="58"/>
      <c r="CU405" s="58"/>
    </row>
    <row r="406" spans="1:99" ht="15" thickBot="1" x14ac:dyDescent="0.4">
      <c r="A406" s="14"/>
      <c r="B406" s="14"/>
      <c r="C406" s="14"/>
      <c r="D406" s="14"/>
      <c r="E406" s="14"/>
      <c r="F406" s="14"/>
      <c r="G406" s="14"/>
      <c r="H406" s="14"/>
      <c r="I406" s="14"/>
      <c r="J406" s="15"/>
      <c r="L406" s="58"/>
      <c r="M406" s="58"/>
      <c r="N406" s="58"/>
      <c r="O406" s="58"/>
      <c r="P406" s="269"/>
      <c r="Q406" s="58"/>
      <c r="R406" s="58"/>
      <c r="S406" s="58"/>
      <c r="T406" s="58"/>
      <c r="U406" s="58"/>
      <c r="V406" s="269"/>
      <c r="W406" s="58"/>
      <c r="X406" s="58"/>
      <c r="Y406" s="58"/>
      <c r="Z406" s="58"/>
      <c r="AA406" s="58"/>
      <c r="AB406" s="269"/>
      <c r="AC406" s="58"/>
      <c r="AD406" s="58"/>
      <c r="AE406" s="58"/>
      <c r="AF406" s="58"/>
      <c r="AG406" s="58"/>
      <c r="AH406" s="269"/>
      <c r="AI406" s="58"/>
      <c r="AJ406" s="58"/>
      <c r="AK406" s="58"/>
      <c r="AL406" s="58"/>
      <c r="AM406" s="58"/>
      <c r="AN406" s="59"/>
      <c r="AO406" s="58"/>
      <c r="AP406" s="58"/>
      <c r="AQ406" s="58"/>
      <c r="AR406" s="58"/>
      <c r="AS406" s="58"/>
      <c r="AT406" s="59"/>
      <c r="AU406" s="58"/>
      <c r="AV406" s="58"/>
      <c r="AW406" s="58"/>
      <c r="AX406" s="58"/>
      <c r="AY406" s="58"/>
      <c r="AZ406" s="59"/>
      <c r="BA406" s="58"/>
      <c r="BB406" s="58"/>
      <c r="BC406" s="58"/>
      <c r="BD406" s="58"/>
      <c r="BE406" s="58"/>
      <c r="BF406" s="59"/>
      <c r="BG406" s="58"/>
      <c r="BH406" s="58"/>
      <c r="BI406" s="58"/>
      <c r="BJ406" s="58"/>
      <c r="BK406" s="58"/>
      <c r="BL406" s="59"/>
      <c r="BM406" s="58"/>
      <c r="BN406" s="58"/>
      <c r="BO406" s="58"/>
      <c r="BP406" s="58"/>
      <c r="BQ406" s="58"/>
      <c r="BR406" s="58"/>
      <c r="BS406" s="58"/>
      <c r="BT406" s="58"/>
      <c r="BU406" s="58"/>
      <c r="BV406" s="58"/>
      <c r="BW406" s="58"/>
      <c r="BX406" s="58"/>
      <c r="BY406" s="58"/>
      <c r="BZ406" s="58"/>
      <c r="CA406" s="58"/>
      <c r="CB406" s="58"/>
      <c r="CC406" s="58"/>
      <c r="CD406" s="58"/>
      <c r="CE406" s="58"/>
      <c r="CF406" s="58"/>
      <c r="CG406" s="58"/>
      <c r="CH406" s="58"/>
      <c r="CI406" s="58"/>
      <c r="CJ406" s="58"/>
      <c r="CK406" s="58"/>
      <c r="CL406" s="58"/>
      <c r="CM406" s="58"/>
      <c r="CN406" s="58"/>
      <c r="CO406" s="58"/>
      <c r="CP406" s="58"/>
      <c r="CQ406" s="58"/>
      <c r="CR406" s="58"/>
      <c r="CS406" s="58"/>
      <c r="CT406" s="58"/>
      <c r="CU406" s="58"/>
    </row>
    <row r="407" spans="1:99" ht="15" thickBot="1" x14ac:dyDescent="0.4">
      <c r="A407" s="14"/>
      <c r="B407" s="14"/>
      <c r="C407" s="14"/>
      <c r="D407" s="14"/>
      <c r="E407" s="14"/>
      <c r="F407" s="14"/>
      <c r="G407" s="14"/>
      <c r="H407" s="14"/>
      <c r="I407" s="14"/>
      <c r="J407" s="15"/>
      <c r="L407" s="58"/>
      <c r="M407" s="58"/>
      <c r="N407" s="58"/>
      <c r="O407" s="58"/>
      <c r="P407" s="269"/>
      <c r="Q407" s="58"/>
      <c r="R407" s="58"/>
      <c r="S407" s="58"/>
      <c r="T407" s="58"/>
      <c r="U407" s="58"/>
      <c r="V407" s="269"/>
      <c r="W407" s="58"/>
      <c r="X407" s="58"/>
      <c r="Y407" s="58"/>
      <c r="Z407" s="58"/>
      <c r="AA407" s="58"/>
      <c r="AB407" s="269"/>
      <c r="AC407" s="58"/>
      <c r="AD407" s="58"/>
      <c r="AE407" s="58"/>
      <c r="AF407" s="58"/>
      <c r="AG407" s="58"/>
      <c r="AH407" s="269"/>
      <c r="AI407" s="58"/>
      <c r="AJ407" s="58"/>
      <c r="AK407" s="58"/>
      <c r="AL407" s="58"/>
      <c r="AM407" s="58"/>
      <c r="AN407" s="59"/>
      <c r="AO407" s="58"/>
      <c r="AP407" s="58"/>
      <c r="AQ407" s="58"/>
      <c r="AR407" s="58"/>
      <c r="AS407" s="58"/>
      <c r="AT407" s="59"/>
      <c r="AU407" s="58"/>
      <c r="AV407" s="58"/>
      <c r="AW407" s="58"/>
      <c r="AX407" s="58"/>
      <c r="AY407" s="58"/>
      <c r="AZ407" s="59"/>
      <c r="BA407" s="58"/>
      <c r="BB407" s="58"/>
      <c r="BC407" s="58"/>
      <c r="BD407" s="58"/>
      <c r="BE407" s="58"/>
      <c r="BF407" s="59"/>
      <c r="BG407" s="58"/>
      <c r="BH407" s="58"/>
      <c r="BI407" s="58"/>
      <c r="BJ407" s="58"/>
      <c r="BK407" s="58"/>
      <c r="BL407" s="59"/>
      <c r="BM407" s="58"/>
      <c r="BN407" s="58"/>
      <c r="BO407" s="58"/>
      <c r="BP407" s="58"/>
      <c r="BQ407" s="58"/>
      <c r="BR407" s="58"/>
      <c r="BS407" s="58"/>
      <c r="BT407" s="58"/>
      <c r="BU407" s="58"/>
      <c r="BV407" s="58"/>
      <c r="BW407" s="58"/>
      <c r="BX407" s="58"/>
      <c r="BY407" s="58"/>
      <c r="BZ407" s="58"/>
      <c r="CA407" s="58"/>
      <c r="CB407" s="58"/>
      <c r="CC407" s="58"/>
      <c r="CD407" s="58"/>
      <c r="CE407" s="58"/>
      <c r="CF407" s="58"/>
      <c r="CG407" s="58"/>
      <c r="CH407" s="58"/>
      <c r="CI407" s="58"/>
      <c r="CJ407" s="58"/>
      <c r="CK407" s="58"/>
      <c r="CL407" s="58"/>
      <c r="CM407" s="58"/>
      <c r="CN407" s="58"/>
      <c r="CO407" s="58"/>
      <c r="CP407" s="58"/>
      <c r="CQ407" s="58"/>
      <c r="CR407" s="58"/>
      <c r="CS407" s="58"/>
      <c r="CT407" s="58"/>
      <c r="CU407" s="58"/>
    </row>
    <row r="408" spans="1:99" ht="15" thickBot="1" x14ac:dyDescent="0.4">
      <c r="A408" s="14"/>
      <c r="B408" s="14"/>
      <c r="C408" s="14"/>
      <c r="D408" s="14"/>
      <c r="E408" s="14"/>
      <c r="F408" s="14"/>
      <c r="G408" s="14"/>
      <c r="H408" s="14"/>
      <c r="I408" s="14"/>
      <c r="J408" s="15"/>
      <c r="L408" s="58"/>
      <c r="M408" s="58"/>
      <c r="N408" s="58"/>
      <c r="O408" s="58"/>
      <c r="P408" s="269"/>
      <c r="Q408" s="58"/>
      <c r="R408" s="58"/>
      <c r="S408" s="58"/>
      <c r="T408" s="58"/>
      <c r="U408" s="58"/>
      <c r="V408" s="269"/>
      <c r="W408" s="58"/>
      <c r="X408" s="58"/>
      <c r="Y408" s="58"/>
      <c r="Z408" s="58"/>
      <c r="AA408" s="58"/>
      <c r="AB408" s="269"/>
      <c r="AC408" s="58"/>
      <c r="AD408" s="58"/>
      <c r="AE408" s="58"/>
      <c r="AF408" s="58"/>
      <c r="AG408" s="58"/>
      <c r="AH408" s="269"/>
      <c r="AI408" s="58"/>
      <c r="AJ408" s="58"/>
      <c r="AK408" s="58"/>
      <c r="AL408" s="58"/>
      <c r="AM408" s="58"/>
      <c r="AN408" s="59"/>
      <c r="AO408" s="58"/>
      <c r="AP408" s="58"/>
      <c r="AQ408" s="58"/>
      <c r="AR408" s="58"/>
      <c r="AS408" s="58"/>
      <c r="AT408" s="59"/>
      <c r="AU408" s="58"/>
      <c r="AV408" s="58"/>
      <c r="AW408" s="58"/>
      <c r="AX408" s="58"/>
      <c r="AY408" s="58"/>
      <c r="AZ408" s="59"/>
      <c r="BA408" s="58"/>
      <c r="BB408" s="58"/>
      <c r="BC408" s="58"/>
      <c r="BD408" s="58"/>
      <c r="BE408" s="58"/>
      <c r="BF408" s="59"/>
      <c r="BG408" s="58"/>
      <c r="BH408" s="58"/>
      <c r="BI408" s="58"/>
      <c r="BJ408" s="58"/>
      <c r="BK408" s="58"/>
      <c r="BL408" s="59"/>
      <c r="BM408" s="58"/>
      <c r="BN408" s="58"/>
      <c r="BO408" s="58"/>
      <c r="BP408" s="58"/>
      <c r="BQ408" s="58"/>
      <c r="BR408" s="58"/>
      <c r="BS408" s="58"/>
      <c r="BT408" s="58"/>
      <c r="BU408" s="58"/>
      <c r="BV408" s="58"/>
      <c r="BW408" s="58"/>
      <c r="BX408" s="58"/>
      <c r="BY408" s="58"/>
      <c r="BZ408" s="58"/>
      <c r="CA408" s="58"/>
      <c r="CB408" s="58"/>
      <c r="CC408" s="58"/>
      <c r="CD408" s="58"/>
      <c r="CE408" s="58"/>
      <c r="CF408" s="58"/>
      <c r="CG408" s="58"/>
      <c r="CH408" s="58"/>
      <c r="CI408" s="58"/>
      <c r="CJ408" s="58"/>
      <c r="CK408" s="58"/>
      <c r="CL408" s="58"/>
      <c r="CM408" s="58"/>
      <c r="CN408" s="58"/>
      <c r="CO408" s="58"/>
      <c r="CP408" s="58"/>
      <c r="CQ408" s="58"/>
      <c r="CR408" s="58"/>
      <c r="CS408" s="58"/>
      <c r="CT408" s="58"/>
      <c r="CU408" s="58"/>
    </row>
    <row r="409" spans="1:99" ht="15" thickBot="1" x14ac:dyDescent="0.4">
      <c r="A409" s="14"/>
      <c r="B409" s="14"/>
      <c r="C409" s="14"/>
      <c r="D409" s="14"/>
      <c r="E409" s="14"/>
      <c r="F409" s="14"/>
      <c r="G409" s="14"/>
      <c r="H409" s="14"/>
      <c r="I409" s="14"/>
      <c r="J409" s="15"/>
      <c r="L409" s="58"/>
      <c r="M409" s="58"/>
      <c r="N409" s="58"/>
      <c r="O409" s="58"/>
      <c r="P409" s="269"/>
      <c r="Q409" s="58"/>
      <c r="R409" s="58"/>
      <c r="S409" s="58"/>
      <c r="T409" s="58"/>
      <c r="U409" s="58"/>
      <c r="V409" s="269"/>
      <c r="W409" s="58"/>
      <c r="X409" s="58"/>
      <c r="Y409" s="58"/>
      <c r="Z409" s="58"/>
      <c r="AA409" s="58"/>
      <c r="AB409" s="269"/>
      <c r="AC409" s="58"/>
      <c r="AD409" s="58"/>
      <c r="AE409" s="58"/>
      <c r="AF409" s="58"/>
      <c r="AG409" s="58"/>
      <c r="AH409" s="269"/>
      <c r="AI409" s="58"/>
      <c r="AJ409" s="58"/>
      <c r="AK409" s="58"/>
      <c r="AL409" s="58"/>
      <c r="AM409" s="58"/>
      <c r="AN409" s="59"/>
      <c r="AO409" s="58"/>
      <c r="AP409" s="58"/>
      <c r="AQ409" s="58"/>
      <c r="AR409" s="58"/>
      <c r="AS409" s="58"/>
      <c r="AT409" s="59"/>
      <c r="AU409" s="58"/>
      <c r="AV409" s="58"/>
      <c r="AW409" s="58"/>
      <c r="AX409" s="58"/>
      <c r="AY409" s="58"/>
      <c r="AZ409" s="59"/>
      <c r="BA409" s="58"/>
      <c r="BB409" s="58"/>
      <c r="BC409" s="58"/>
      <c r="BD409" s="58"/>
      <c r="BE409" s="58"/>
      <c r="BF409" s="59"/>
      <c r="BG409" s="58"/>
      <c r="BH409" s="58"/>
      <c r="BI409" s="58"/>
      <c r="BJ409" s="58"/>
      <c r="BK409" s="58"/>
      <c r="BL409" s="59"/>
      <c r="BM409" s="58"/>
      <c r="BN409" s="58"/>
      <c r="BO409" s="58"/>
      <c r="BP409" s="58"/>
      <c r="BQ409" s="58"/>
      <c r="BR409" s="58"/>
      <c r="BS409" s="58"/>
      <c r="BT409" s="58"/>
      <c r="BU409" s="58"/>
      <c r="BV409" s="58"/>
      <c r="BW409" s="58"/>
      <c r="BX409" s="58"/>
      <c r="BY409" s="58"/>
      <c r="BZ409" s="58"/>
      <c r="CA409" s="58"/>
      <c r="CB409" s="58"/>
      <c r="CC409" s="58"/>
      <c r="CD409" s="58"/>
      <c r="CE409" s="58"/>
      <c r="CF409" s="58"/>
      <c r="CG409" s="58"/>
      <c r="CH409" s="58"/>
      <c r="CI409" s="58"/>
      <c r="CJ409" s="58"/>
      <c r="CK409" s="58"/>
      <c r="CL409" s="58"/>
      <c r="CM409" s="58"/>
      <c r="CN409" s="58"/>
      <c r="CO409" s="58"/>
      <c r="CP409" s="58"/>
      <c r="CQ409" s="58"/>
      <c r="CR409" s="58"/>
      <c r="CS409" s="58"/>
      <c r="CT409" s="58"/>
      <c r="CU409" s="58"/>
    </row>
    <row r="410" spans="1:99" ht="15" thickBot="1" x14ac:dyDescent="0.4">
      <c r="A410" s="14"/>
      <c r="B410" s="14"/>
      <c r="C410" s="14"/>
      <c r="D410" s="14"/>
      <c r="E410" s="14"/>
      <c r="F410" s="14"/>
      <c r="G410" s="14"/>
      <c r="H410" s="14"/>
      <c r="I410" s="14"/>
      <c r="J410" s="41"/>
      <c r="L410" s="58"/>
      <c r="M410" s="58"/>
      <c r="N410" s="58"/>
      <c r="O410" s="58"/>
      <c r="P410" s="269"/>
      <c r="Q410" s="58"/>
      <c r="R410" s="58"/>
      <c r="S410" s="58"/>
      <c r="T410" s="58"/>
      <c r="U410" s="58"/>
      <c r="V410" s="269"/>
      <c r="W410" s="58"/>
      <c r="X410" s="58"/>
      <c r="Y410" s="58"/>
      <c r="Z410" s="58"/>
      <c r="AA410" s="58"/>
      <c r="AB410" s="269"/>
      <c r="AC410" s="58"/>
      <c r="AD410" s="58"/>
      <c r="AE410" s="58"/>
      <c r="AF410" s="58"/>
      <c r="AG410" s="58"/>
      <c r="AH410" s="269"/>
      <c r="AI410" s="58"/>
      <c r="AJ410" s="58"/>
      <c r="AK410" s="58"/>
      <c r="AL410" s="58"/>
      <c r="AM410" s="58"/>
      <c r="AN410" s="59"/>
      <c r="AO410" s="58"/>
      <c r="AP410" s="58"/>
      <c r="AQ410" s="58"/>
      <c r="AR410" s="58"/>
      <c r="AS410" s="58"/>
      <c r="AT410" s="59"/>
      <c r="AU410" s="58"/>
      <c r="AV410" s="58"/>
      <c r="AW410" s="58"/>
      <c r="AX410" s="58"/>
      <c r="AY410" s="58"/>
      <c r="AZ410" s="59"/>
      <c r="BA410" s="58"/>
      <c r="BB410" s="58"/>
      <c r="BC410" s="58"/>
      <c r="BD410" s="58"/>
      <c r="BE410" s="58"/>
      <c r="BF410" s="59"/>
      <c r="BG410" s="58"/>
      <c r="BH410" s="58"/>
      <c r="BI410" s="58"/>
      <c r="BJ410" s="58"/>
      <c r="BK410" s="58"/>
      <c r="BL410" s="59"/>
      <c r="BM410" s="58"/>
      <c r="BN410" s="58"/>
      <c r="BO410" s="58"/>
      <c r="BP410" s="58"/>
      <c r="BQ410" s="58"/>
      <c r="BR410" s="58"/>
      <c r="BS410" s="58"/>
      <c r="BT410" s="58"/>
      <c r="BU410" s="58"/>
      <c r="BV410" s="58"/>
      <c r="BW410" s="58"/>
      <c r="BX410" s="58"/>
      <c r="BY410" s="58"/>
      <c r="BZ410" s="58"/>
      <c r="CA410" s="58"/>
      <c r="CB410" s="58"/>
      <c r="CC410" s="58"/>
      <c r="CD410" s="58"/>
      <c r="CE410" s="58"/>
      <c r="CF410" s="58"/>
      <c r="CG410" s="58"/>
      <c r="CH410" s="58"/>
      <c r="CI410" s="58"/>
      <c r="CJ410" s="58"/>
      <c r="CK410" s="58"/>
      <c r="CL410" s="58"/>
      <c r="CM410" s="58"/>
      <c r="CN410" s="58"/>
      <c r="CO410" s="58"/>
      <c r="CP410" s="58"/>
      <c r="CQ410" s="58"/>
      <c r="CR410" s="58"/>
      <c r="CS410" s="58"/>
      <c r="CT410" s="58"/>
      <c r="CU410" s="58"/>
    </row>
    <row r="411" spans="1:99" ht="15" thickBot="1" x14ac:dyDescent="0.4">
      <c r="A411" s="14"/>
      <c r="B411" s="14"/>
      <c r="C411" s="14"/>
      <c r="D411" s="14"/>
      <c r="E411" s="14"/>
      <c r="F411" s="14"/>
      <c r="G411" s="14"/>
      <c r="H411" s="14"/>
      <c r="I411" s="14"/>
      <c r="J411" s="41"/>
      <c r="L411" s="58"/>
      <c r="M411" s="58"/>
      <c r="N411" s="58"/>
      <c r="O411" s="58"/>
      <c r="P411" s="269"/>
      <c r="Q411" s="58"/>
      <c r="R411" s="58"/>
      <c r="S411" s="58"/>
      <c r="T411" s="58"/>
      <c r="U411" s="58"/>
      <c r="V411" s="269"/>
      <c r="W411" s="58"/>
      <c r="X411" s="58"/>
      <c r="Y411" s="58"/>
      <c r="Z411" s="58"/>
      <c r="AA411" s="58"/>
      <c r="AB411" s="269"/>
      <c r="AC411" s="58"/>
      <c r="AD411" s="58"/>
      <c r="AE411" s="58"/>
      <c r="AF411" s="58"/>
      <c r="AG411" s="58"/>
      <c r="AH411" s="269"/>
      <c r="AI411" s="58"/>
      <c r="AJ411" s="58"/>
      <c r="AK411" s="58"/>
      <c r="AL411" s="58"/>
      <c r="AM411" s="58"/>
      <c r="AN411" s="59"/>
      <c r="AO411" s="58"/>
      <c r="AP411" s="58"/>
      <c r="AQ411" s="58"/>
      <c r="AR411" s="58"/>
      <c r="AS411" s="58"/>
      <c r="AT411" s="59"/>
      <c r="AU411" s="58"/>
      <c r="AV411" s="58"/>
      <c r="AW411" s="58"/>
      <c r="AX411" s="58"/>
      <c r="AY411" s="58"/>
      <c r="AZ411" s="59"/>
      <c r="BA411" s="58"/>
      <c r="BB411" s="58"/>
      <c r="BC411" s="58"/>
      <c r="BD411" s="58"/>
      <c r="BE411" s="58"/>
      <c r="BF411" s="59"/>
      <c r="BG411" s="58"/>
      <c r="BH411" s="58"/>
      <c r="BI411" s="58"/>
      <c r="BJ411" s="58"/>
      <c r="BK411" s="58"/>
      <c r="BL411" s="59"/>
      <c r="BM411" s="58"/>
      <c r="BN411" s="58"/>
      <c r="BO411" s="58"/>
      <c r="BP411" s="58"/>
      <c r="BQ411" s="58"/>
      <c r="BR411" s="58"/>
      <c r="BS411" s="58"/>
      <c r="BT411" s="58"/>
      <c r="BU411" s="58"/>
      <c r="BV411" s="58"/>
      <c r="BW411" s="58"/>
      <c r="BX411" s="58"/>
      <c r="BY411" s="58"/>
      <c r="BZ411" s="58"/>
      <c r="CA411" s="58"/>
      <c r="CB411" s="58"/>
      <c r="CC411" s="58"/>
      <c r="CD411" s="58"/>
      <c r="CE411" s="58"/>
      <c r="CF411" s="58"/>
      <c r="CG411" s="58"/>
      <c r="CH411" s="58"/>
      <c r="CI411" s="58"/>
      <c r="CJ411" s="58"/>
      <c r="CK411" s="58"/>
      <c r="CL411" s="58"/>
      <c r="CM411" s="58"/>
      <c r="CN411" s="58"/>
      <c r="CO411" s="58"/>
      <c r="CP411" s="58"/>
      <c r="CQ411" s="58"/>
      <c r="CR411" s="58"/>
      <c r="CS411" s="58"/>
      <c r="CT411" s="58"/>
      <c r="CU411" s="58"/>
    </row>
    <row r="412" spans="1:99" ht="15" thickBot="1" x14ac:dyDescent="0.4">
      <c r="A412" s="14"/>
      <c r="B412" s="14"/>
      <c r="C412" s="14"/>
      <c r="D412" s="14"/>
      <c r="E412" s="14"/>
      <c r="F412" s="14"/>
      <c r="G412" s="14"/>
      <c r="H412" s="14"/>
      <c r="I412" s="14"/>
      <c r="J412" s="41"/>
      <c r="L412" s="58"/>
      <c r="M412" s="58"/>
      <c r="N412" s="58"/>
      <c r="O412" s="58"/>
      <c r="P412" s="269"/>
      <c r="Q412" s="58"/>
      <c r="R412" s="58"/>
      <c r="S412" s="58"/>
      <c r="T412" s="58"/>
      <c r="U412" s="58"/>
      <c r="V412" s="269"/>
      <c r="W412" s="58"/>
      <c r="X412" s="58"/>
      <c r="Y412" s="58"/>
      <c r="Z412" s="58"/>
      <c r="AA412" s="58"/>
      <c r="AB412" s="269"/>
      <c r="AC412" s="58"/>
      <c r="AD412" s="58"/>
      <c r="AE412" s="58"/>
      <c r="AF412" s="58"/>
      <c r="AG412" s="58"/>
      <c r="AH412" s="269"/>
      <c r="AI412" s="58"/>
      <c r="AJ412" s="58"/>
      <c r="AK412" s="58"/>
      <c r="AL412" s="58"/>
      <c r="AM412" s="58"/>
      <c r="AN412" s="59"/>
      <c r="AO412" s="58"/>
      <c r="AP412" s="58"/>
      <c r="AQ412" s="58"/>
      <c r="AR412" s="58"/>
      <c r="AS412" s="58"/>
      <c r="AT412" s="59"/>
      <c r="AU412" s="58"/>
      <c r="AV412" s="58"/>
      <c r="AW412" s="58"/>
      <c r="AX412" s="58"/>
      <c r="AY412" s="58"/>
      <c r="AZ412" s="59"/>
      <c r="BA412" s="58"/>
      <c r="BB412" s="58"/>
      <c r="BC412" s="58"/>
      <c r="BD412" s="58"/>
      <c r="BE412" s="58"/>
      <c r="BF412" s="59"/>
      <c r="BG412" s="58"/>
      <c r="BH412" s="58"/>
      <c r="BI412" s="58"/>
      <c r="BJ412" s="58"/>
      <c r="BK412" s="58"/>
      <c r="BL412" s="59"/>
      <c r="BM412" s="58"/>
      <c r="BN412" s="58"/>
      <c r="BO412" s="58"/>
      <c r="BP412" s="58"/>
      <c r="BQ412" s="58"/>
      <c r="BR412" s="58"/>
      <c r="BS412" s="58"/>
      <c r="BT412" s="58"/>
      <c r="BU412" s="58"/>
      <c r="BV412" s="58"/>
      <c r="BW412" s="58"/>
      <c r="BX412" s="58"/>
      <c r="BY412" s="58"/>
      <c r="BZ412" s="58"/>
      <c r="CA412" s="58"/>
      <c r="CB412" s="58"/>
      <c r="CC412" s="58"/>
      <c r="CD412" s="58"/>
      <c r="CE412" s="58"/>
      <c r="CF412" s="58"/>
      <c r="CG412" s="58"/>
      <c r="CH412" s="58"/>
      <c r="CI412" s="58"/>
      <c r="CJ412" s="58"/>
      <c r="CK412" s="58"/>
      <c r="CL412" s="58"/>
      <c r="CM412" s="58"/>
      <c r="CN412" s="58"/>
      <c r="CO412" s="58"/>
      <c r="CP412" s="58"/>
      <c r="CQ412" s="58"/>
      <c r="CR412" s="58"/>
      <c r="CS412" s="58"/>
      <c r="CT412" s="58"/>
      <c r="CU412" s="58"/>
    </row>
    <row r="413" spans="1:99" ht="15" thickBot="1" x14ac:dyDescent="0.4">
      <c r="A413" s="14"/>
      <c r="B413" s="14"/>
      <c r="C413" s="14"/>
      <c r="D413" s="14"/>
      <c r="E413" s="14"/>
      <c r="F413" s="14"/>
      <c r="G413" s="14"/>
      <c r="H413" s="14"/>
      <c r="I413" s="14"/>
      <c r="J413" s="41"/>
      <c r="L413" s="58"/>
      <c r="M413" s="58"/>
      <c r="N413" s="58"/>
      <c r="O413" s="58"/>
      <c r="P413" s="269"/>
      <c r="Q413" s="58"/>
      <c r="R413" s="58"/>
      <c r="S413" s="58"/>
      <c r="T413" s="58"/>
      <c r="U413" s="58"/>
      <c r="V413" s="269"/>
      <c r="W413" s="58"/>
      <c r="X413" s="58"/>
      <c r="Y413" s="58"/>
      <c r="Z413" s="58"/>
      <c r="AA413" s="58"/>
      <c r="AB413" s="269"/>
      <c r="AC413" s="58"/>
      <c r="AD413" s="58"/>
      <c r="AE413" s="58"/>
      <c r="AF413" s="58"/>
      <c r="AG413" s="58"/>
      <c r="AH413" s="269"/>
      <c r="AI413" s="58"/>
      <c r="AJ413" s="58"/>
      <c r="AK413" s="58"/>
      <c r="AL413" s="58"/>
      <c r="AM413" s="58"/>
      <c r="AN413" s="59"/>
      <c r="AO413" s="58"/>
      <c r="AP413" s="58"/>
      <c r="AQ413" s="58"/>
      <c r="AR413" s="58"/>
      <c r="AS413" s="58"/>
      <c r="AT413" s="59"/>
      <c r="AU413" s="58"/>
      <c r="AV413" s="58"/>
      <c r="AW413" s="58"/>
      <c r="AX413" s="58"/>
      <c r="AY413" s="58"/>
      <c r="AZ413" s="59"/>
      <c r="BA413" s="58"/>
      <c r="BB413" s="58"/>
      <c r="BC413" s="58"/>
      <c r="BD413" s="58"/>
      <c r="BE413" s="58"/>
      <c r="BF413" s="59"/>
      <c r="BG413" s="58"/>
      <c r="BH413" s="58"/>
      <c r="BI413" s="58"/>
      <c r="BJ413" s="58"/>
      <c r="BK413" s="58"/>
      <c r="BL413" s="59"/>
      <c r="BM413" s="58"/>
      <c r="BN413" s="58"/>
      <c r="BO413" s="58"/>
      <c r="BP413" s="58"/>
      <c r="BQ413" s="58"/>
      <c r="BR413" s="58"/>
      <c r="BS413" s="58"/>
      <c r="BT413" s="58"/>
      <c r="BU413" s="58"/>
      <c r="BV413" s="58"/>
      <c r="BW413" s="58"/>
      <c r="BX413" s="58"/>
      <c r="BY413" s="58"/>
      <c r="BZ413" s="58"/>
      <c r="CA413" s="58"/>
      <c r="CB413" s="58"/>
      <c r="CC413" s="58"/>
      <c r="CD413" s="58"/>
      <c r="CE413" s="58"/>
      <c r="CF413" s="58"/>
      <c r="CG413" s="58"/>
      <c r="CH413" s="58"/>
      <c r="CI413" s="58"/>
      <c r="CJ413" s="58"/>
      <c r="CK413" s="58"/>
      <c r="CL413" s="58"/>
      <c r="CM413" s="58"/>
      <c r="CN413" s="58"/>
      <c r="CO413" s="58"/>
      <c r="CP413" s="58"/>
      <c r="CQ413" s="58"/>
      <c r="CR413" s="58"/>
      <c r="CS413" s="58"/>
      <c r="CT413" s="58"/>
      <c r="CU413" s="58"/>
    </row>
    <row r="414" spans="1:99" ht="15" thickBot="1" x14ac:dyDescent="0.4">
      <c r="A414" s="14"/>
      <c r="B414" s="14"/>
      <c r="C414" s="14"/>
      <c r="D414" s="14"/>
      <c r="E414" s="14"/>
      <c r="F414" s="14"/>
      <c r="G414" s="14"/>
      <c r="H414" s="14"/>
      <c r="I414" s="14"/>
      <c r="J414" s="41"/>
      <c r="L414" s="58"/>
      <c r="M414" s="58"/>
      <c r="N414" s="58"/>
      <c r="O414" s="58"/>
      <c r="P414" s="269"/>
      <c r="Q414" s="58"/>
      <c r="R414" s="58"/>
      <c r="S414" s="58"/>
      <c r="T414" s="58"/>
      <c r="U414" s="58"/>
      <c r="V414" s="269"/>
      <c r="W414" s="58"/>
      <c r="X414" s="58"/>
      <c r="Y414" s="58"/>
      <c r="Z414" s="58"/>
      <c r="AA414" s="58"/>
      <c r="AB414" s="269"/>
      <c r="AC414" s="58"/>
      <c r="AD414" s="58"/>
      <c r="AE414" s="58"/>
      <c r="AF414" s="58"/>
      <c r="AG414" s="58"/>
      <c r="AH414" s="269"/>
      <c r="AI414" s="58"/>
      <c r="AJ414" s="58"/>
      <c r="AK414" s="58"/>
      <c r="AL414" s="58"/>
      <c r="AM414" s="58"/>
      <c r="AN414" s="59"/>
      <c r="AO414" s="58"/>
      <c r="AP414" s="58"/>
      <c r="AQ414" s="58"/>
      <c r="AR414" s="58"/>
      <c r="AS414" s="58"/>
      <c r="AT414" s="59"/>
      <c r="AU414" s="58"/>
      <c r="AV414" s="58"/>
      <c r="AW414" s="58"/>
      <c r="AX414" s="58"/>
      <c r="AY414" s="58"/>
      <c r="AZ414" s="59"/>
      <c r="BA414" s="58"/>
      <c r="BB414" s="58"/>
      <c r="BC414" s="58"/>
      <c r="BD414" s="58"/>
      <c r="BE414" s="58"/>
      <c r="BF414" s="59"/>
      <c r="BG414" s="58"/>
      <c r="BH414" s="58"/>
      <c r="BI414" s="58"/>
      <c r="BJ414" s="58"/>
      <c r="BK414" s="58"/>
      <c r="BL414" s="59"/>
      <c r="BM414" s="58"/>
      <c r="BN414" s="58"/>
      <c r="BO414" s="58"/>
      <c r="BP414" s="58"/>
      <c r="BQ414" s="58"/>
      <c r="BR414" s="58"/>
      <c r="BS414" s="58"/>
      <c r="BT414" s="58"/>
      <c r="BU414" s="58"/>
      <c r="BV414" s="58"/>
      <c r="BW414" s="58"/>
      <c r="BX414" s="58"/>
      <c r="BY414" s="58"/>
      <c r="BZ414" s="58"/>
      <c r="CA414" s="58"/>
      <c r="CB414" s="58"/>
      <c r="CC414" s="58"/>
      <c r="CD414" s="58"/>
      <c r="CE414" s="58"/>
      <c r="CF414" s="58"/>
      <c r="CG414" s="58"/>
      <c r="CH414" s="58"/>
      <c r="CI414" s="58"/>
      <c r="CJ414" s="58"/>
      <c r="CK414" s="58"/>
      <c r="CL414" s="58"/>
      <c r="CM414" s="58"/>
      <c r="CN414" s="58"/>
      <c r="CO414" s="58"/>
      <c r="CP414" s="58"/>
      <c r="CQ414" s="58"/>
      <c r="CR414" s="58"/>
      <c r="CS414" s="58"/>
      <c r="CT414" s="58"/>
      <c r="CU414" s="58"/>
    </row>
    <row r="415" spans="1:99" ht="15" thickBot="1" x14ac:dyDescent="0.4">
      <c r="A415" s="14"/>
      <c r="B415" s="14"/>
      <c r="C415" s="14"/>
      <c r="D415" s="14"/>
      <c r="E415" s="14"/>
      <c r="F415" s="14"/>
      <c r="G415" s="14"/>
      <c r="H415" s="14"/>
      <c r="I415" s="14"/>
      <c r="J415" s="41"/>
      <c r="L415" s="58"/>
      <c r="M415" s="58"/>
      <c r="N415" s="58"/>
      <c r="O415" s="58"/>
      <c r="P415" s="269"/>
      <c r="Q415" s="58"/>
      <c r="R415" s="58"/>
      <c r="S415" s="58"/>
      <c r="T415" s="58"/>
      <c r="U415" s="58"/>
      <c r="V415" s="269"/>
      <c r="W415" s="58"/>
      <c r="X415" s="58"/>
      <c r="Y415" s="58"/>
      <c r="Z415" s="58"/>
      <c r="AA415" s="58"/>
      <c r="AB415" s="269"/>
      <c r="AC415" s="58"/>
      <c r="AD415" s="58"/>
      <c r="AE415" s="58"/>
      <c r="AF415" s="58"/>
      <c r="AG415" s="58"/>
      <c r="AH415" s="269"/>
      <c r="AI415" s="58"/>
      <c r="AJ415" s="58"/>
      <c r="AK415" s="58"/>
      <c r="AL415" s="58"/>
      <c r="AM415" s="58"/>
      <c r="AN415" s="59"/>
      <c r="AO415" s="58"/>
      <c r="AP415" s="58"/>
      <c r="AQ415" s="58"/>
      <c r="AR415" s="58"/>
      <c r="AS415" s="58"/>
      <c r="AT415" s="59"/>
      <c r="AU415" s="58"/>
      <c r="AV415" s="58"/>
      <c r="AW415" s="58"/>
      <c r="AX415" s="58"/>
      <c r="AY415" s="58"/>
      <c r="AZ415" s="59"/>
      <c r="BA415" s="58"/>
      <c r="BB415" s="58"/>
      <c r="BC415" s="58"/>
      <c r="BD415" s="58"/>
      <c r="BE415" s="58"/>
      <c r="BF415" s="59"/>
      <c r="BG415" s="58"/>
      <c r="BH415" s="58"/>
      <c r="BI415" s="58"/>
      <c r="BJ415" s="58"/>
      <c r="BK415" s="58"/>
      <c r="BL415" s="59"/>
      <c r="BM415" s="58"/>
      <c r="BN415" s="58"/>
      <c r="BO415" s="58"/>
      <c r="BP415" s="58"/>
      <c r="BQ415" s="58"/>
      <c r="BR415" s="58"/>
      <c r="BS415" s="58"/>
      <c r="BT415" s="58"/>
      <c r="BU415" s="58"/>
      <c r="BV415" s="58"/>
      <c r="BW415" s="58"/>
      <c r="BX415" s="58"/>
      <c r="BY415" s="58"/>
      <c r="BZ415" s="58"/>
      <c r="CA415" s="58"/>
      <c r="CB415" s="58"/>
      <c r="CC415" s="58"/>
      <c r="CD415" s="58"/>
      <c r="CE415" s="58"/>
      <c r="CF415" s="58"/>
      <c r="CG415" s="58"/>
      <c r="CH415" s="58"/>
      <c r="CI415" s="58"/>
      <c r="CJ415" s="58"/>
      <c r="CK415" s="58"/>
      <c r="CL415" s="58"/>
      <c r="CM415" s="58"/>
      <c r="CN415" s="58"/>
      <c r="CO415" s="58"/>
      <c r="CP415" s="58"/>
      <c r="CQ415" s="58"/>
      <c r="CR415" s="58"/>
      <c r="CS415" s="58"/>
      <c r="CT415" s="58"/>
      <c r="CU415" s="58"/>
    </row>
    <row r="416" spans="1:99" ht="15" thickBot="1" x14ac:dyDescent="0.4">
      <c r="A416" s="14"/>
      <c r="B416" s="14"/>
      <c r="C416" s="14"/>
      <c r="D416" s="14"/>
      <c r="E416" s="14"/>
      <c r="F416" s="14"/>
      <c r="G416" s="14"/>
      <c r="H416" s="14"/>
      <c r="I416" s="14"/>
      <c r="J416" s="41"/>
      <c r="L416" s="58"/>
      <c r="M416" s="58"/>
      <c r="N416" s="58"/>
      <c r="O416" s="58"/>
      <c r="P416" s="269"/>
      <c r="Q416" s="58"/>
      <c r="R416" s="58"/>
      <c r="S416" s="58"/>
      <c r="T416" s="58"/>
      <c r="U416" s="58"/>
      <c r="V416" s="269"/>
      <c r="W416" s="58"/>
      <c r="X416" s="58"/>
      <c r="Y416" s="58"/>
      <c r="Z416" s="58"/>
      <c r="AA416" s="58"/>
      <c r="AB416" s="269"/>
      <c r="AC416" s="58"/>
      <c r="AD416" s="58"/>
      <c r="AE416" s="58"/>
      <c r="AF416" s="58"/>
      <c r="AG416" s="58"/>
      <c r="AH416" s="269"/>
      <c r="AI416" s="58"/>
      <c r="AJ416" s="58"/>
      <c r="AK416" s="58"/>
      <c r="AL416" s="58"/>
      <c r="AM416" s="58"/>
      <c r="AN416" s="59"/>
      <c r="AO416" s="58"/>
      <c r="AP416" s="58"/>
      <c r="AQ416" s="58"/>
      <c r="AR416" s="58"/>
      <c r="AS416" s="58"/>
      <c r="AT416" s="59"/>
      <c r="AU416" s="58"/>
      <c r="AV416" s="58"/>
      <c r="AW416" s="58"/>
      <c r="AX416" s="58"/>
      <c r="AY416" s="58"/>
      <c r="AZ416" s="59"/>
      <c r="BA416" s="58"/>
      <c r="BB416" s="58"/>
      <c r="BC416" s="58"/>
      <c r="BD416" s="58"/>
      <c r="BE416" s="58"/>
      <c r="BF416" s="59"/>
      <c r="BG416" s="58"/>
      <c r="BH416" s="58"/>
      <c r="BI416" s="58"/>
      <c r="BJ416" s="58"/>
      <c r="BK416" s="58"/>
      <c r="BL416" s="59"/>
      <c r="BM416" s="58"/>
      <c r="BN416" s="58"/>
      <c r="BO416" s="58"/>
      <c r="BP416" s="58"/>
      <c r="BQ416" s="58"/>
      <c r="BR416" s="58"/>
      <c r="BS416" s="58"/>
      <c r="BT416" s="58"/>
      <c r="BU416" s="58"/>
      <c r="BV416" s="58"/>
      <c r="BW416" s="58"/>
      <c r="BX416" s="58"/>
      <c r="BY416" s="58"/>
      <c r="BZ416" s="58"/>
      <c r="CA416" s="58"/>
      <c r="CB416" s="58"/>
      <c r="CC416" s="58"/>
      <c r="CD416" s="58"/>
      <c r="CE416" s="58"/>
      <c r="CF416" s="58"/>
      <c r="CG416" s="58"/>
      <c r="CH416" s="58"/>
      <c r="CI416" s="58"/>
      <c r="CJ416" s="58"/>
      <c r="CK416" s="58"/>
      <c r="CL416" s="58"/>
      <c r="CM416" s="58"/>
      <c r="CN416" s="58"/>
      <c r="CO416" s="58"/>
      <c r="CP416" s="58"/>
      <c r="CQ416" s="58"/>
      <c r="CR416" s="58"/>
      <c r="CS416" s="58"/>
      <c r="CT416" s="58"/>
      <c r="CU416" s="58"/>
    </row>
    <row r="417" spans="1:99" ht="15" thickBot="1" x14ac:dyDescent="0.4">
      <c r="A417" s="14"/>
      <c r="B417" s="14"/>
      <c r="C417" s="14"/>
      <c r="D417" s="14"/>
      <c r="E417" s="14"/>
      <c r="F417" s="14"/>
      <c r="G417" s="14"/>
      <c r="H417" s="14"/>
      <c r="I417" s="14"/>
      <c r="J417" s="41"/>
      <c r="L417" s="58"/>
      <c r="M417" s="58"/>
      <c r="N417" s="58"/>
      <c r="O417" s="58"/>
      <c r="P417" s="269"/>
      <c r="Q417" s="58"/>
      <c r="R417" s="58"/>
      <c r="S417" s="58"/>
      <c r="T417" s="58"/>
      <c r="U417" s="58"/>
      <c r="V417" s="269"/>
      <c r="W417" s="58"/>
      <c r="X417" s="58"/>
      <c r="Y417" s="58"/>
      <c r="Z417" s="58"/>
      <c r="AA417" s="58"/>
      <c r="AB417" s="269"/>
      <c r="AC417" s="58"/>
      <c r="AD417" s="58"/>
      <c r="AE417" s="58"/>
      <c r="AF417" s="58"/>
      <c r="AG417" s="58"/>
      <c r="AH417" s="269"/>
      <c r="AI417" s="58"/>
      <c r="AJ417" s="58"/>
      <c r="AK417" s="58"/>
      <c r="AL417" s="58"/>
      <c r="AM417" s="58"/>
      <c r="AN417" s="59"/>
      <c r="AO417" s="58"/>
      <c r="AP417" s="58"/>
      <c r="AQ417" s="58"/>
      <c r="AR417" s="58"/>
      <c r="AS417" s="58"/>
      <c r="AT417" s="59"/>
      <c r="AU417" s="58"/>
      <c r="AV417" s="58"/>
      <c r="AW417" s="58"/>
      <c r="AX417" s="58"/>
      <c r="AY417" s="58"/>
      <c r="AZ417" s="59"/>
      <c r="BA417" s="58"/>
      <c r="BB417" s="58"/>
      <c r="BC417" s="58"/>
      <c r="BD417" s="58"/>
      <c r="BE417" s="58"/>
      <c r="BF417" s="59"/>
      <c r="BG417" s="58"/>
      <c r="BH417" s="58"/>
      <c r="BI417" s="58"/>
      <c r="BJ417" s="58"/>
      <c r="BK417" s="58"/>
      <c r="BL417" s="59"/>
      <c r="BM417" s="58"/>
      <c r="BN417" s="58"/>
      <c r="BO417" s="58"/>
      <c r="BP417" s="58"/>
      <c r="BQ417" s="58"/>
      <c r="BR417" s="58"/>
      <c r="BS417" s="58"/>
      <c r="BT417" s="58"/>
      <c r="BU417" s="58"/>
      <c r="BV417" s="58"/>
      <c r="BW417" s="58"/>
      <c r="BX417" s="58"/>
      <c r="BY417" s="58"/>
      <c r="BZ417" s="58"/>
      <c r="CA417" s="58"/>
      <c r="CB417" s="58"/>
      <c r="CC417" s="58"/>
      <c r="CD417" s="58"/>
      <c r="CE417" s="58"/>
      <c r="CF417" s="58"/>
      <c r="CG417" s="58"/>
      <c r="CH417" s="58"/>
      <c r="CI417" s="58"/>
      <c r="CJ417" s="58"/>
      <c r="CK417" s="58"/>
      <c r="CL417" s="58"/>
      <c r="CM417" s="58"/>
      <c r="CN417" s="58"/>
      <c r="CO417" s="58"/>
      <c r="CP417" s="58"/>
      <c r="CQ417" s="58"/>
      <c r="CR417" s="58"/>
      <c r="CS417" s="58"/>
      <c r="CT417" s="58"/>
      <c r="CU417" s="58"/>
    </row>
    <row r="418" spans="1:99" ht="15" thickBot="1" x14ac:dyDescent="0.4">
      <c r="A418" s="14"/>
      <c r="B418" s="14"/>
      <c r="C418" s="14"/>
      <c r="D418" s="14"/>
      <c r="E418" s="14"/>
      <c r="F418" s="14"/>
      <c r="G418" s="14"/>
      <c r="H418" s="14"/>
      <c r="I418" s="14"/>
      <c r="J418" s="41"/>
      <c r="L418" s="58"/>
      <c r="M418" s="58"/>
      <c r="N418" s="58"/>
      <c r="O418" s="58"/>
      <c r="P418" s="269"/>
      <c r="Q418" s="58"/>
      <c r="R418" s="58"/>
      <c r="S418" s="58"/>
      <c r="T418" s="58"/>
      <c r="U418" s="58"/>
      <c r="V418" s="269"/>
      <c r="W418" s="58"/>
      <c r="X418" s="58"/>
      <c r="Y418" s="58"/>
      <c r="Z418" s="58"/>
      <c r="AA418" s="58"/>
      <c r="AB418" s="269"/>
      <c r="AC418" s="58"/>
      <c r="AD418" s="58"/>
      <c r="AE418" s="58"/>
      <c r="AF418" s="58"/>
      <c r="AG418" s="58"/>
      <c r="AH418" s="269"/>
      <c r="AI418" s="58"/>
      <c r="AJ418" s="58"/>
      <c r="AK418" s="58"/>
      <c r="AL418" s="58"/>
      <c r="AM418" s="58"/>
      <c r="AN418" s="59"/>
      <c r="AO418" s="58"/>
      <c r="AP418" s="58"/>
      <c r="AQ418" s="58"/>
      <c r="AR418" s="58"/>
      <c r="AS418" s="58"/>
      <c r="AT418" s="59"/>
      <c r="AU418" s="58"/>
      <c r="AV418" s="58"/>
      <c r="AW418" s="58"/>
      <c r="AX418" s="58"/>
      <c r="AY418" s="58"/>
      <c r="AZ418" s="59"/>
      <c r="BA418" s="58"/>
      <c r="BB418" s="58"/>
      <c r="BC418" s="58"/>
      <c r="BD418" s="58"/>
      <c r="BE418" s="58"/>
      <c r="BF418" s="59"/>
      <c r="BG418" s="58"/>
      <c r="BH418" s="58"/>
      <c r="BI418" s="58"/>
      <c r="BJ418" s="58"/>
      <c r="BK418" s="58"/>
      <c r="BL418" s="59"/>
      <c r="BM418" s="58"/>
      <c r="BN418" s="58"/>
      <c r="BO418" s="58"/>
      <c r="BP418" s="58"/>
      <c r="BQ418" s="58"/>
      <c r="BR418" s="58"/>
      <c r="BS418" s="58"/>
      <c r="BT418" s="58"/>
      <c r="BU418" s="58"/>
      <c r="BV418" s="58"/>
      <c r="BW418" s="58"/>
      <c r="BX418" s="58"/>
      <c r="BY418" s="58"/>
      <c r="BZ418" s="58"/>
      <c r="CA418" s="58"/>
      <c r="CB418" s="58"/>
      <c r="CC418" s="58"/>
      <c r="CD418" s="58"/>
      <c r="CE418" s="58"/>
      <c r="CF418" s="58"/>
      <c r="CG418" s="58"/>
      <c r="CH418" s="58"/>
      <c r="CI418" s="58"/>
      <c r="CJ418" s="58"/>
      <c r="CK418" s="58"/>
      <c r="CL418" s="58"/>
      <c r="CM418" s="58"/>
      <c r="CN418" s="58"/>
      <c r="CO418" s="58"/>
      <c r="CP418" s="58"/>
      <c r="CQ418" s="58"/>
      <c r="CR418" s="58"/>
      <c r="CS418" s="58"/>
      <c r="CT418" s="58"/>
      <c r="CU418" s="58"/>
    </row>
    <row r="419" spans="1:99" ht="15" thickBot="1" x14ac:dyDescent="0.4">
      <c r="A419" s="14"/>
      <c r="B419" s="14"/>
      <c r="C419" s="14"/>
      <c r="D419" s="14"/>
      <c r="E419" s="14"/>
      <c r="F419" s="14"/>
      <c r="G419" s="14"/>
      <c r="H419" s="14"/>
      <c r="I419" s="14"/>
      <c r="J419" s="41"/>
      <c r="L419" s="58"/>
      <c r="M419" s="58"/>
      <c r="N419" s="58"/>
      <c r="O419" s="58"/>
      <c r="P419" s="269"/>
      <c r="Q419" s="58"/>
      <c r="R419" s="58"/>
      <c r="S419" s="58"/>
      <c r="T419" s="58"/>
      <c r="U419" s="58"/>
      <c r="V419" s="269"/>
      <c r="W419" s="58"/>
      <c r="X419" s="58"/>
      <c r="Y419" s="58"/>
      <c r="Z419" s="58"/>
      <c r="AA419" s="58"/>
      <c r="AB419" s="269"/>
      <c r="AC419" s="58"/>
      <c r="AD419" s="58"/>
      <c r="AE419" s="58"/>
      <c r="AF419" s="58"/>
      <c r="AG419" s="58"/>
      <c r="AH419" s="269"/>
      <c r="AI419" s="58"/>
      <c r="AJ419" s="58"/>
      <c r="AK419" s="58"/>
      <c r="AL419" s="58"/>
      <c r="AM419" s="58"/>
      <c r="AN419" s="59"/>
      <c r="AO419" s="58"/>
      <c r="AP419" s="58"/>
      <c r="AQ419" s="58"/>
      <c r="AR419" s="58"/>
      <c r="AS419" s="58"/>
      <c r="AT419" s="59"/>
      <c r="AU419" s="58"/>
      <c r="AV419" s="58"/>
      <c r="AW419" s="58"/>
      <c r="AX419" s="58"/>
      <c r="AY419" s="58"/>
      <c r="AZ419" s="59"/>
      <c r="BA419" s="58"/>
      <c r="BB419" s="58"/>
      <c r="BC419" s="58"/>
      <c r="BD419" s="58"/>
      <c r="BE419" s="58"/>
      <c r="BF419" s="59"/>
      <c r="BG419" s="58"/>
      <c r="BH419" s="58"/>
      <c r="BI419" s="58"/>
      <c r="BJ419" s="58"/>
      <c r="BK419" s="58"/>
      <c r="BL419" s="59"/>
      <c r="BM419" s="58"/>
      <c r="BN419" s="58"/>
      <c r="BO419" s="58"/>
      <c r="BP419" s="58"/>
      <c r="BQ419" s="58"/>
      <c r="BR419" s="58"/>
      <c r="BS419" s="58"/>
      <c r="BT419" s="58"/>
      <c r="BU419" s="58"/>
      <c r="BV419" s="58"/>
      <c r="BW419" s="58"/>
      <c r="BX419" s="58"/>
      <c r="BY419" s="58"/>
      <c r="BZ419" s="58"/>
      <c r="CA419" s="58"/>
      <c r="CB419" s="58"/>
      <c r="CC419" s="58"/>
      <c r="CD419" s="58"/>
      <c r="CE419" s="58"/>
      <c r="CF419" s="58"/>
      <c r="CG419" s="58"/>
      <c r="CH419" s="58"/>
      <c r="CI419" s="58"/>
      <c r="CJ419" s="58"/>
      <c r="CK419" s="58"/>
      <c r="CL419" s="58"/>
      <c r="CM419" s="58"/>
      <c r="CN419" s="58"/>
      <c r="CO419" s="58"/>
      <c r="CP419" s="58"/>
      <c r="CQ419" s="58"/>
      <c r="CR419" s="58"/>
      <c r="CS419" s="58"/>
      <c r="CT419" s="58"/>
      <c r="CU419" s="58"/>
    </row>
    <row r="420" spans="1:99" ht="15" thickBot="1" x14ac:dyDescent="0.4">
      <c r="A420" s="14"/>
      <c r="B420" s="14"/>
      <c r="C420" s="14"/>
      <c r="D420" s="14"/>
      <c r="E420" s="14"/>
      <c r="F420" s="14"/>
      <c r="G420" s="14"/>
      <c r="H420" s="14"/>
      <c r="I420" s="14"/>
      <c r="J420" s="41"/>
      <c r="L420" s="58"/>
      <c r="M420" s="58"/>
      <c r="N420" s="58"/>
      <c r="O420" s="58"/>
      <c r="P420" s="269"/>
      <c r="Q420" s="58"/>
      <c r="R420" s="58"/>
      <c r="S420" s="58"/>
      <c r="T420" s="58"/>
      <c r="U420" s="58"/>
      <c r="V420" s="269"/>
      <c r="W420" s="58"/>
      <c r="X420" s="58"/>
      <c r="Y420" s="58"/>
      <c r="Z420" s="58"/>
      <c r="AA420" s="58"/>
      <c r="AB420" s="269"/>
      <c r="AC420" s="58"/>
      <c r="AD420" s="58"/>
      <c r="AE420" s="58"/>
      <c r="AF420" s="58"/>
      <c r="AG420" s="58"/>
      <c r="AH420" s="269"/>
      <c r="AI420" s="58"/>
      <c r="AJ420" s="58"/>
      <c r="AK420" s="58"/>
      <c r="AL420" s="58"/>
      <c r="AM420" s="58"/>
      <c r="AN420" s="59"/>
      <c r="AO420" s="58"/>
      <c r="AP420" s="58"/>
      <c r="AQ420" s="58"/>
      <c r="AR420" s="58"/>
      <c r="AS420" s="58"/>
      <c r="AT420" s="59"/>
      <c r="AU420" s="58"/>
      <c r="AV420" s="58"/>
      <c r="AW420" s="58"/>
      <c r="AX420" s="58"/>
      <c r="AY420" s="58"/>
      <c r="AZ420" s="59"/>
      <c r="BA420" s="58"/>
      <c r="BB420" s="58"/>
      <c r="BC420" s="58"/>
      <c r="BD420" s="58"/>
      <c r="BE420" s="58"/>
      <c r="BF420" s="59"/>
      <c r="BG420" s="58"/>
      <c r="BH420" s="58"/>
      <c r="BI420" s="58"/>
      <c r="BJ420" s="58"/>
      <c r="BK420" s="58"/>
      <c r="BL420" s="59"/>
      <c r="BM420" s="58"/>
      <c r="BN420" s="58"/>
      <c r="BO420" s="58"/>
      <c r="BP420" s="58"/>
      <c r="BQ420" s="58"/>
      <c r="BR420" s="58"/>
      <c r="BS420" s="58"/>
      <c r="BT420" s="58"/>
      <c r="BU420" s="58"/>
      <c r="BV420" s="58"/>
      <c r="BW420" s="58"/>
      <c r="BX420" s="58"/>
      <c r="BY420" s="58"/>
      <c r="BZ420" s="58"/>
      <c r="CA420" s="58"/>
      <c r="CB420" s="58"/>
      <c r="CC420" s="58"/>
      <c r="CD420" s="58"/>
      <c r="CE420" s="58"/>
      <c r="CF420" s="58"/>
      <c r="CG420" s="58"/>
      <c r="CH420" s="58"/>
      <c r="CI420" s="58"/>
      <c r="CJ420" s="58"/>
      <c r="CK420" s="58"/>
      <c r="CL420" s="58"/>
      <c r="CM420" s="58"/>
      <c r="CN420" s="58"/>
      <c r="CO420" s="58"/>
      <c r="CP420" s="58"/>
      <c r="CQ420" s="58"/>
      <c r="CR420" s="58"/>
      <c r="CS420" s="58"/>
      <c r="CT420" s="58"/>
      <c r="CU420" s="58"/>
    </row>
    <row r="421" spans="1:99" ht="15" thickBot="1" x14ac:dyDescent="0.4">
      <c r="A421" s="14"/>
      <c r="B421" s="14"/>
      <c r="C421" s="14"/>
      <c r="D421" s="14"/>
      <c r="E421" s="14"/>
      <c r="F421" s="14"/>
      <c r="G421" s="14"/>
      <c r="H421" s="14"/>
      <c r="I421" s="14"/>
      <c r="J421" s="41"/>
      <c r="L421" s="58"/>
      <c r="M421" s="58"/>
      <c r="N421" s="58"/>
      <c r="O421" s="58"/>
      <c r="P421" s="269"/>
      <c r="Q421" s="58"/>
      <c r="R421" s="58"/>
      <c r="S421" s="58"/>
      <c r="T421" s="58"/>
      <c r="U421" s="58"/>
      <c r="V421" s="269"/>
      <c r="W421" s="58"/>
      <c r="X421" s="58"/>
      <c r="Y421" s="58"/>
      <c r="Z421" s="58"/>
      <c r="AA421" s="58"/>
      <c r="AB421" s="269"/>
      <c r="AC421" s="58"/>
      <c r="AD421" s="58"/>
      <c r="AE421" s="58"/>
      <c r="AF421" s="58"/>
      <c r="AG421" s="58"/>
      <c r="AH421" s="269"/>
      <c r="AI421" s="58"/>
      <c r="AJ421" s="58"/>
      <c r="AK421" s="58"/>
      <c r="AL421" s="58"/>
      <c r="AM421" s="58"/>
      <c r="AN421" s="59"/>
      <c r="AO421" s="58"/>
      <c r="AP421" s="58"/>
      <c r="AQ421" s="58"/>
      <c r="AR421" s="58"/>
      <c r="AS421" s="58"/>
      <c r="AT421" s="59"/>
      <c r="AU421" s="58"/>
      <c r="AV421" s="58"/>
      <c r="AW421" s="58"/>
      <c r="AX421" s="58"/>
      <c r="AY421" s="58"/>
      <c r="AZ421" s="59"/>
      <c r="BA421" s="58"/>
      <c r="BB421" s="58"/>
      <c r="BC421" s="58"/>
      <c r="BD421" s="58"/>
      <c r="BE421" s="58"/>
      <c r="BF421" s="59"/>
      <c r="BG421" s="58"/>
      <c r="BH421" s="58"/>
      <c r="BI421" s="58"/>
      <c r="BJ421" s="58"/>
      <c r="BK421" s="58"/>
      <c r="BL421" s="59"/>
      <c r="BM421" s="58"/>
      <c r="BN421" s="58"/>
      <c r="BO421" s="58"/>
      <c r="BP421" s="58"/>
      <c r="BQ421" s="58"/>
      <c r="BR421" s="58"/>
      <c r="BS421" s="58"/>
      <c r="BT421" s="58"/>
      <c r="BU421" s="58"/>
      <c r="BV421" s="58"/>
      <c r="BW421" s="58"/>
      <c r="BX421" s="58"/>
      <c r="BY421" s="58"/>
      <c r="BZ421" s="58"/>
      <c r="CA421" s="58"/>
      <c r="CB421" s="58"/>
      <c r="CC421" s="58"/>
      <c r="CD421" s="58"/>
      <c r="CE421" s="58"/>
      <c r="CF421" s="58"/>
      <c r="CG421" s="58"/>
      <c r="CH421" s="58"/>
      <c r="CI421" s="58"/>
      <c r="CJ421" s="58"/>
      <c r="CK421" s="58"/>
      <c r="CL421" s="58"/>
      <c r="CM421" s="58"/>
      <c r="CN421" s="58"/>
      <c r="CO421" s="58"/>
      <c r="CP421" s="58"/>
      <c r="CQ421" s="58"/>
      <c r="CR421" s="58"/>
      <c r="CS421" s="58"/>
      <c r="CT421" s="58"/>
      <c r="CU421" s="58"/>
    </row>
    <row r="422" spans="1:99" ht="15" thickBot="1" x14ac:dyDescent="0.4">
      <c r="A422" s="14"/>
      <c r="B422" s="14"/>
      <c r="C422" s="14"/>
      <c r="D422" s="14"/>
      <c r="E422" s="14"/>
      <c r="F422" s="14"/>
      <c r="G422" s="14"/>
      <c r="H422" s="14"/>
      <c r="I422" s="14"/>
      <c r="J422" s="41"/>
      <c r="L422" s="58"/>
      <c r="M422" s="58"/>
      <c r="N422" s="58"/>
      <c r="O422" s="58"/>
      <c r="P422" s="269"/>
      <c r="Q422" s="58"/>
      <c r="R422" s="58"/>
      <c r="S422" s="58"/>
      <c r="T422" s="58"/>
      <c r="U422" s="58"/>
      <c r="V422" s="269"/>
      <c r="W422" s="58"/>
      <c r="X422" s="58"/>
      <c r="Y422" s="58"/>
      <c r="Z422" s="58"/>
      <c r="AA422" s="58"/>
      <c r="AB422" s="269"/>
      <c r="AC422" s="58"/>
      <c r="AD422" s="58"/>
      <c r="AE422" s="58"/>
      <c r="AF422" s="58"/>
      <c r="AG422" s="58"/>
      <c r="AH422" s="269"/>
      <c r="AI422" s="58"/>
      <c r="AJ422" s="58"/>
      <c r="AK422" s="58"/>
      <c r="AL422" s="58"/>
      <c r="AM422" s="58"/>
      <c r="AN422" s="59"/>
      <c r="AO422" s="58"/>
      <c r="AP422" s="58"/>
      <c r="AQ422" s="58"/>
      <c r="AR422" s="58"/>
      <c r="AS422" s="58"/>
      <c r="AT422" s="59"/>
      <c r="AU422" s="58"/>
      <c r="AV422" s="58"/>
      <c r="AW422" s="58"/>
      <c r="AX422" s="58"/>
      <c r="AY422" s="58"/>
      <c r="AZ422" s="59"/>
      <c r="BA422" s="58"/>
      <c r="BB422" s="58"/>
      <c r="BC422" s="58"/>
      <c r="BD422" s="58"/>
      <c r="BE422" s="58"/>
      <c r="BF422" s="59"/>
      <c r="BG422" s="58"/>
      <c r="BH422" s="58"/>
      <c r="BI422" s="58"/>
      <c r="BJ422" s="58"/>
      <c r="BK422" s="58"/>
      <c r="BL422" s="59"/>
      <c r="BM422" s="58"/>
      <c r="BN422" s="58"/>
      <c r="BO422" s="58"/>
      <c r="BP422" s="58"/>
      <c r="BQ422" s="58"/>
      <c r="BR422" s="58"/>
      <c r="BS422" s="58"/>
      <c r="BT422" s="58"/>
      <c r="BU422" s="58"/>
      <c r="BV422" s="58"/>
      <c r="BW422" s="58"/>
      <c r="BX422" s="58"/>
      <c r="BY422" s="58"/>
      <c r="BZ422" s="58"/>
      <c r="CA422" s="58"/>
      <c r="CB422" s="58"/>
      <c r="CC422" s="58"/>
      <c r="CD422" s="58"/>
      <c r="CE422" s="58"/>
      <c r="CF422" s="58"/>
      <c r="CG422" s="58"/>
      <c r="CH422" s="58"/>
      <c r="CI422" s="58"/>
      <c r="CJ422" s="58"/>
      <c r="CK422" s="58"/>
      <c r="CL422" s="58"/>
      <c r="CM422" s="58"/>
      <c r="CN422" s="58"/>
      <c r="CO422" s="58"/>
      <c r="CP422" s="58"/>
      <c r="CQ422" s="58"/>
      <c r="CR422" s="58"/>
      <c r="CS422" s="58"/>
      <c r="CT422" s="58"/>
      <c r="CU422" s="58"/>
    </row>
    <row r="423" spans="1:99" ht="15" thickBot="1" x14ac:dyDescent="0.4">
      <c r="A423" s="14"/>
      <c r="B423" s="14"/>
      <c r="C423" s="14"/>
      <c r="D423" s="14"/>
      <c r="E423" s="14"/>
      <c r="F423" s="14"/>
      <c r="G423" s="14"/>
      <c r="H423" s="14"/>
      <c r="I423" s="14"/>
      <c r="J423" s="41"/>
      <c r="L423" s="58"/>
      <c r="M423" s="58"/>
      <c r="N423" s="58"/>
      <c r="O423" s="58"/>
      <c r="P423" s="269"/>
      <c r="Q423" s="58"/>
      <c r="R423" s="58"/>
      <c r="S423" s="58"/>
      <c r="T423" s="58"/>
      <c r="U423" s="58"/>
      <c r="V423" s="269"/>
      <c r="W423" s="58"/>
      <c r="X423" s="58"/>
      <c r="Y423" s="58"/>
      <c r="Z423" s="58"/>
      <c r="AA423" s="58"/>
      <c r="AB423" s="269"/>
      <c r="AC423" s="58"/>
      <c r="AD423" s="58"/>
      <c r="AE423" s="58"/>
      <c r="AF423" s="58"/>
      <c r="AG423" s="58"/>
      <c r="AH423" s="269"/>
      <c r="AI423" s="58"/>
      <c r="AJ423" s="58"/>
      <c r="AK423" s="58"/>
      <c r="AL423" s="58"/>
      <c r="AM423" s="58"/>
      <c r="AN423" s="59"/>
      <c r="AO423" s="58"/>
      <c r="AP423" s="58"/>
      <c r="AQ423" s="58"/>
      <c r="AR423" s="58"/>
      <c r="AS423" s="58"/>
      <c r="AT423" s="59"/>
      <c r="AU423" s="58"/>
      <c r="AV423" s="58"/>
      <c r="AW423" s="58"/>
      <c r="AX423" s="58"/>
      <c r="AY423" s="58"/>
      <c r="AZ423" s="59"/>
      <c r="BA423" s="58"/>
      <c r="BB423" s="58"/>
      <c r="BC423" s="58"/>
      <c r="BD423" s="58"/>
      <c r="BE423" s="58"/>
      <c r="BF423" s="59"/>
      <c r="BG423" s="58"/>
      <c r="BH423" s="58"/>
      <c r="BI423" s="58"/>
      <c r="BJ423" s="58"/>
      <c r="BK423" s="58"/>
      <c r="BL423" s="59"/>
      <c r="BM423" s="58"/>
      <c r="BN423" s="58"/>
      <c r="BO423" s="58"/>
      <c r="BP423" s="58"/>
      <c r="BQ423" s="58"/>
      <c r="BR423" s="58"/>
      <c r="BS423" s="58"/>
      <c r="BT423" s="58"/>
      <c r="BU423" s="58"/>
      <c r="BV423" s="58"/>
      <c r="BW423" s="58"/>
      <c r="BX423" s="58"/>
      <c r="BY423" s="58"/>
      <c r="BZ423" s="58"/>
      <c r="CA423" s="58"/>
      <c r="CB423" s="58"/>
      <c r="CC423" s="58"/>
      <c r="CD423" s="58"/>
      <c r="CE423" s="58"/>
      <c r="CF423" s="58"/>
      <c r="CG423" s="58"/>
      <c r="CH423" s="58"/>
      <c r="CI423" s="58"/>
      <c r="CJ423" s="58"/>
      <c r="CK423" s="58"/>
      <c r="CL423" s="58"/>
      <c r="CM423" s="58"/>
      <c r="CN423" s="58"/>
      <c r="CO423" s="58"/>
      <c r="CP423" s="58"/>
      <c r="CQ423" s="58"/>
      <c r="CR423" s="58"/>
      <c r="CS423" s="58"/>
      <c r="CT423" s="58"/>
      <c r="CU423" s="58"/>
    </row>
    <row r="424" spans="1:99" ht="15" thickBot="1" x14ac:dyDescent="0.4">
      <c r="A424" s="14"/>
      <c r="B424" s="14"/>
      <c r="C424" s="14"/>
      <c r="D424" s="14"/>
      <c r="E424" s="14"/>
      <c r="F424" s="14"/>
      <c r="G424" s="14"/>
      <c r="H424" s="14"/>
      <c r="I424" s="14"/>
      <c r="J424" s="41"/>
      <c r="L424" s="58"/>
      <c r="M424" s="58"/>
      <c r="N424" s="58"/>
      <c r="O424" s="58"/>
      <c r="P424" s="269"/>
      <c r="Q424" s="58"/>
      <c r="R424" s="58"/>
      <c r="S424" s="58"/>
      <c r="T424" s="58"/>
      <c r="U424" s="58"/>
      <c r="V424" s="269"/>
      <c r="W424" s="58"/>
      <c r="X424" s="58"/>
      <c r="Y424" s="58"/>
      <c r="Z424" s="58"/>
      <c r="AA424" s="58"/>
      <c r="AB424" s="269"/>
      <c r="AC424" s="58"/>
      <c r="AD424" s="58"/>
      <c r="AE424" s="58"/>
      <c r="AF424" s="58"/>
      <c r="AG424" s="58"/>
      <c r="AH424" s="269"/>
      <c r="AI424" s="58"/>
      <c r="AJ424" s="58"/>
      <c r="AK424" s="58"/>
      <c r="AL424" s="58"/>
      <c r="AM424" s="58"/>
      <c r="AN424" s="59"/>
      <c r="AO424" s="58"/>
      <c r="AP424" s="58"/>
      <c r="AQ424" s="58"/>
      <c r="AR424" s="58"/>
      <c r="AS424" s="58"/>
      <c r="AT424" s="59"/>
      <c r="AU424" s="58"/>
      <c r="AV424" s="58"/>
      <c r="AW424" s="58"/>
      <c r="AX424" s="58"/>
      <c r="AY424" s="58"/>
      <c r="AZ424" s="59"/>
      <c r="BA424" s="58"/>
      <c r="BB424" s="58"/>
      <c r="BC424" s="58"/>
      <c r="BD424" s="58"/>
      <c r="BE424" s="58"/>
      <c r="BF424" s="59"/>
      <c r="BG424" s="58"/>
      <c r="BH424" s="58"/>
      <c r="BI424" s="58"/>
      <c r="BJ424" s="58"/>
      <c r="BK424" s="58"/>
      <c r="BL424" s="59"/>
      <c r="BM424" s="58"/>
      <c r="BN424" s="58"/>
      <c r="BO424" s="58"/>
      <c r="BP424" s="58"/>
      <c r="BQ424" s="58"/>
      <c r="BR424" s="58"/>
      <c r="BS424" s="58"/>
      <c r="BT424" s="58"/>
      <c r="BU424" s="58"/>
      <c r="BV424" s="58"/>
      <c r="BW424" s="58"/>
      <c r="BX424" s="58"/>
      <c r="BY424" s="58"/>
      <c r="BZ424" s="58"/>
      <c r="CA424" s="58"/>
      <c r="CB424" s="58"/>
      <c r="CC424" s="58"/>
      <c r="CD424" s="58"/>
      <c r="CE424" s="58"/>
      <c r="CF424" s="58"/>
      <c r="CG424" s="58"/>
      <c r="CH424" s="58"/>
      <c r="CI424" s="58"/>
      <c r="CJ424" s="58"/>
      <c r="CK424" s="58"/>
      <c r="CL424" s="58"/>
      <c r="CM424" s="58"/>
      <c r="CN424" s="58"/>
      <c r="CO424" s="58"/>
      <c r="CP424" s="58"/>
      <c r="CQ424" s="58"/>
      <c r="CR424" s="58"/>
      <c r="CS424" s="58"/>
      <c r="CT424" s="58"/>
      <c r="CU424" s="58"/>
    </row>
    <row r="425" spans="1:99" ht="15" thickBot="1" x14ac:dyDescent="0.4">
      <c r="A425" s="14"/>
      <c r="B425" s="14"/>
      <c r="C425" s="14"/>
      <c r="D425" s="14"/>
      <c r="E425" s="14"/>
      <c r="F425" s="14"/>
      <c r="G425" s="14"/>
      <c r="H425" s="14"/>
      <c r="I425" s="14"/>
      <c r="J425" s="41"/>
      <c r="L425" s="58"/>
      <c r="M425" s="58"/>
      <c r="N425" s="58"/>
      <c r="O425" s="58"/>
      <c r="P425" s="269"/>
      <c r="Q425" s="58"/>
      <c r="R425" s="58"/>
      <c r="S425" s="58"/>
      <c r="T425" s="58"/>
      <c r="U425" s="58"/>
      <c r="V425" s="269"/>
      <c r="W425" s="58"/>
      <c r="X425" s="58"/>
      <c r="Y425" s="58"/>
      <c r="Z425" s="58"/>
      <c r="AA425" s="58"/>
      <c r="AB425" s="269"/>
      <c r="AC425" s="58"/>
      <c r="AD425" s="58"/>
      <c r="AE425" s="58"/>
      <c r="AF425" s="58"/>
      <c r="AG425" s="58"/>
      <c r="AH425" s="269"/>
      <c r="AI425" s="58"/>
      <c r="AJ425" s="58"/>
      <c r="AK425" s="58"/>
      <c r="AL425" s="58"/>
      <c r="AM425" s="58"/>
      <c r="AN425" s="59"/>
      <c r="AO425" s="58"/>
      <c r="AP425" s="58"/>
      <c r="AQ425" s="58"/>
      <c r="AR425" s="58"/>
      <c r="AS425" s="58"/>
      <c r="AT425" s="59"/>
      <c r="AU425" s="58"/>
      <c r="AV425" s="58"/>
      <c r="AW425" s="58"/>
      <c r="AX425" s="58"/>
      <c r="AY425" s="58"/>
      <c r="AZ425" s="59"/>
      <c r="BA425" s="58"/>
      <c r="BB425" s="58"/>
      <c r="BC425" s="58"/>
      <c r="BD425" s="58"/>
      <c r="BE425" s="58"/>
      <c r="BF425" s="59"/>
      <c r="BG425" s="58"/>
      <c r="BH425" s="58"/>
      <c r="BI425" s="58"/>
      <c r="BJ425" s="58"/>
      <c r="BK425" s="58"/>
      <c r="BL425" s="59"/>
      <c r="BM425" s="58"/>
      <c r="BN425" s="58"/>
      <c r="BO425" s="58"/>
      <c r="BP425" s="58"/>
      <c r="BQ425" s="58"/>
      <c r="BR425" s="58"/>
      <c r="BS425" s="58"/>
      <c r="BT425" s="58"/>
      <c r="BU425" s="58"/>
      <c r="BV425" s="58"/>
      <c r="BW425" s="58"/>
      <c r="BX425" s="58"/>
      <c r="BY425" s="58"/>
      <c r="BZ425" s="58"/>
      <c r="CA425" s="58"/>
      <c r="CB425" s="58"/>
      <c r="CC425" s="58"/>
      <c r="CD425" s="58"/>
      <c r="CE425" s="58"/>
      <c r="CF425" s="58"/>
      <c r="CG425" s="58"/>
      <c r="CH425" s="58"/>
      <c r="CI425" s="58"/>
      <c r="CJ425" s="58"/>
      <c r="CK425" s="58"/>
      <c r="CL425" s="58"/>
      <c r="CM425" s="58"/>
      <c r="CN425" s="58"/>
      <c r="CO425" s="58"/>
      <c r="CP425" s="58"/>
      <c r="CQ425" s="58"/>
      <c r="CR425" s="58"/>
      <c r="CS425" s="58"/>
      <c r="CT425" s="58"/>
      <c r="CU425" s="58"/>
    </row>
    <row r="426" spans="1:99" ht="15" thickBot="1" x14ac:dyDescent="0.4">
      <c r="A426" s="14"/>
      <c r="B426" s="14"/>
      <c r="C426" s="14"/>
      <c r="D426" s="14"/>
      <c r="E426" s="14"/>
      <c r="F426" s="14"/>
      <c r="G426" s="14"/>
      <c r="H426" s="14"/>
      <c r="I426" s="14"/>
      <c r="J426" s="41"/>
      <c r="L426" s="58"/>
      <c r="M426" s="58"/>
      <c r="N426" s="58"/>
      <c r="O426" s="58"/>
      <c r="P426" s="269"/>
      <c r="Q426" s="58"/>
      <c r="R426" s="58"/>
      <c r="S426" s="58"/>
      <c r="T426" s="58"/>
      <c r="U426" s="58"/>
      <c r="V426" s="269"/>
      <c r="W426" s="58"/>
      <c r="X426" s="58"/>
      <c r="Y426" s="58"/>
      <c r="Z426" s="58"/>
      <c r="AA426" s="58"/>
      <c r="AB426" s="269"/>
      <c r="AC426" s="58"/>
      <c r="AD426" s="58"/>
      <c r="AE426" s="58"/>
      <c r="AF426" s="58"/>
      <c r="AG426" s="58"/>
      <c r="AH426" s="269"/>
      <c r="AI426" s="58"/>
      <c r="AJ426" s="58"/>
      <c r="AK426" s="58"/>
      <c r="AL426" s="58"/>
      <c r="AM426" s="58"/>
      <c r="AN426" s="59"/>
      <c r="AO426" s="58"/>
      <c r="AP426" s="58"/>
      <c r="AQ426" s="58"/>
      <c r="AR426" s="58"/>
      <c r="AS426" s="58"/>
      <c r="AT426" s="59"/>
      <c r="AU426" s="58"/>
      <c r="AV426" s="58"/>
      <c r="AW426" s="58"/>
      <c r="AX426" s="58"/>
      <c r="AY426" s="58"/>
      <c r="AZ426" s="59"/>
      <c r="BA426" s="58"/>
      <c r="BB426" s="58"/>
      <c r="BC426" s="58"/>
      <c r="BD426" s="58"/>
      <c r="BE426" s="58"/>
      <c r="BF426" s="59"/>
      <c r="BG426" s="58"/>
      <c r="BH426" s="58"/>
      <c r="BI426" s="58"/>
      <c r="BJ426" s="58"/>
      <c r="BK426" s="58"/>
      <c r="BL426" s="59"/>
      <c r="BM426" s="58"/>
      <c r="BN426" s="58"/>
      <c r="BO426" s="58"/>
      <c r="BP426" s="58"/>
      <c r="BQ426" s="58"/>
      <c r="BR426" s="58"/>
      <c r="BS426" s="58"/>
      <c r="BT426" s="58"/>
      <c r="BU426" s="58"/>
      <c r="BV426" s="58"/>
      <c r="BW426" s="58"/>
      <c r="BX426" s="58"/>
      <c r="BY426" s="58"/>
      <c r="BZ426" s="58"/>
      <c r="CA426" s="58"/>
      <c r="CB426" s="58"/>
      <c r="CC426" s="58"/>
      <c r="CD426" s="58"/>
      <c r="CE426" s="58"/>
      <c r="CF426" s="58"/>
      <c r="CG426" s="58"/>
      <c r="CH426" s="58"/>
      <c r="CI426" s="58"/>
      <c r="CJ426" s="58"/>
      <c r="CK426" s="58"/>
      <c r="CL426" s="58"/>
      <c r="CM426" s="58"/>
      <c r="CN426" s="58"/>
      <c r="CO426" s="58"/>
      <c r="CP426" s="58"/>
      <c r="CQ426" s="58"/>
      <c r="CR426" s="58"/>
      <c r="CS426" s="58"/>
      <c r="CT426" s="58"/>
      <c r="CU426" s="58"/>
    </row>
    <row r="427" spans="1:99" ht="15" thickBot="1" x14ac:dyDescent="0.4">
      <c r="A427" s="14"/>
      <c r="B427" s="14"/>
      <c r="C427" s="14"/>
      <c r="D427" s="14"/>
      <c r="E427" s="14"/>
      <c r="F427" s="14"/>
      <c r="G427" s="14"/>
      <c r="H427" s="14"/>
      <c r="I427" s="14"/>
      <c r="J427" s="41"/>
      <c r="L427" s="58"/>
      <c r="M427" s="58"/>
      <c r="N427" s="58"/>
      <c r="O427" s="58"/>
      <c r="P427" s="269"/>
      <c r="Q427" s="58"/>
      <c r="R427" s="58"/>
      <c r="S427" s="58"/>
      <c r="T427" s="58"/>
      <c r="U427" s="58"/>
      <c r="V427" s="269"/>
      <c r="W427" s="58"/>
      <c r="X427" s="58"/>
      <c r="Y427" s="58"/>
      <c r="Z427" s="58"/>
      <c r="AA427" s="58"/>
      <c r="AB427" s="269"/>
      <c r="AC427" s="58"/>
      <c r="AD427" s="58"/>
      <c r="AE427" s="58"/>
      <c r="AF427" s="58"/>
      <c r="AG427" s="58"/>
      <c r="AH427" s="269"/>
      <c r="AI427" s="58"/>
      <c r="AJ427" s="58"/>
      <c r="AK427" s="58"/>
      <c r="AL427" s="58"/>
      <c r="AM427" s="58"/>
      <c r="AN427" s="59"/>
      <c r="AO427" s="58"/>
      <c r="AP427" s="58"/>
      <c r="AQ427" s="58"/>
      <c r="AR427" s="58"/>
      <c r="AS427" s="58"/>
      <c r="AT427" s="59"/>
      <c r="AU427" s="58"/>
      <c r="AV427" s="58"/>
      <c r="AW427" s="58"/>
      <c r="AX427" s="58"/>
      <c r="AY427" s="58"/>
      <c r="AZ427" s="59"/>
      <c r="BA427" s="58"/>
      <c r="BB427" s="58"/>
      <c r="BC427" s="58"/>
      <c r="BD427" s="58"/>
      <c r="BE427" s="58"/>
      <c r="BF427" s="59"/>
      <c r="BG427" s="58"/>
      <c r="BH427" s="58"/>
      <c r="BI427" s="58"/>
      <c r="BJ427" s="58"/>
      <c r="BK427" s="58"/>
      <c r="BL427" s="59"/>
      <c r="BM427" s="58"/>
      <c r="BN427" s="58"/>
      <c r="BO427" s="58"/>
      <c r="BP427" s="58"/>
      <c r="BQ427" s="58"/>
      <c r="BR427" s="58"/>
      <c r="BS427" s="58"/>
      <c r="BT427" s="58"/>
      <c r="BU427" s="58"/>
      <c r="BV427" s="58"/>
      <c r="BW427" s="58"/>
      <c r="BX427" s="58"/>
      <c r="BY427" s="58"/>
      <c r="BZ427" s="58"/>
      <c r="CA427" s="58"/>
      <c r="CB427" s="58"/>
      <c r="CC427" s="58"/>
      <c r="CD427" s="58"/>
      <c r="CE427" s="58"/>
      <c r="CF427" s="58"/>
      <c r="CG427" s="58"/>
      <c r="CH427" s="58"/>
      <c r="CI427" s="58"/>
      <c r="CJ427" s="58"/>
      <c r="CK427" s="58"/>
      <c r="CL427" s="58"/>
      <c r="CM427" s="58"/>
      <c r="CN427" s="58"/>
      <c r="CO427" s="58"/>
      <c r="CP427" s="58"/>
      <c r="CQ427" s="58"/>
      <c r="CR427" s="58"/>
      <c r="CS427" s="58"/>
      <c r="CT427" s="58"/>
      <c r="CU427" s="58"/>
    </row>
    <row r="428" spans="1:99" ht="15" thickBot="1" x14ac:dyDescent="0.4">
      <c r="A428" s="14"/>
      <c r="B428" s="14"/>
      <c r="C428" s="14"/>
      <c r="D428" s="14"/>
      <c r="E428" s="14"/>
      <c r="F428" s="14"/>
      <c r="G428" s="14"/>
      <c r="H428" s="14"/>
      <c r="I428" s="14"/>
      <c r="J428" s="41"/>
      <c r="L428" s="58"/>
      <c r="M428" s="58"/>
      <c r="N428" s="58"/>
      <c r="O428" s="58"/>
      <c r="P428" s="269"/>
      <c r="Q428" s="58"/>
      <c r="R428" s="58"/>
      <c r="S428" s="58"/>
      <c r="T428" s="58"/>
      <c r="U428" s="58"/>
      <c r="V428" s="269"/>
      <c r="W428" s="58"/>
      <c r="X428" s="58"/>
      <c r="Y428" s="58"/>
      <c r="Z428" s="58"/>
      <c r="AA428" s="58"/>
      <c r="AB428" s="269"/>
      <c r="AC428" s="58"/>
      <c r="AD428" s="58"/>
      <c r="AE428" s="58"/>
      <c r="AF428" s="58"/>
      <c r="AG428" s="58"/>
      <c r="AH428" s="269"/>
      <c r="AI428" s="58"/>
      <c r="AJ428" s="58"/>
      <c r="AK428" s="58"/>
      <c r="AL428" s="58"/>
      <c r="AM428" s="58"/>
      <c r="AN428" s="59"/>
      <c r="AO428" s="58"/>
      <c r="AP428" s="58"/>
      <c r="AQ428" s="58"/>
      <c r="AR428" s="58"/>
      <c r="AS428" s="58"/>
      <c r="AT428" s="59"/>
      <c r="AU428" s="58"/>
      <c r="AV428" s="58"/>
      <c r="AW428" s="58"/>
      <c r="AX428" s="58"/>
      <c r="AY428" s="58"/>
      <c r="AZ428" s="59"/>
      <c r="BA428" s="58"/>
      <c r="BB428" s="58"/>
      <c r="BC428" s="58"/>
      <c r="BD428" s="58"/>
      <c r="BE428" s="58"/>
      <c r="BF428" s="59"/>
      <c r="BG428" s="58"/>
      <c r="BH428" s="58"/>
      <c r="BI428" s="58"/>
      <c r="BJ428" s="58"/>
      <c r="BK428" s="58"/>
      <c r="BL428" s="59"/>
      <c r="BM428" s="58"/>
      <c r="BN428" s="58"/>
      <c r="BO428" s="58"/>
      <c r="BP428" s="58"/>
      <c r="BQ428" s="58"/>
      <c r="BR428" s="58"/>
      <c r="BS428" s="58"/>
      <c r="BT428" s="58"/>
      <c r="BU428" s="58"/>
      <c r="BV428" s="58"/>
      <c r="BW428" s="58"/>
      <c r="BX428" s="58"/>
      <c r="BY428" s="58"/>
      <c r="BZ428" s="58"/>
      <c r="CA428" s="58"/>
      <c r="CB428" s="58"/>
      <c r="CC428" s="58"/>
      <c r="CD428" s="58"/>
      <c r="CE428" s="58"/>
      <c r="CF428" s="58"/>
      <c r="CG428" s="58"/>
      <c r="CH428" s="58"/>
      <c r="CI428" s="58"/>
      <c r="CJ428" s="58"/>
      <c r="CK428" s="58"/>
      <c r="CL428" s="58"/>
      <c r="CM428" s="58"/>
      <c r="CN428" s="58"/>
      <c r="CO428" s="58"/>
      <c r="CP428" s="58"/>
      <c r="CQ428" s="58"/>
      <c r="CR428" s="58"/>
      <c r="CS428" s="58"/>
      <c r="CT428" s="58"/>
      <c r="CU428" s="58"/>
    </row>
    <row r="429" spans="1:99" ht="15" thickBot="1" x14ac:dyDescent="0.4">
      <c r="A429" s="14"/>
      <c r="B429" s="14"/>
      <c r="C429" s="14"/>
      <c r="D429" s="14"/>
      <c r="E429" s="14"/>
      <c r="F429" s="14"/>
      <c r="G429" s="14"/>
      <c r="H429" s="14"/>
      <c r="I429" s="14"/>
      <c r="J429" s="41"/>
      <c r="L429" s="58"/>
      <c r="M429" s="58"/>
      <c r="N429" s="58"/>
      <c r="O429" s="58"/>
      <c r="P429" s="269"/>
      <c r="Q429" s="58"/>
      <c r="R429" s="58"/>
      <c r="S429" s="58"/>
      <c r="T429" s="58"/>
      <c r="U429" s="58"/>
      <c r="V429" s="269"/>
      <c r="W429" s="58"/>
      <c r="X429" s="58"/>
      <c r="Y429" s="58"/>
      <c r="Z429" s="58"/>
      <c r="AA429" s="58"/>
      <c r="AB429" s="269"/>
      <c r="AC429" s="58"/>
      <c r="AD429" s="58"/>
      <c r="AE429" s="58"/>
      <c r="AF429" s="58"/>
      <c r="AG429" s="58"/>
      <c r="AH429" s="269"/>
      <c r="AI429" s="58"/>
      <c r="AJ429" s="58"/>
      <c r="AK429" s="58"/>
      <c r="AL429" s="58"/>
      <c r="AM429" s="58"/>
      <c r="AN429" s="59"/>
      <c r="AO429" s="58"/>
      <c r="AP429" s="58"/>
      <c r="AQ429" s="58"/>
      <c r="AR429" s="58"/>
      <c r="AS429" s="58"/>
      <c r="AT429" s="59"/>
      <c r="AU429" s="58"/>
      <c r="AV429" s="58"/>
      <c r="AW429" s="58"/>
      <c r="AX429" s="58"/>
      <c r="AY429" s="58"/>
      <c r="AZ429" s="59"/>
      <c r="BA429" s="58"/>
      <c r="BB429" s="58"/>
      <c r="BC429" s="58"/>
      <c r="BD429" s="58"/>
      <c r="BE429" s="58"/>
      <c r="BF429" s="59"/>
      <c r="BG429" s="58"/>
      <c r="BH429" s="58"/>
      <c r="BI429" s="58"/>
      <c r="BJ429" s="58"/>
      <c r="BK429" s="58"/>
      <c r="BL429" s="59"/>
      <c r="BM429" s="58"/>
      <c r="BN429" s="58"/>
      <c r="BO429" s="58"/>
      <c r="BP429" s="58"/>
      <c r="BQ429" s="58"/>
      <c r="BR429" s="58"/>
      <c r="BS429" s="58"/>
      <c r="BT429" s="58"/>
      <c r="BU429" s="58"/>
      <c r="BV429" s="58"/>
      <c r="BW429" s="58"/>
      <c r="BX429" s="58"/>
      <c r="BY429" s="58"/>
      <c r="BZ429" s="58"/>
      <c r="CA429" s="58"/>
      <c r="CB429" s="58"/>
      <c r="CC429" s="58"/>
      <c r="CD429" s="58"/>
      <c r="CE429" s="58"/>
      <c r="CF429" s="58"/>
      <c r="CG429" s="58"/>
      <c r="CH429" s="58"/>
      <c r="CI429" s="58"/>
      <c r="CJ429" s="58"/>
      <c r="CK429" s="58"/>
      <c r="CL429" s="58"/>
      <c r="CM429" s="58"/>
      <c r="CN429" s="58"/>
      <c r="CO429" s="58"/>
      <c r="CP429" s="58"/>
      <c r="CQ429" s="58"/>
      <c r="CR429" s="58"/>
      <c r="CS429" s="58"/>
      <c r="CT429" s="58"/>
      <c r="CU429" s="58"/>
    </row>
    <row r="430" spans="1:99" ht="15" thickBot="1" x14ac:dyDescent="0.4">
      <c r="A430" s="14"/>
      <c r="B430" s="14"/>
      <c r="C430" s="14"/>
      <c r="D430" s="14"/>
      <c r="E430" s="14"/>
      <c r="F430" s="14"/>
      <c r="G430" s="14"/>
      <c r="H430" s="14"/>
      <c r="I430" s="14"/>
      <c r="J430" s="41"/>
      <c r="L430" s="58"/>
      <c r="M430" s="58"/>
      <c r="N430" s="58"/>
      <c r="O430" s="58"/>
      <c r="P430" s="269"/>
      <c r="Q430" s="58"/>
      <c r="R430" s="58"/>
      <c r="S430" s="58"/>
      <c r="T430" s="58"/>
      <c r="U430" s="58"/>
      <c r="V430" s="269"/>
      <c r="W430" s="58"/>
      <c r="X430" s="58"/>
      <c r="Y430" s="58"/>
      <c r="Z430" s="58"/>
      <c r="AA430" s="58"/>
      <c r="AB430" s="269"/>
      <c r="AC430" s="58"/>
      <c r="AD430" s="58"/>
      <c r="AE430" s="58"/>
      <c r="AF430" s="58"/>
      <c r="AG430" s="58"/>
      <c r="AH430" s="269"/>
      <c r="AI430" s="58"/>
      <c r="AJ430" s="58"/>
      <c r="AK430" s="58"/>
      <c r="AL430" s="58"/>
      <c r="AM430" s="58"/>
      <c r="AN430" s="59"/>
      <c r="AO430" s="58"/>
      <c r="AP430" s="58"/>
      <c r="AQ430" s="58"/>
      <c r="AR430" s="58"/>
      <c r="AS430" s="58"/>
      <c r="AT430" s="59"/>
      <c r="AU430" s="58"/>
      <c r="AV430" s="58"/>
      <c r="AW430" s="58"/>
      <c r="AX430" s="58"/>
      <c r="AY430" s="58"/>
      <c r="AZ430" s="59"/>
      <c r="BA430" s="58"/>
      <c r="BB430" s="58"/>
      <c r="BC430" s="58"/>
      <c r="BD430" s="58"/>
      <c r="BE430" s="58"/>
      <c r="BF430" s="59"/>
      <c r="BG430" s="58"/>
      <c r="BH430" s="58"/>
      <c r="BI430" s="58"/>
      <c r="BJ430" s="58"/>
      <c r="BK430" s="58"/>
      <c r="BL430" s="59"/>
      <c r="BM430" s="58"/>
      <c r="BN430" s="58"/>
      <c r="BO430" s="58"/>
      <c r="BP430" s="58"/>
      <c r="BQ430" s="58"/>
      <c r="BR430" s="58"/>
      <c r="BS430" s="58"/>
      <c r="BT430" s="58"/>
      <c r="BU430" s="58"/>
      <c r="BV430" s="58"/>
      <c r="BW430" s="58"/>
      <c r="BX430" s="58"/>
      <c r="BY430" s="58"/>
      <c r="BZ430" s="58"/>
      <c r="CA430" s="58"/>
      <c r="CB430" s="58"/>
      <c r="CC430" s="58"/>
      <c r="CD430" s="58"/>
      <c r="CE430" s="58"/>
      <c r="CF430" s="58"/>
      <c r="CG430" s="58"/>
      <c r="CH430" s="58"/>
      <c r="CI430" s="58"/>
      <c r="CJ430" s="58"/>
      <c r="CK430" s="58"/>
      <c r="CL430" s="58"/>
      <c r="CM430" s="58"/>
      <c r="CN430" s="58"/>
      <c r="CO430" s="58"/>
      <c r="CP430" s="58"/>
      <c r="CQ430" s="58"/>
      <c r="CR430" s="58"/>
      <c r="CS430" s="58"/>
      <c r="CT430" s="58"/>
      <c r="CU430" s="58"/>
    </row>
    <row r="431" spans="1:99" ht="15" thickBot="1" x14ac:dyDescent="0.4">
      <c r="A431" s="14"/>
      <c r="B431" s="14"/>
      <c r="C431" s="14"/>
      <c r="D431" s="14"/>
      <c r="E431" s="14"/>
      <c r="F431" s="14"/>
      <c r="G431" s="14"/>
      <c r="H431" s="14"/>
      <c r="I431" s="14"/>
      <c r="J431" s="41"/>
      <c r="L431" s="58"/>
      <c r="M431" s="58"/>
      <c r="N431" s="58"/>
      <c r="O431" s="58"/>
      <c r="P431" s="269"/>
      <c r="Q431" s="58"/>
      <c r="R431" s="58"/>
      <c r="S431" s="58"/>
      <c r="T431" s="58"/>
      <c r="U431" s="58"/>
      <c r="V431" s="269"/>
      <c r="W431" s="58"/>
      <c r="X431" s="58"/>
      <c r="Y431" s="58"/>
      <c r="Z431" s="58"/>
      <c r="AA431" s="58"/>
      <c r="AB431" s="269"/>
      <c r="AC431" s="58"/>
      <c r="AD431" s="58"/>
      <c r="AE431" s="58"/>
      <c r="AF431" s="58"/>
      <c r="AG431" s="58"/>
      <c r="AH431" s="269"/>
      <c r="AI431" s="58"/>
      <c r="AJ431" s="58"/>
      <c r="AK431" s="58"/>
      <c r="AL431" s="58"/>
      <c r="AM431" s="58"/>
      <c r="AN431" s="59"/>
      <c r="AO431" s="58"/>
      <c r="AP431" s="58"/>
      <c r="AQ431" s="58"/>
      <c r="AR431" s="58"/>
      <c r="AS431" s="58"/>
      <c r="AT431" s="59"/>
      <c r="AU431" s="58"/>
      <c r="AV431" s="58"/>
      <c r="AW431" s="58"/>
      <c r="AX431" s="58"/>
      <c r="AY431" s="58"/>
      <c r="AZ431" s="59"/>
      <c r="BA431" s="58"/>
      <c r="BB431" s="58"/>
      <c r="BC431" s="58"/>
      <c r="BD431" s="58"/>
      <c r="BE431" s="58"/>
      <c r="BF431" s="59"/>
      <c r="BG431" s="58"/>
      <c r="BH431" s="58"/>
      <c r="BI431" s="58"/>
      <c r="BJ431" s="58"/>
      <c r="BK431" s="58"/>
      <c r="BL431" s="59"/>
      <c r="BM431" s="58"/>
      <c r="BN431" s="58"/>
      <c r="BO431" s="58"/>
      <c r="BP431" s="58"/>
      <c r="BQ431" s="58"/>
      <c r="BR431" s="58"/>
      <c r="BS431" s="58"/>
      <c r="BT431" s="58"/>
      <c r="BU431" s="58"/>
      <c r="BV431" s="58"/>
      <c r="BW431" s="58"/>
      <c r="BX431" s="58"/>
      <c r="BY431" s="58"/>
      <c r="BZ431" s="58"/>
      <c r="CA431" s="58"/>
      <c r="CB431" s="58"/>
      <c r="CC431" s="58"/>
      <c r="CD431" s="58"/>
      <c r="CE431" s="58"/>
      <c r="CF431" s="58"/>
      <c r="CG431" s="58"/>
      <c r="CH431" s="58"/>
      <c r="CI431" s="58"/>
      <c r="CJ431" s="58"/>
      <c r="CK431" s="58"/>
      <c r="CL431" s="58"/>
      <c r="CM431" s="58"/>
      <c r="CN431" s="58"/>
      <c r="CO431" s="58"/>
      <c r="CP431" s="58"/>
      <c r="CQ431" s="58"/>
      <c r="CR431" s="58"/>
      <c r="CS431" s="58"/>
      <c r="CT431" s="58"/>
      <c r="CU431" s="58"/>
    </row>
    <row r="432" spans="1:99" ht="15" thickBot="1" x14ac:dyDescent="0.4">
      <c r="A432" s="14"/>
      <c r="B432" s="14"/>
      <c r="C432" s="14"/>
      <c r="D432" s="14"/>
      <c r="E432" s="14"/>
      <c r="F432" s="14"/>
      <c r="G432" s="14"/>
      <c r="H432" s="14"/>
      <c r="I432" s="14"/>
      <c r="J432" s="41"/>
      <c r="L432" s="58"/>
      <c r="M432" s="58"/>
      <c r="N432" s="58"/>
      <c r="O432" s="58"/>
      <c r="P432" s="269"/>
      <c r="Q432" s="58"/>
      <c r="R432" s="58"/>
      <c r="S432" s="58"/>
      <c r="T432" s="58"/>
      <c r="U432" s="58"/>
      <c r="V432" s="269"/>
      <c r="W432" s="58"/>
      <c r="X432" s="58"/>
      <c r="Y432" s="58"/>
      <c r="Z432" s="58"/>
      <c r="AA432" s="58"/>
      <c r="AB432" s="269"/>
      <c r="AC432" s="58"/>
      <c r="AD432" s="58"/>
      <c r="AE432" s="58"/>
      <c r="AF432" s="58"/>
      <c r="AG432" s="58"/>
      <c r="AH432" s="269"/>
      <c r="AI432" s="58"/>
      <c r="AJ432" s="58"/>
      <c r="AK432" s="58"/>
      <c r="AL432" s="58"/>
      <c r="AM432" s="58"/>
      <c r="AN432" s="59"/>
      <c r="AO432" s="58"/>
      <c r="AP432" s="58"/>
      <c r="AQ432" s="58"/>
      <c r="AR432" s="58"/>
      <c r="AS432" s="58"/>
      <c r="AT432" s="59"/>
      <c r="AU432" s="58"/>
      <c r="AV432" s="58"/>
      <c r="AW432" s="58"/>
      <c r="AX432" s="58"/>
      <c r="AY432" s="58"/>
      <c r="AZ432" s="59"/>
      <c r="BA432" s="58"/>
      <c r="BB432" s="58"/>
      <c r="BC432" s="58"/>
      <c r="BD432" s="58"/>
      <c r="BE432" s="58"/>
      <c r="BF432" s="59"/>
      <c r="BG432" s="58"/>
      <c r="BH432" s="58"/>
      <c r="BI432" s="58"/>
      <c r="BJ432" s="58"/>
      <c r="BK432" s="58"/>
      <c r="BL432" s="59"/>
      <c r="BM432" s="58"/>
      <c r="BN432" s="58"/>
      <c r="BO432" s="58"/>
      <c r="BP432" s="58"/>
      <c r="BQ432" s="58"/>
      <c r="BR432" s="58"/>
      <c r="BS432" s="58"/>
      <c r="BT432" s="58"/>
      <c r="BU432" s="58"/>
      <c r="BV432" s="58"/>
      <c r="BW432" s="58"/>
      <c r="BX432" s="58"/>
      <c r="BY432" s="58"/>
      <c r="BZ432" s="58"/>
      <c r="CA432" s="58"/>
      <c r="CB432" s="58"/>
      <c r="CC432" s="58"/>
      <c r="CD432" s="58"/>
      <c r="CE432" s="58"/>
      <c r="CF432" s="58"/>
      <c r="CG432" s="58"/>
      <c r="CH432" s="58"/>
      <c r="CI432" s="58"/>
      <c r="CJ432" s="58"/>
      <c r="CK432" s="58"/>
      <c r="CL432" s="58"/>
      <c r="CM432" s="58"/>
      <c r="CN432" s="58"/>
      <c r="CO432" s="58"/>
      <c r="CP432" s="58"/>
      <c r="CQ432" s="58"/>
      <c r="CR432" s="58"/>
      <c r="CS432" s="58"/>
      <c r="CT432" s="58"/>
      <c r="CU432" s="58"/>
    </row>
    <row r="433" spans="1:99" ht="15" thickBot="1" x14ac:dyDescent="0.4">
      <c r="A433" s="14"/>
      <c r="B433" s="14"/>
      <c r="C433" s="14"/>
      <c r="D433" s="14"/>
      <c r="E433" s="14"/>
      <c r="F433" s="14"/>
      <c r="G433" s="14"/>
      <c r="H433" s="14"/>
      <c r="I433" s="14"/>
      <c r="J433" s="41"/>
      <c r="L433" s="58"/>
      <c r="M433" s="58"/>
      <c r="N433" s="58"/>
      <c r="O433" s="58"/>
      <c r="P433" s="269"/>
      <c r="Q433" s="58"/>
      <c r="R433" s="58"/>
      <c r="S433" s="58"/>
      <c r="T433" s="58"/>
      <c r="U433" s="58"/>
      <c r="V433" s="269"/>
      <c r="W433" s="58"/>
      <c r="X433" s="58"/>
      <c r="Y433" s="58"/>
      <c r="Z433" s="58"/>
      <c r="AA433" s="58"/>
      <c r="AB433" s="269"/>
      <c r="AC433" s="58"/>
      <c r="AD433" s="58"/>
      <c r="AE433" s="58"/>
      <c r="AF433" s="58"/>
      <c r="AG433" s="58"/>
      <c r="AH433" s="269"/>
      <c r="AI433" s="58"/>
      <c r="AJ433" s="58"/>
      <c r="AK433" s="58"/>
      <c r="AL433" s="58"/>
      <c r="AM433" s="58"/>
      <c r="AN433" s="59"/>
      <c r="AO433" s="58"/>
      <c r="AP433" s="58"/>
      <c r="AQ433" s="58"/>
      <c r="AR433" s="58"/>
      <c r="AS433" s="58"/>
      <c r="AT433" s="59"/>
      <c r="AU433" s="58"/>
      <c r="AV433" s="58"/>
      <c r="AW433" s="58"/>
      <c r="AX433" s="58"/>
      <c r="AY433" s="58"/>
      <c r="AZ433" s="59"/>
      <c r="BA433" s="58"/>
      <c r="BB433" s="58"/>
      <c r="BC433" s="58"/>
      <c r="BD433" s="58"/>
      <c r="BE433" s="58"/>
      <c r="BF433" s="59"/>
      <c r="BG433" s="58"/>
      <c r="BH433" s="58"/>
      <c r="BI433" s="58"/>
      <c r="BJ433" s="58"/>
      <c r="BK433" s="58"/>
      <c r="BL433" s="59"/>
      <c r="BM433" s="58"/>
      <c r="BN433" s="58"/>
      <c r="BO433" s="58"/>
      <c r="BP433" s="58"/>
      <c r="BQ433" s="58"/>
      <c r="BR433" s="58"/>
      <c r="BS433" s="58"/>
      <c r="BT433" s="58"/>
      <c r="BU433" s="58"/>
      <c r="BV433" s="58"/>
      <c r="BW433" s="58"/>
      <c r="BX433" s="58"/>
      <c r="BY433" s="58"/>
      <c r="BZ433" s="58"/>
      <c r="CA433" s="58"/>
      <c r="CB433" s="58"/>
      <c r="CC433" s="58"/>
      <c r="CD433" s="58"/>
      <c r="CE433" s="58"/>
      <c r="CF433" s="58"/>
      <c r="CG433" s="58"/>
      <c r="CH433" s="58"/>
      <c r="CI433" s="58"/>
      <c r="CJ433" s="58"/>
      <c r="CK433" s="58"/>
      <c r="CL433" s="58"/>
      <c r="CM433" s="58"/>
      <c r="CN433" s="58"/>
      <c r="CO433" s="58"/>
      <c r="CP433" s="58"/>
      <c r="CQ433" s="58"/>
      <c r="CR433" s="58"/>
      <c r="CS433" s="58"/>
      <c r="CT433" s="58"/>
      <c r="CU433" s="58"/>
    </row>
    <row r="434" spans="1:99" ht="15" thickBot="1" x14ac:dyDescent="0.4">
      <c r="A434" s="14"/>
      <c r="B434" s="14"/>
      <c r="C434" s="14"/>
      <c r="D434" s="14"/>
      <c r="E434" s="14"/>
      <c r="F434" s="14"/>
      <c r="G434" s="14"/>
      <c r="H434" s="14"/>
      <c r="I434" s="14"/>
      <c r="J434" s="41"/>
      <c r="L434" s="58"/>
      <c r="M434" s="58"/>
      <c r="N434" s="58"/>
      <c r="O434" s="58"/>
      <c r="P434" s="269"/>
      <c r="Q434" s="58"/>
      <c r="R434" s="58"/>
      <c r="S434" s="58"/>
      <c r="T434" s="58"/>
      <c r="U434" s="58"/>
      <c r="V434" s="269"/>
      <c r="W434" s="58"/>
      <c r="X434" s="58"/>
      <c r="Y434" s="58"/>
      <c r="Z434" s="58"/>
      <c r="AA434" s="58"/>
      <c r="AB434" s="269"/>
      <c r="AC434" s="58"/>
      <c r="AD434" s="58"/>
      <c r="AE434" s="58"/>
      <c r="AF434" s="58"/>
      <c r="AG434" s="58"/>
      <c r="AH434" s="269"/>
      <c r="AI434" s="58"/>
      <c r="AJ434" s="58"/>
      <c r="AK434" s="58"/>
      <c r="AL434" s="58"/>
      <c r="AM434" s="58"/>
      <c r="AN434" s="59"/>
      <c r="AO434" s="58"/>
      <c r="AP434" s="58"/>
      <c r="AQ434" s="58"/>
      <c r="AR434" s="58"/>
      <c r="AS434" s="58"/>
      <c r="AT434" s="59"/>
      <c r="AU434" s="58"/>
      <c r="AV434" s="58"/>
      <c r="AW434" s="58"/>
      <c r="AX434" s="58"/>
      <c r="AY434" s="58"/>
      <c r="AZ434" s="59"/>
      <c r="BA434" s="58"/>
      <c r="BB434" s="58"/>
      <c r="BC434" s="58"/>
      <c r="BD434" s="58"/>
      <c r="BE434" s="58"/>
      <c r="BF434" s="59"/>
      <c r="BG434" s="58"/>
      <c r="BH434" s="58"/>
      <c r="BI434" s="58"/>
      <c r="BJ434" s="58"/>
      <c r="BK434" s="58"/>
      <c r="BL434" s="59"/>
      <c r="BM434" s="58"/>
      <c r="BN434" s="58"/>
      <c r="BO434" s="58"/>
      <c r="BP434" s="58"/>
      <c r="BQ434" s="58"/>
      <c r="BR434" s="58"/>
      <c r="BS434" s="58"/>
      <c r="BT434" s="58"/>
      <c r="BU434" s="58"/>
      <c r="BV434" s="58"/>
      <c r="BW434" s="58"/>
      <c r="BX434" s="58"/>
      <c r="BY434" s="58"/>
      <c r="BZ434" s="58"/>
      <c r="CA434" s="58"/>
      <c r="CB434" s="58"/>
      <c r="CC434" s="58"/>
      <c r="CD434" s="58"/>
      <c r="CE434" s="58"/>
      <c r="CF434" s="58"/>
      <c r="CG434" s="58"/>
      <c r="CH434" s="58"/>
      <c r="CI434" s="58"/>
      <c r="CJ434" s="58"/>
      <c r="CK434" s="58"/>
      <c r="CL434" s="58"/>
      <c r="CM434" s="58"/>
      <c r="CN434" s="58"/>
      <c r="CO434" s="58"/>
      <c r="CP434" s="58"/>
      <c r="CQ434" s="58"/>
      <c r="CR434" s="58"/>
      <c r="CS434" s="58"/>
      <c r="CT434" s="58"/>
      <c r="CU434" s="58"/>
    </row>
    <row r="435" spans="1:99" ht="15" thickBot="1" x14ac:dyDescent="0.4">
      <c r="A435" s="14"/>
      <c r="B435" s="14"/>
      <c r="C435" s="14"/>
      <c r="D435" s="14"/>
      <c r="E435" s="14"/>
      <c r="F435" s="14"/>
      <c r="G435" s="14"/>
      <c r="H435" s="14"/>
      <c r="I435" s="14"/>
      <c r="J435" s="41"/>
      <c r="L435" s="58"/>
      <c r="M435" s="58"/>
      <c r="N435" s="58"/>
      <c r="O435" s="58"/>
      <c r="P435" s="269"/>
      <c r="Q435" s="58"/>
      <c r="R435" s="58"/>
      <c r="S435" s="58"/>
      <c r="T435" s="58"/>
      <c r="U435" s="58"/>
      <c r="V435" s="269"/>
      <c r="W435" s="58"/>
      <c r="X435" s="58"/>
      <c r="Y435" s="58"/>
      <c r="Z435" s="58"/>
      <c r="AA435" s="58"/>
      <c r="AB435" s="269"/>
      <c r="AC435" s="58"/>
      <c r="AD435" s="58"/>
      <c r="AE435" s="58"/>
      <c r="AF435" s="58"/>
      <c r="AG435" s="58"/>
      <c r="AH435" s="269"/>
      <c r="AI435" s="58"/>
      <c r="AJ435" s="58"/>
      <c r="AK435" s="58"/>
      <c r="AL435" s="58"/>
      <c r="AM435" s="58"/>
      <c r="AN435" s="59"/>
      <c r="AO435" s="58"/>
      <c r="AP435" s="58"/>
      <c r="AQ435" s="58"/>
      <c r="AR435" s="58"/>
      <c r="AS435" s="58"/>
      <c r="AT435" s="59"/>
      <c r="AU435" s="58"/>
      <c r="AV435" s="58"/>
      <c r="AW435" s="58"/>
      <c r="AX435" s="58"/>
      <c r="AY435" s="58"/>
      <c r="AZ435" s="59"/>
      <c r="BA435" s="58"/>
      <c r="BB435" s="58"/>
      <c r="BC435" s="58"/>
      <c r="BD435" s="58"/>
      <c r="BE435" s="58"/>
      <c r="BF435" s="59"/>
      <c r="BG435" s="58"/>
      <c r="BH435" s="58"/>
      <c r="BI435" s="58"/>
      <c r="BJ435" s="58"/>
      <c r="BK435" s="58"/>
      <c r="BL435" s="59"/>
      <c r="BM435" s="58"/>
      <c r="BN435" s="58"/>
      <c r="BO435" s="58"/>
      <c r="BP435" s="58"/>
      <c r="BQ435" s="58"/>
      <c r="BR435" s="58"/>
      <c r="BS435" s="58"/>
      <c r="BT435" s="58"/>
      <c r="BU435" s="58"/>
      <c r="BV435" s="58"/>
      <c r="BW435" s="58"/>
      <c r="BX435" s="58"/>
      <c r="BY435" s="58"/>
      <c r="BZ435" s="58"/>
      <c r="CA435" s="58"/>
      <c r="CB435" s="58"/>
      <c r="CC435" s="58"/>
      <c r="CD435" s="58"/>
      <c r="CE435" s="58"/>
      <c r="CF435" s="58"/>
      <c r="CG435" s="58"/>
      <c r="CH435" s="58"/>
      <c r="CI435" s="58"/>
      <c r="CJ435" s="58"/>
      <c r="CK435" s="58"/>
      <c r="CL435" s="58"/>
      <c r="CM435" s="58"/>
      <c r="CN435" s="58"/>
      <c r="CO435" s="58"/>
      <c r="CP435" s="58"/>
      <c r="CQ435" s="58"/>
      <c r="CR435" s="58"/>
      <c r="CS435" s="58"/>
      <c r="CT435" s="58"/>
      <c r="CU435" s="58"/>
    </row>
    <row r="436" spans="1:99" ht="15" thickBot="1" x14ac:dyDescent="0.4">
      <c r="A436" s="14"/>
      <c r="B436" s="14"/>
      <c r="C436" s="14"/>
      <c r="D436" s="14"/>
      <c r="E436" s="14"/>
      <c r="F436" s="14"/>
      <c r="G436" s="14"/>
      <c r="H436" s="14"/>
      <c r="I436" s="14"/>
      <c r="J436" s="41"/>
      <c r="L436" s="58"/>
      <c r="M436" s="58"/>
      <c r="N436" s="58"/>
      <c r="O436" s="58"/>
      <c r="P436" s="269"/>
      <c r="Q436" s="58"/>
      <c r="R436" s="58"/>
      <c r="S436" s="58"/>
      <c r="T436" s="58"/>
      <c r="U436" s="58"/>
      <c r="V436" s="269"/>
      <c r="W436" s="58"/>
      <c r="X436" s="58"/>
      <c r="Y436" s="58"/>
      <c r="Z436" s="58"/>
      <c r="AA436" s="58"/>
      <c r="AB436" s="269"/>
      <c r="AC436" s="58"/>
      <c r="AD436" s="58"/>
      <c r="AE436" s="58"/>
      <c r="AF436" s="58"/>
      <c r="AG436" s="58"/>
      <c r="AH436" s="269"/>
      <c r="AI436" s="58"/>
      <c r="AJ436" s="58"/>
      <c r="AK436" s="58"/>
      <c r="AL436" s="58"/>
      <c r="AM436" s="58"/>
      <c r="AN436" s="59"/>
      <c r="AO436" s="58"/>
      <c r="AP436" s="58"/>
      <c r="AQ436" s="58"/>
      <c r="AR436" s="58"/>
      <c r="AS436" s="58"/>
      <c r="AT436" s="59"/>
      <c r="AU436" s="58"/>
      <c r="AV436" s="58"/>
      <c r="AW436" s="58"/>
      <c r="AX436" s="58"/>
      <c r="AY436" s="58"/>
      <c r="AZ436" s="59"/>
      <c r="BA436" s="58"/>
      <c r="BB436" s="58"/>
      <c r="BC436" s="58"/>
      <c r="BD436" s="58"/>
      <c r="BE436" s="58"/>
      <c r="BF436" s="59"/>
      <c r="BG436" s="58"/>
      <c r="BH436" s="58"/>
      <c r="BI436" s="58"/>
      <c r="BJ436" s="58"/>
      <c r="BK436" s="58"/>
      <c r="BL436" s="59"/>
      <c r="BM436" s="58"/>
      <c r="BN436" s="58"/>
      <c r="BO436" s="58"/>
      <c r="BP436" s="58"/>
      <c r="BQ436" s="58"/>
      <c r="BR436" s="58"/>
      <c r="BS436" s="58"/>
      <c r="BT436" s="58"/>
      <c r="BU436" s="58"/>
      <c r="BV436" s="58"/>
      <c r="BW436" s="58"/>
      <c r="BX436" s="58"/>
      <c r="BY436" s="58"/>
      <c r="BZ436" s="58"/>
      <c r="CA436" s="58"/>
      <c r="CB436" s="58"/>
      <c r="CC436" s="58"/>
      <c r="CD436" s="58"/>
      <c r="CE436" s="58"/>
      <c r="CF436" s="58"/>
      <c r="CG436" s="58"/>
      <c r="CH436" s="58"/>
      <c r="CI436" s="58"/>
      <c r="CJ436" s="58"/>
      <c r="CK436" s="58"/>
      <c r="CL436" s="58"/>
      <c r="CM436" s="58"/>
      <c r="CN436" s="58"/>
      <c r="CO436" s="58"/>
      <c r="CP436" s="58"/>
      <c r="CQ436" s="58"/>
      <c r="CR436" s="58"/>
      <c r="CS436" s="58"/>
      <c r="CT436" s="58"/>
      <c r="CU436" s="58"/>
    </row>
    <row r="437" spans="1:99" ht="15" thickBot="1" x14ac:dyDescent="0.4">
      <c r="A437" s="14"/>
      <c r="B437" s="14"/>
      <c r="C437" s="14"/>
      <c r="D437" s="14"/>
      <c r="E437" s="14"/>
      <c r="F437" s="14"/>
      <c r="G437" s="14"/>
      <c r="H437" s="14"/>
      <c r="I437" s="14"/>
      <c r="J437" s="41"/>
      <c r="L437" s="58"/>
      <c r="M437" s="58"/>
      <c r="N437" s="58"/>
      <c r="O437" s="58"/>
      <c r="P437" s="269"/>
      <c r="Q437" s="58"/>
      <c r="R437" s="58"/>
      <c r="S437" s="58"/>
      <c r="T437" s="58"/>
      <c r="U437" s="58"/>
      <c r="V437" s="269"/>
      <c r="W437" s="58"/>
      <c r="X437" s="58"/>
      <c r="Y437" s="58"/>
      <c r="Z437" s="58"/>
      <c r="AA437" s="58"/>
      <c r="AB437" s="269"/>
      <c r="AC437" s="58"/>
      <c r="AD437" s="58"/>
      <c r="AE437" s="58"/>
      <c r="AF437" s="58"/>
      <c r="AG437" s="58"/>
      <c r="AH437" s="269"/>
      <c r="AI437" s="58"/>
      <c r="AJ437" s="58"/>
      <c r="AK437" s="58"/>
      <c r="AL437" s="58"/>
      <c r="AM437" s="58"/>
      <c r="AN437" s="59"/>
      <c r="AO437" s="58"/>
      <c r="AP437" s="58"/>
      <c r="AQ437" s="58"/>
      <c r="AR437" s="58"/>
      <c r="AS437" s="58"/>
      <c r="AT437" s="59"/>
      <c r="AU437" s="58"/>
      <c r="AV437" s="58"/>
      <c r="AW437" s="58"/>
      <c r="AX437" s="58"/>
      <c r="AY437" s="58"/>
      <c r="AZ437" s="59"/>
      <c r="BA437" s="58"/>
      <c r="BB437" s="58"/>
      <c r="BC437" s="58"/>
      <c r="BD437" s="58"/>
      <c r="BE437" s="58"/>
      <c r="BF437" s="59"/>
      <c r="BG437" s="58"/>
      <c r="BH437" s="58"/>
      <c r="BI437" s="58"/>
      <c r="BJ437" s="58"/>
      <c r="BK437" s="58"/>
      <c r="BL437" s="59"/>
      <c r="BM437" s="58"/>
      <c r="BN437" s="58"/>
      <c r="BO437" s="58"/>
      <c r="BP437" s="58"/>
      <c r="BQ437" s="58"/>
      <c r="BR437" s="58"/>
      <c r="BS437" s="58"/>
      <c r="BT437" s="58"/>
      <c r="BU437" s="58"/>
      <c r="BV437" s="58"/>
      <c r="BW437" s="58"/>
      <c r="BX437" s="58"/>
      <c r="BY437" s="58"/>
      <c r="BZ437" s="58"/>
      <c r="CA437" s="58"/>
      <c r="CB437" s="58"/>
      <c r="CC437" s="58"/>
      <c r="CD437" s="58"/>
      <c r="CE437" s="58"/>
      <c r="CF437" s="58"/>
      <c r="CG437" s="58"/>
      <c r="CH437" s="58"/>
      <c r="CI437" s="58"/>
      <c r="CJ437" s="58"/>
      <c r="CK437" s="58"/>
      <c r="CL437" s="58"/>
      <c r="CM437" s="58"/>
      <c r="CN437" s="58"/>
      <c r="CO437" s="58"/>
      <c r="CP437" s="58"/>
      <c r="CQ437" s="58"/>
      <c r="CR437" s="58"/>
      <c r="CS437" s="58"/>
      <c r="CT437" s="58"/>
      <c r="CU437" s="58"/>
    </row>
    <row r="438" spans="1:99" ht="15" thickBot="1" x14ac:dyDescent="0.4">
      <c r="A438" s="14"/>
      <c r="B438" s="14"/>
      <c r="C438" s="14"/>
      <c r="D438" s="14"/>
      <c r="E438" s="14"/>
      <c r="F438" s="14"/>
      <c r="G438" s="14"/>
      <c r="H438" s="14"/>
      <c r="I438" s="14"/>
      <c r="J438" s="41"/>
      <c r="L438" s="58"/>
      <c r="M438" s="58"/>
      <c r="N438" s="58"/>
      <c r="O438" s="58"/>
      <c r="P438" s="269"/>
      <c r="Q438" s="58"/>
      <c r="R438" s="58"/>
      <c r="S438" s="58"/>
      <c r="T438" s="58"/>
      <c r="U438" s="58"/>
      <c r="V438" s="269"/>
      <c r="W438" s="58"/>
      <c r="X438" s="58"/>
      <c r="Y438" s="58"/>
      <c r="Z438" s="58"/>
      <c r="AA438" s="58"/>
      <c r="AB438" s="269"/>
      <c r="AC438" s="58"/>
      <c r="AD438" s="58"/>
      <c r="AE438" s="58"/>
      <c r="AF438" s="58"/>
      <c r="AG438" s="58"/>
      <c r="AH438" s="269"/>
      <c r="AI438" s="58"/>
      <c r="AJ438" s="58"/>
      <c r="AK438" s="58"/>
      <c r="AL438" s="58"/>
      <c r="AM438" s="58"/>
      <c r="AN438" s="59"/>
      <c r="AO438" s="58"/>
      <c r="AP438" s="58"/>
      <c r="AQ438" s="58"/>
      <c r="AR438" s="58"/>
      <c r="AS438" s="58"/>
      <c r="AT438" s="59"/>
      <c r="AU438" s="58"/>
      <c r="AV438" s="58"/>
      <c r="AW438" s="58"/>
      <c r="AX438" s="58"/>
      <c r="AY438" s="58"/>
      <c r="AZ438" s="59"/>
      <c r="BA438" s="58"/>
      <c r="BB438" s="58"/>
      <c r="BC438" s="58"/>
      <c r="BD438" s="58"/>
      <c r="BE438" s="58"/>
      <c r="BF438" s="59"/>
      <c r="BG438" s="58"/>
      <c r="BH438" s="58"/>
      <c r="BI438" s="58"/>
      <c r="BJ438" s="58"/>
      <c r="BK438" s="58"/>
      <c r="BL438" s="59"/>
      <c r="BM438" s="58"/>
      <c r="BN438" s="58"/>
      <c r="BO438" s="58"/>
      <c r="BP438" s="58"/>
      <c r="BQ438" s="58"/>
      <c r="BR438" s="58"/>
      <c r="BS438" s="58"/>
      <c r="BT438" s="58"/>
      <c r="BU438" s="58"/>
      <c r="BV438" s="58"/>
      <c r="BW438" s="58"/>
      <c r="BX438" s="58"/>
      <c r="BY438" s="58"/>
      <c r="BZ438" s="58"/>
      <c r="CA438" s="58"/>
      <c r="CB438" s="58"/>
      <c r="CC438" s="58"/>
      <c r="CD438" s="58"/>
      <c r="CE438" s="58"/>
      <c r="CF438" s="58"/>
      <c r="CG438" s="58"/>
      <c r="CH438" s="58"/>
      <c r="CI438" s="58"/>
      <c r="CJ438" s="58"/>
      <c r="CK438" s="58"/>
      <c r="CL438" s="58"/>
      <c r="CM438" s="58"/>
      <c r="CN438" s="58"/>
      <c r="CO438" s="58"/>
      <c r="CP438" s="58"/>
      <c r="CQ438" s="58"/>
      <c r="CR438" s="58"/>
      <c r="CS438" s="58"/>
      <c r="CT438" s="58"/>
      <c r="CU438" s="58"/>
    </row>
    <row r="439" spans="1:99" ht="15" thickBot="1" x14ac:dyDescent="0.4">
      <c r="A439" s="14"/>
      <c r="B439" s="14"/>
      <c r="C439" s="14"/>
      <c r="D439" s="14"/>
      <c r="E439" s="14"/>
      <c r="F439" s="14"/>
      <c r="G439" s="14"/>
      <c r="H439" s="14"/>
      <c r="I439" s="14"/>
      <c r="J439" s="41"/>
      <c r="L439" s="58"/>
      <c r="M439" s="58"/>
      <c r="N439" s="58"/>
      <c r="O439" s="58"/>
      <c r="P439" s="269"/>
      <c r="Q439" s="58"/>
      <c r="R439" s="58"/>
      <c r="S439" s="58"/>
      <c r="T439" s="58"/>
      <c r="U439" s="58"/>
      <c r="V439" s="269"/>
      <c r="W439" s="58"/>
      <c r="X439" s="58"/>
      <c r="Y439" s="58"/>
      <c r="Z439" s="58"/>
      <c r="AA439" s="58"/>
      <c r="AB439" s="269"/>
      <c r="AC439" s="58"/>
      <c r="AD439" s="58"/>
      <c r="AE439" s="58"/>
      <c r="AF439" s="58"/>
      <c r="AG439" s="58"/>
      <c r="AH439" s="269"/>
      <c r="AI439" s="58"/>
      <c r="AJ439" s="58"/>
      <c r="AK439" s="58"/>
      <c r="AL439" s="58"/>
      <c r="AM439" s="58"/>
      <c r="AN439" s="59"/>
      <c r="AO439" s="58"/>
      <c r="AP439" s="58"/>
      <c r="AQ439" s="58"/>
      <c r="AR439" s="58"/>
      <c r="AS439" s="58"/>
      <c r="AT439" s="59"/>
      <c r="AU439" s="58"/>
      <c r="AV439" s="58"/>
      <c r="AW439" s="58"/>
      <c r="AX439" s="58"/>
      <c r="AY439" s="58"/>
      <c r="AZ439" s="59"/>
      <c r="BA439" s="58"/>
      <c r="BB439" s="58"/>
      <c r="BC439" s="58"/>
      <c r="BD439" s="58"/>
      <c r="BE439" s="58"/>
      <c r="BF439" s="59"/>
      <c r="BG439" s="58"/>
      <c r="BH439" s="58"/>
      <c r="BI439" s="58"/>
      <c r="BJ439" s="58"/>
      <c r="BK439" s="58"/>
      <c r="BL439" s="59"/>
      <c r="BM439" s="58"/>
      <c r="BN439" s="58"/>
      <c r="BO439" s="58"/>
      <c r="BP439" s="58"/>
      <c r="BQ439" s="58"/>
      <c r="BR439" s="58"/>
      <c r="BS439" s="58"/>
      <c r="BT439" s="58"/>
      <c r="BU439" s="58"/>
      <c r="BV439" s="58"/>
      <c r="BW439" s="58"/>
      <c r="BX439" s="58"/>
      <c r="BY439" s="58"/>
      <c r="BZ439" s="58"/>
      <c r="CA439" s="58"/>
      <c r="CB439" s="58"/>
      <c r="CC439" s="58"/>
      <c r="CD439" s="58"/>
      <c r="CE439" s="58"/>
      <c r="CF439" s="58"/>
      <c r="CG439" s="58"/>
      <c r="CH439" s="58"/>
      <c r="CI439" s="58"/>
      <c r="CJ439" s="58"/>
      <c r="CK439" s="58"/>
      <c r="CL439" s="58"/>
      <c r="CM439" s="58"/>
      <c r="CN439" s="58"/>
      <c r="CO439" s="58"/>
      <c r="CP439" s="58"/>
      <c r="CQ439" s="58"/>
      <c r="CR439" s="58"/>
      <c r="CS439" s="58"/>
      <c r="CT439" s="58"/>
      <c r="CU439" s="58"/>
    </row>
    <row r="440" spans="1:99" ht="15" thickBot="1" x14ac:dyDescent="0.4">
      <c r="A440" s="14"/>
      <c r="B440" s="14"/>
      <c r="C440" s="14"/>
      <c r="D440" s="14"/>
      <c r="E440" s="14"/>
      <c r="F440" s="14"/>
      <c r="G440" s="14"/>
      <c r="H440" s="14"/>
      <c r="I440" s="14"/>
      <c r="J440" s="41"/>
      <c r="L440" s="58"/>
      <c r="M440" s="58"/>
      <c r="N440" s="58"/>
      <c r="O440" s="58"/>
      <c r="P440" s="269"/>
      <c r="Q440" s="58"/>
      <c r="R440" s="58"/>
      <c r="S440" s="58"/>
      <c r="T440" s="58"/>
      <c r="U440" s="58"/>
      <c r="V440" s="269"/>
      <c r="W440" s="58"/>
      <c r="X440" s="58"/>
      <c r="Y440" s="58"/>
      <c r="Z440" s="58"/>
      <c r="AA440" s="58"/>
      <c r="AB440" s="269"/>
      <c r="AC440" s="58"/>
      <c r="AD440" s="58"/>
      <c r="AE440" s="58"/>
      <c r="AF440" s="58"/>
      <c r="AG440" s="58"/>
      <c r="AH440" s="269"/>
      <c r="AI440" s="58"/>
      <c r="AJ440" s="58"/>
      <c r="AK440" s="58"/>
      <c r="AL440" s="58"/>
      <c r="AM440" s="58"/>
      <c r="AN440" s="59"/>
      <c r="AO440" s="58"/>
      <c r="AP440" s="58"/>
      <c r="AQ440" s="58"/>
      <c r="AR440" s="58"/>
      <c r="AS440" s="58"/>
      <c r="AT440" s="59"/>
      <c r="AU440" s="58"/>
      <c r="AV440" s="58"/>
      <c r="AW440" s="58"/>
      <c r="AX440" s="58"/>
      <c r="AY440" s="58"/>
      <c r="AZ440" s="59"/>
      <c r="BA440" s="58"/>
      <c r="BB440" s="58"/>
      <c r="BC440" s="58"/>
      <c r="BD440" s="58"/>
      <c r="BE440" s="58"/>
      <c r="BF440" s="59"/>
      <c r="BG440" s="58"/>
      <c r="BH440" s="58"/>
      <c r="BI440" s="58"/>
      <c r="BJ440" s="58"/>
      <c r="BK440" s="58"/>
      <c r="BL440" s="59"/>
      <c r="BM440" s="58"/>
      <c r="BN440" s="58"/>
      <c r="BO440" s="58"/>
      <c r="BP440" s="58"/>
      <c r="BQ440" s="58"/>
      <c r="BR440" s="58"/>
      <c r="BS440" s="58"/>
      <c r="BT440" s="58"/>
      <c r="BU440" s="58"/>
      <c r="BV440" s="58"/>
      <c r="BW440" s="58"/>
      <c r="BX440" s="58"/>
      <c r="BY440" s="58"/>
      <c r="BZ440" s="58"/>
      <c r="CA440" s="58"/>
      <c r="CB440" s="58"/>
      <c r="CC440" s="58"/>
      <c r="CD440" s="58"/>
      <c r="CE440" s="58"/>
      <c r="CF440" s="58"/>
      <c r="CG440" s="58"/>
      <c r="CH440" s="58"/>
      <c r="CI440" s="58"/>
      <c r="CJ440" s="58"/>
      <c r="CK440" s="58"/>
      <c r="CL440" s="58"/>
      <c r="CM440" s="58"/>
      <c r="CN440" s="58"/>
      <c r="CO440" s="58"/>
      <c r="CP440" s="58"/>
      <c r="CQ440" s="58"/>
      <c r="CR440" s="58"/>
      <c r="CS440" s="58"/>
      <c r="CT440" s="58"/>
      <c r="CU440" s="58"/>
    </row>
    <row r="441" spans="1:99" ht="15" thickBot="1" x14ac:dyDescent="0.4">
      <c r="A441" s="14"/>
      <c r="B441" s="14"/>
      <c r="C441" s="14"/>
      <c r="D441" s="14"/>
      <c r="E441" s="14"/>
      <c r="F441" s="14"/>
      <c r="G441" s="14"/>
      <c r="H441" s="14"/>
      <c r="I441" s="14"/>
      <c r="J441" s="41"/>
      <c r="L441" s="58"/>
      <c r="M441" s="58"/>
      <c r="N441" s="58"/>
      <c r="O441" s="58"/>
      <c r="P441" s="269"/>
      <c r="Q441" s="58"/>
      <c r="R441" s="58"/>
      <c r="S441" s="58"/>
      <c r="T441" s="58"/>
      <c r="U441" s="58"/>
      <c r="V441" s="269"/>
      <c r="W441" s="58"/>
      <c r="X441" s="58"/>
      <c r="Y441" s="58"/>
      <c r="Z441" s="58"/>
      <c r="AA441" s="58"/>
      <c r="AB441" s="269"/>
      <c r="AC441" s="58"/>
      <c r="AD441" s="58"/>
      <c r="AE441" s="58"/>
      <c r="AF441" s="58"/>
      <c r="AG441" s="58"/>
      <c r="AH441" s="269"/>
      <c r="AI441" s="58"/>
      <c r="AJ441" s="58"/>
      <c r="AK441" s="58"/>
      <c r="AL441" s="58"/>
      <c r="AM441" s="58"/>
      <c r="AN441" s="59"/>
      <c r="AO441" s="58"/>
      <c r="AP441" s="58"/>
      <c r="AQ441" s="58"/>
      <c r="AR441" s="58"/>
      <c r="AS441" s="58"/>
      <c r="AT441" s="59"/>
      <c r="AU441" s="58"/>
      <c r="AV441" s="58"/>
      <c r="AW441" s="58"/>
      <c r="AX441" s="58"/>
      <c r="AY441" s="58"/>
      <c r="AZ441" s="59"/>
      <c r="BA441" s="58"/>
      <c r="BB441" s="58"/>
      <c r="BC441" s="58"/>
      <c r="BD441" s="58"/>
      <c r="BE441" s="58"/>
      <c r="BF441" s="59"/>
      <c r="BG441" s="58"/>
      <c r="BH441" s="58"/>
      <c r="BI441" s="58"/>
      <c r="BJ441" s="58"/>
      <c r="BK441" s="58"/>
      <c r="BL441" s="59"/>
      <c r="BM441" s="58"/>
      <c r="BN441" s="58"/>
      <c r="BO441" s="58"/>
      <c r="BP441" s="58"/>
      <c r="BQ441" s="58"/>
      <c r="BR441" s="58"/>
      <c r="BS441" s="58"/>
      <c r="BT441" s="58"/>
      <c r="BU441" s="58"/>
      <c r="BV441" s="58"/>
      <c r="BW441" s="58"/>
      <c r="BX441" s="58"/>
      <c r="BY441" s="58"/>
      <c r="BZ441" s="58"/>
      <c r="CA441" s="58"/>
      <c r="CB441" s="58"/>
      <c r="CC441" s="58"/>
      <c r="CD441" s="58"/>
      <c r="CE441" s="58"/>
      <c r="CF441" s="58"/>
      <c r="CG441" s="58"/>
      <c r="CH441" s="58"/>
      <c r="CI441" s="58"/>
      <c r="CJ441" s="58"/>
      <c r="CK441" s="58"/>
      <c r="CL441" s="58"/>
      <c r="CM441" s="58"/>
      <c r="CN441" s="58"/>
      <c r="CO441" s="58"/>
      <c r="CP441" s="58"/>
      <c r="CQ441" s="58"/>
      <c r="CR441" s="58"/>
      <c r="CS441" s="58"/>
      <c r="CT441" s="58"/>
      <c r="CU441" s="58"/>
    </row>
    <row r="442" spans="1:99" ht="15" thickBot="1" x14ac:dyDescent="0.4">
      <c r="A442" s="14"/>
      <c r="B442" s="14"/>
      <c r="C442" s="14"/>
      <c r="D442" s="14"/>
      <c r="E442" s="14"/>
      <c r="F442" s="14"/>
      <c r="G442" s="14"/>
      <c r="H442" s="14"/>
      <c r="I442" s="14"/>
      <c r="J442" s="41"/>
      <c r="L442" s="58"/>
      <c r="M442" s="58"/>
      <c r="N442" s="58"/>
      <c r="O442" s="58"/>
      <c r="P442" s="269"/>
      <c r="Q442" s="58"/>
      <c r="R442" s="58"/>
      <c r="S442" s="58"/>
      <c r="T442" s="58"/>
      <c r="U442" s="58"/>
      <c r="V442" s="269"/>
      <c r="W442" s="58"/>
      <c r="X442" s="58"/>
      <c r="Y442" s="58"/>
      <c r="Z442" s="58"/>
      <c r="AA442" s="58"/>
      <c r="AB442" s="269"/>
      <c r="AC442" s="58"/>
      <c r="AD442" s="58"/>
      <c r="AE442" s="58"/>
      <c r="AF442" s="58"/>
      <c r="AG442" s="58"/>
      <c r="AH442" s="269"/>
      <c r="AI442" s="58"/>
      <c r="AJ442" s="58"/>
      <c r="AK442" s="58"/>
      <c r="AL442" s="58"/>
      <c r="AM442" s="58"/>
      <c r="AN442" s="59"/>
      <c r="AO442" s="58"/>
      <c r="AP442" s="58"/>
      <c r="AQ442" s="58"/>
      <c r="AR442" s="58"/>
      <c r="AS442" s="58"/>
      <c r="AT442" s="59"/>
      <c r="AU442" s="58"/>
      <c r="AV442" s="58"/>
      <c r="AW442" s="58"/>
      <c r="AX442" s="58"/>
      <c r="AY442" s="58"/>
      <c r="AZ442" s="59"/>
      <c r="BA442" s="58"/>
      <c r="BB442" s="58"/>
      <c r="BC442" s="58"/>
      <c r="BD442" s="58"/>
      <c r="BE442" s="58"/>
      <c r="BF442" s="59"/>
      <c r="BG442" s="58"/>
      <c r="BH442" s="58"/>
      <c r="BI442" s="58"/>
      <c r="BJ442" s="58"/>
      <c r="BK442" s="58"/>
      <c r="BL442" s="59"/>
      <c r="BM442" s="58"/>
      <c r="BN442" s="58"/>
      <c r="BO442" s="58"/>
      <c r="BP442" s="58"/>
      <c r="BQ442" s="58"/>
      <c r="BR442" s="58"/>
      <c r="BS442" s="58"/>
      <c r="BT442" s="58"/>
      <c r="BU442" s="58"/>
      <c r="BV442" s="58"/>
      <c r="BW442" s="58"/>
      <c r="BX442" s="58"/>
      <c r="BY442" s="58"/>
      <c r="BZ442" s="58"/>
      <c r="CA442" s="58"/>
      <c r="CB442" s="58"/>
      <c r="CC442" s="58"/>
      <c r="CD442" s="58"/>
      <c r="CE442" s="58"/>
      <c r="CF442" s="58"/>
      <c r="CG442" s="58"/>
      <c r="CH442" s="58"/>
      <c r="CI442" s="58"/>
      <c r="CJ442" s="58"/>
      <c r="CK442" s="58"/>
      <c r="CL442" s="58"/>
      <c r="CM442" s="58"/>
      <c r="CN442" s="58"/>
      <c r="CO442" s="58"/>
      <c r="CP442" s="58"/>
      <c r="CQ442" s="58"/>
      <c r="CR442" s="58"/>
      <c r="CS442" s="58"/>
      <c r="CT442" s="58"/>
      <c r="CU442" s="58"/>
    </row>
    <row r="443" spans="1:99" ht="15" thickBot="1" x14ac:dyDescent="0.4">
      <c r="A443" s="14"/>
      <c r="B443" s="14"/>
      <c r="C443" s="14"/>
      <c r="D443" s="14"/>
      <c r="E443" s="14"/>
      <c r="F443" s="14"/>
      <c r="G443" s="14"/>
      <c r="H443" s="14"/>
      <c r="I443" s="14"/>
      <c r="J443" s="41"/>
      <c r="L443" s="58"/>
      <c r="M443" s="58"/>
      <c r="N443" s="58"/>
      <c r="O443" s="58"/>
      <c r="P443" s="269"/>
      <c r="Q443" s="58"/>
      <c r="R443" s="58"/>
      <c r="S443" s="58"/>
      <c r="T443" s="58"/>
      <c r="U443" s="58"/>
      <c r="V443" s="269"/>
      <c r="W443" s="58"/>
      <c r="X443" s="58"/>
      <c r="Y443" s="58"/>
      <c r="Z443" s="58"/>
      <c r="AA443" s="58"/>
      <c r="AB443" s="269"/>
      <c r="AC443" s="58"/>
      <c r="AD443" s="58"/>
      <c r="AE443" s="58"/>
      <c r="AF443" s="58"/>
      <c r="AG443" s="58"/>
      <c r="AH443" s="269"/>
      <c r="AI443" s="58"/>
      <c r="AJ443" s="58"/>
      <c r="AK443" s="58"/>
      <c r="AL443" s="58"/>
      <c r="AM443" s="58"/>
      <c r="AN443" s="59"/>
      <c r="AO443" s="58"/>
      <c r="AP443" s="58"/>
      <c r="AQ443" s="58"/>
      <c r="AR443" s="58"/>
      <c r="AS443" s="58"/>
      <c r="AT443" s="59"/>
      <c r="AU443" s="58"/>
      <c r="AV443" s="58"/>
      <c r="AW443" s="58"/>
      <c r="AX443" s="58"/>
      <c r="AY443" s="58"/>
      <c r="AZ443" s="59"/>
      <c r="BA443" s="58"/>
      <c r="BB443" s="58"/>
      <c r="BC443" s="58"/>
      <c r="BD443" s="58"/>
      <c r="BE443" s="58"/>
      <c r="BF443" s="59"/>
      <c r="BG443" s="58"/>
      <c r="BH443" s="58"/>
      <c r="BI443" s="58"/>
      <c r="BJ443" s="58"/>
      <c r="BK443" s="58"/>
      <c r="BL443" s="59"/>
      <c r="BM443" s="58"/>
      <c r="BN443" s="58"/>
      <c r="BO443" s="58"/>
      <c r="BP443" s="58"/>
      <c r="BQ443" s="58"/>
      <c r="BR443" s="58"/>
      <c r="BS443" s="58"/>
      <c r="BT443" s="58"/>
      <c r="BU443" s="58"/>
      <c r="BV443" s="58"/>
      <c r="BW443" s="58"/>
      <c r="BX443" s="58"/>
      <c r="BY443" s="58"/>
      <c r="BZ443" s="58"/>
      <c r="CA443" s="58"/>
      <c r="CB443" s="58"/>
      <c r="CC443" s="58"/>
      <c r="CD443" s="58"/>
      <c r="CE443" s="58"/>
      <c r="CF443" s="58"/>
      <c r="CG443" s="58"/>
      <c r="CH443" s="58"/>
      <c r="CI443" s="58"/>
      <c r="CJ443" s="58"/>
      <c r="CK443" s="58"/>
      <c r="CL443" s="58"/>
      <c r="CM443" s="58"/>
      <c r="CN443" s="58"/>
      <c r="CO443" s="58"/>
      <c r="CP443" s="58"/>
      <c r="CQ443" s="58"/>
      <c r="CR443" s="58"/>
      <c r="CS443" s="58"/>
      <c r="CT443" s="58"/>
      <c r="CU443" s="58"/>
    </row>
    <row r="444" spans="1:99" ht="15" thickBot="1" x14ac:dyDescent="0.4">
      <c r="A444" s="14"/>
      <c r="B444" s="14"/>
      <c r="C444" s="14"/>
      <c r="D444" s="14"/>
      <c r="E444" s="14"/>
      <c r="F444" s="14"/>
      <c r="G444" s="14"/>
      <c r="H444" s="14"/>
      <c r="I444" s="14"/>
      <c r="J444" s="41"/>
      <c r="L444" s="58"/>
      <c r="M444" s="58"/>
      <c r="N444" s="58"/>
      <c r="O444" s="58"/>
      <c r="P444" s="269"/>
      <c r="Q444" s="58"/>
      <c r="R444" s="58"/>
      <c r="S444" s="58"/>
      <c r="T444" s="58"/>
      <c r="U444" s="58"/>
      <c r="V444" s="269"/>
      <c r="W444" s="58"/>
      <c r="X444" s="58"/>
      <c r="Y444" s="58"/>
      <c r="Z444" s="58"/>
      <c r="AA444" s="58"/>
      <c r="AB444" s="269"/>
      <c r="AC444" s="58"/>
      <c r="AD444" s="58"/>
      <c r="AE444" s="58"/>
      <c r="AF444" s="58"/>
      <c r="AG444" s="58"/>
      <c r="AH444" s="269"/>
      <c r="AI444" s="58"/>
      <c r="AJ444" s="58"/>
      <c r="AK444" s="58"/>
      <c r="AL444" s="58"/>
      <c r="AM444" s="58"/>
      <c r="AN444" s="59"/>
      <c r="AO444" s="58"/>
      <c r="AP444" s="58"/>
      <c r="AQ444" s="58"/>
      <c r="AR444" s="58"/>
      <c r="AS444" s="58"/>
      <c r="AT444" s="59"/>
      <c r="AU444" s="58"/>
      <c r="AV444" s="58"/>
      <c r="AW444" s="58"/>
      <c r="AX444" s="58"/>
      <c r="AY444" s="58"/>
      <c r="AZ444" s="59"/>
      <c r="BA444" s="58"/>
      <c r="BB444" s="58"/>
      <c r="BC444" s="58"/>
      <c r="BD444" s="58"/>
      <c r="BE444" s="58"/>
      <c r="BF444" s="59"/>
      <c r="BG444" s="58"/>
      <c r="BH444" s="58"/>
      <c r="BI444" s="58"/>
      <c r="BJ444" s="58"/>
      <c r="BK444" s="58"/>
      <c r="BL444" s="59"/>
      <c r="BM444" s="58"/>
      <c r="BN444" s="58"/>
      <c r="BO444" s="58"/>
      <c r="BP444" s="58"/>
      <c r="BQ444" s="58"/>
      <c r="BR444" s="58"/>
      <c r="BS444" s="58"/>
      <c r="BT444" s="58"/>
      <c r="BU444" s="58"/>
      <c r="BV444" s="58"/>
      <c r="BW444" s="58"/>
      <c r="BX444" s="58"/>
      <c r="BY444" s="58"/>
      <c r="BZ444" s="58"/>
      <c r="CA444" s="58"/>
      <c r="CB444" s="58"/>
      <c r="CC444" s="58"/>
      <c r="CD444" s="58"/>
      <c r="CE444" s="58"/>
      <c r="CF444" s="58"/>
      <c r="CG444" s="58"/>
      <c r="CH444" s="58"/>
      <c r="CI444" s="58"/>
      <c r="CJ444" s="58"/>
      <c r="CK444" s="58"/>
      <c r="CL444" s="58"/>
      <c r="CM444" s="58"/>
      <c r="CN444" s="58"/>
      <c r="CO444" s="58"/>
      <c r="CP444" s="58"/>
      <c r="CQ444" s="58"/>
      <c r="CR444" s="58"/>
      <c r="CS444" s="58"/>
      <c r="CT444" s="58"/>
      <c r="CU444" s="58"/>
    </row>
    <row r="445" spans="1:99" ht="15" thickBot="1" x14ac:dyDescent="0.4">
      <c r="A445" s="14"/>
      <c r="B445" s="14"/>
      <c r="C445" s="14"/>
      <c r="D445" s="14"/>
      <c r="E445" s="14"/>
      <c r="F445" s="14"/>
      <c r="G445" s="14"/>
      <c r="H445" s="14"/>
      <c r="I445" s="14"/>
      <c r="J445" s="41"/>
      <c r="L445" s="58"/>
      <c r="M445" s="58"/>
      <c r="N445" s="58"/>
      <c r="O445" s="58"/>
      <c r="P445" s="269"/>
      <c r="Q445" s="58"/>
      <c r="R445" s="58"/>
      <c r="S445" s="58"/>
      <c r="T445" s="58"/>
      <c r="U445" s="58"/>
      <c r="V445" s="269"/>
      <c r="W445" s="58"/>
      <c r="X445" s="58"/>
      <c r="Y445" s="58"/>
      <c r="Z445" s="58"/>
      <c r="AA445" s="58"/>
      <c r="AB445" s="269"/>
      <c r="AC445" s="58"/>
      <c r="AD445" s="58"/>
      <c r="AE445" s="58"/>
      <c r="AF445" s="58"/>
      <c r="AG445" s="58"/>
      <c r="AH445" s="269"/>
      <c r="AI445" s="58"/>
      <c r="AJ445" s="58"/>
      <c r="AK445" s="58"/>
      <c r="AL445" s="58"/>
      <c r="AM445" s="58"/>
      <c r="AN445" s="59"/>
      <c r="AO445" s="58"/>
      <c r="AP445" s="58"/>
      <c r="AQ445" s="58"/>
      <c r="AR445" s="58"/>
      <c r="AS445" s="58"/>
      <c r="AT445" s="59"/>
      <c r="AU445" s="58"/>
      <c r="AV445" s="58"/>
      <c r="AW445" s="58"/>
      <c r="AX445" s="58"/>
      <c r="AY445" s="58"/>
      <c r="AZ445" s="59"/>
      <c r="BA445" s="58"/>
      <c r="BB445" s="58"/>
      <c r="BC445" s="58"/>
      <c r="BD445" s="58"/>
      <c r="BE445" s="58"/>
      <c r="BF445" s="59"/>
      <c r="BG445" s="58"/>
      <c r="BH445" s="58"/>
      <c r="BI445" s="58"/>
      <c r="BJ445" s="58"/>
      <c r="BK445" s="58"/>
      <c r="BL445" s="59"/>
      <c r="BM445" s="58"/>
      <c r="BN445" s="58"/>
      <c r="BO445" s="58"/>
      <c r="BP445" s="58"/>
      <c r="BQ445" s="58"/>
      <c r="BR445" s="58"/>
      <c r="BS445" s="58"/>
      <c r="BT445" s="58"/>
      <c r="BU445" s="58"/>
      <c r="BV445" s="58"/>
      <c r="BW445" s="58"/>
      <c r="BX445" s="58"/>
      <c r="BY445" s="58"/>
      <c r="BZ445" s="58"/>
      <c r="CA445" s="58"/>
      <c r="CB445" s="58"/>
      <c r="CC445" s="58"/>
      <c r="CD445" s="58"/>
      <c r="CE445" s="58"/>
      <c r="CF445" s="58"/>
      <c r="CG445" s="58"/>
      <c r="CH445" s="58"/>
      <c r="CI445" s="58"/>
      <c r="CJ445" s="58"/>
      <c r="CK445" s="58"/>
      <c r="CL445" s="58"/>
      <c r="CM445" s="58"/>
      <c r="CN445" s="58"/>
      <c r="CO445" s="58"/>
      <c r="CP445" s="58"/>
      <c r="CQ445" s="58"/>
      <c r="CR445" s="58"/>
      <c r="CS445" s="58"/>
      <c r="CT445" s="58"/>
      <c r="CU445" s="58"/>
    </row>
    <row r="446" spans="1:99" ht="15" thickBot="1" x14ac:dyDescent="0.4">
      <c r="A446" s="14"/>
      <c r="B446" s="14"/>
      <c r="C446" s="14"/>
      <c r="D446" s="14"/>
      <c r="E446" s="14"/>
      <c r="F446" s="14"/>
      <c r="G446" s="14"/>
      <c r="H446" s="14"/>
      <c r="I446" s="14"/>
      <c r="J446" s="41"/>
      <c r="L446" s="58"/>
      <c r="M446" s="58"/>
      <c r="N446" s="58"/>
      <c r="O446" s="58"/>
      <c r="P446" s="269"/>
      <c r="Q446" s="58"/>
      <c r="R446" s="58"/>
      <c r="S446" s="58"/>
      <c r="T446" s="58"/>
      <c r="U446" s="58"/>
      <c r="V446" s="269"/>
      <c r="W446" s="58"/>
      <c r="X446" s="58"/>
      <c r="Y446" s="58"/>
      <c r="Z446" s="58"/>
      <c r="AA446" s="58"/>
      <c r="AB446" s="269"/>
      <c r="AC446" s="58"/>
      <c r="AD446" s="58"/>
      <c r="AE446" s="58"/>
      <c r="AF446" s="58"/>
      <c r="AG446" s="58"/>
      <c r="AH446" s="269"/>
      <c r="AI446" s="58"/>
      <c r="AJ446" s="58"/>
      <c r="AK446" s="58"/>
      <c r="AL446" s="58"/>
      <c r="AM446" s="58"/>
      <c r="AN446" s="59"/>
      <c r="AO446" s="58"/>
      <c r="AP446" s="58"/>
      <c r="AQ446" s="58"/>
      <c r="AR446" s="58"/>
      <c r="AS446" s="58"/>
      <c r="AT446" s="59"/>
      <c r="AU446" s="58"/>
      <c r="AV446" s="58"/>
      <c r="AW446" s="58"/>
      <c r="AX446" s="58"/>
      <c r="AY446" s="58"/>
      <c r="AZ446" s="59"/>
      <c r="BA446" s="58"/>
      <c r="BB446" s="58"/>
      <c r="BC446" s="58"/>
      <c r="BD446" s="58"/>
      <c r="BE446" s="58"/>
      <c r="BF446" s="59"/>
      <c r="BG446" s="58"/>
      <c r="BH446" s="58"/>
      <c r="BI446" s="58"/>
      <c r="BJ446" s="58"/>
      <c r="BK446" s="58"/>
      <c r="BL446" s="59"/>
      <c r="BM446" s="58"/>
      <c r="BN446" s="58"/>
      <c r="BO446" s="58"/>
      <c r="BP446" s="58"/>
      <c r="BQ446" s="58"/>
      <c r="BR446" s="58"/>
      <c r="BS446" s="58"/>
      <c r="BT446" s="58"/>
      <c r="BU446" s="58"/>
      <c r="BV446" s="58"/>
      <c r="BW446" s="58"/>
      <c r="BX446" s="58"/>
      <c r="BY446" s="58"/>
      <c r="BZ446" s="58"/>
      <c r="CA446" s="58"/>
      <c r="CB446" s="58"/>
      <c r="CC446" s="58"/>
      <c r="CD446" s="58"/>
      <c r="CE446" s="58"/>
      <c r="CF446" s="58"/>
      <c r="CG446" s="58"/>
      <c r="CH446" s="58"/>
      <c r="CI446" s="58"/>
      <c r="CJ446" s="58"/>
      <c r="CK446" s="58"/>
      <c r="CL446" s="58"/>
      <c r="CM446" s="58"/>
      <c r="CN446" s="58"/>
      <c r="CO446" s="58"/>
      <c r="CP446" s="58"/>
      <c r="CQ446" s="58"/>
      <c r="CR446" s="58"/>
      <c r="CS446" s="58"/>
      <c r="CT446" s="58"/>
      <c r="CU446" s="58"/>
    </row>
    <row r="447" spans="1:99" ht="15" thickBot="1" x14ac:dyDescent="0.4">
      <c r="A447" s="14"/>
      <c r="B447" s="14"/>
      <c r="C447" s="14"/>
      <c r="D447" s="14"/>
      <c r="E447" s="14"/>
      <c r="F447" s="14"/>
      <c r="G447" s="14"/>
      <c r="H447" s="14"/>
      <c r="I447" s="14"/>
      <c r="J447" s="41"/>
      <c r="L447" s="58"/>
      <c r="M447" s="58"/>
      <c r="N447" s="58"/>
      <c r="O447" s="58"/>
      <c r="P447" s="269"/>
      <c r="Q447" s="58"/>
      <c r="R447" s="58"/>
      <c r="S447" s="58"/>
      <c r="T447" s="58"/>
      <c r="U447" s="58"/>
      <c r="V447" s="269"/>
      <c r="W447" s="58"/>
      <c r="X447" s="58"/>
      <c r="Y447" s="58"/>
      <c r="Z447" s="58"/>
      <c r="AA447" s="58"/>
      <c r="AB447" s="269"/>
      <c r="AC447" s="58"/>
      <c r="AD447" s="58"/>
      <c r="AE447" s="58"/>
      <c r="AF447" s="58"/>
      <c r="AG447" s="58"/>
      <c r="AH447" s="269"/>
      <c r="AI447" s="58"/>
      <c r="AJ447" s="58"/>
      <c r="AK447" s="58"/>
      <c r="AL447" s="58"/>
      <c r="AM447" s="58"/>
      <c r="AN447" s="59"/>
      <c r="AO447" s="58"/>
      <c r="AP447" s="58"/>
      <c r="AQ447" s="58"/>
      <c r="AR447" s="58"/>
      <c r="AS447" s="58"/>
      <c r="AT447" s="59"/>
      <c r="AU447" s="58"/>
      <c r="AV447" s="58"/>
      <c r="AW447" s="58"/>
      <c r="AX447" s="58"/>
      <c r="AY447" s="58"/>
      <c r="AZ447" s="59"/>
      <c r="BA447" s="58"/>
      <c r="BB447" s="58"/>
      <c r="BC447" s="58"/>
      <c r="BD447" s="58"/>
      <c r="BE447" s="58"/>
      <c r="BF447" s="59"/>
      <c r="BG447" s="58"/>
      <c r="BH447" s="58"/>
      <c r="BI447" s="58"/>
      <c r="BJ447" s="58"/>
      <c r="BK447" s="58"/>
      <c r="BL447" s="59"/>
      <c r="BM447" s="58"/>
      <c r="BN447" s="58"/>
      <c r="BO447" s="58"/>
      <c r="BP447" s="58"/>
      <c r="BQ447" s="58"/>
      <c r="BR447" s="58"/>
      <c r="BS447" s="58"/>
      <c r="BT447" s="58"/>
      <c r="BU447" s="58"/>
      <c r="BV447" s="58"/>
      <c r="BW447" s="58"/>
      <c r="BX447" s="58"/>
      <c r="BY447" s="58"/>
      <c r="BZ447" s="58"/>
      <c r="CA447" s="58"/>
      <c r="CB447" s="58"/>
      <c r="CC447" s="58"/>
      <c r="CD447" s="58"/>
      <c r="CE447" s="58"/>
      <c r="CF447" s="58"/>
      <c r="CG447" s="58"/>
      <c r="CH447" s="58"/>
      <c r="CI447" s="58"/>
      <c r="CJ447" s="58"/>
      <c r="CK447" s="58"/>
      <c r="CL447" s="58"/>
      <c r="CM447" s="58"/>
      <c r="CN447" s="58"/>
      <c r="CO447" s="58"/>
      <c r="CP447" s="58"/>
      <c r="CQ447" s="58"/>
      <c r="CR447" s="58"/>
      <c r="CS447" s="58"/>
      <c r="CT447" s="58"/>
      <c r="CU447" s="58"/>
    </row>
    <row r="448" spans="1:99" ht="15" thickBot="1" x14ac:dyDescent="0.4">
      <c r="A448" s="14"/>
      <c r="B448" s="14"/>
      <c r="C448" s="14"/>
      <c r="D448" s="14"/>
      <c r="E448" s="14"/>
      <c r="F448" s="14"/>
      <c r="G448" s="14"/>
      <c r="H448" s="14"/>
      <c r="I448" s="14"/>
      <c r="J448" s="41"/>
      <c r="L448" s="58"/>
      <c r="M448" s="58"/>
      <c r="N448" s="58"/>
      <c r="O448" s="58"/>
      <c r="P448" s="269"/>
      <c r="Q448" s="58"/>
      <c r="R448" s="58"/>
      <c r="S448" s="58"/>
      <c r="T448" s="58"/>
      <c r="U448" s="58"/>
      <c r="V448" s="269"/>
      <c r="W448" s="58"/>
      <c r="X448" s="58"/>
      <c r="Y448" s="58"/>
      <c r="Z448" s="58"/>
      <c r="AA448" s="58"/>
      <c r="AB448" s="269"/>
      <c r="AC448" s="58"/>
      <c r="AD448" s="58"/>
      <c r="AE448" s="58"/>
      <c r="AF448" s="58"/>
      <c r="AG448" s="58"/>
      <c r="AH448" s="269"/>
      <c r="AI448" s="58"/>
      <c r="AJ448" s="58"/>
      <c r="AK448" s="58"/>
      <c r="AL448" s="58"/>
      <c r="AM448" s="58"/>
      <c r="AN448" s="59"/>
      <c r="AO448" s="58"/>
      <c r="AP448" s="58"/>
      <c r="AQ448" s="58"/>
      <c r="AR448" s="58"/>
      <c r="AS448" s="58"/>
      <c r="AT448" s="59"/>
      <c r="AU448" s="58"/>
      <c r="AV448" s="58"/>
      <c r="AW448" s="58"/>
      <c r="AX448" s="58"/>
      <c r="AY448" s="58"/>
      <c r="AZ448" s="59"/>
      <c r="BA448" s="58"/>
      <c r="BB448" s="58"/>
      <c r="BC448" s="58"/>
      <c r="BD448" s="58"/>
      <c r="BE448" s="58"/>
      <c r="BF448" s="59"/>
      <c r="BG448" s="58"/>
      <c r="BH448" s="58"/>
      <c r="BI448" s="58"/>
      <c r="BJ448" s="58"/>
      <c r="BK448" s="58"/>
      <c r="BL448" s="59"/>
      <c r="BM448" s="58"/>
      <c r="BN448" s="58"/>
      <c r="BO448" s="58"/>
      <c r="BP448" s="58"/>
      <c r="BQ448" s="58"/>
      <c r="BR448" s="58"/>
      <c r="BS448" s="58"/>
      <c r="BT448" s="58"/>
      <c r="BU448" s="58"/>
      <c r="BV448" s="58"/>
      <c r="BW448" s="58"/>
      <c r="BX448" s="58"/>
      <c r="BY448" s="58"/>
      <c r="BZ448" s="58"/>
      <c r="CA448" s="58"/>
      <c r="CB448" s="58"/>
      <c r="CC448" s="58"/>
      <c r="CD448" s="58"/>
      <c r="CE448" s="58"/>
      <c r="CF448" s="58"/>
      <c r="CG448" s="58"/>
      <c r="CH448" s="58"/>
      <c r="CI448" s="58"/>
      <c r="CJ448" s="58"/>
      <c r="CK448" s="58"/>
      <c r="CL448" s="58"/>
      <c r="CM448" s="58"/>
      <c r="CN448" s="58"/>
      <c r="CO448" s="58"/>
      <c r="CP448" s="58"/>
      <c r="CQ448" s="58"/>
      <c r="CR448" s="58"/>
      <c r="CS448" s="58"/>
      <c r="CT448" s="58"/>
      <c r="CU448" s="58"/>
    </row>
    <row r="449" spans="1:99" ht="15" thickBot="1" x14ac:dyDescent="0.4">
      <c r="A449" s="14"/>
      <c r="B449" s="14"/>
      <c r="C449" s="14"/>
      <c r="D449" s="14"/>
      <c r="E449" s="14"/>
      <c r="F449" s="14"/>
      <c r="G449" s="14"/>
      <c r="H449" s="14"/>
      <c r="I449" s="14"/>
      <c r="J449" s="41"/>
      <c r="L449" s="58"/>
      <c r="M449" s="58"/>
      <c r="N449" s="58"/>
      <c r="O449" s="58"/>
      <c r="P449" s="269"/>
      <c r="Q449" s="58"/>
      <c r="R449" s="58"/>
      <c r="S449" s="58"/>
      <c r="T449" s="58"/>
      <c r="U449" s="58"/>
      <c r="V449" s="269"/>
      <c r="W449" s="58"/>
      <c r="X449" s="58"/>
      <c r="Y449" s="58"/>
      <c r="Z449" s="58"/>
      <c r="AA449" s="58"/>
      <c r="AB449" s="269"/>
      <c r="AC449" s="58"/>
      <c r="AD449" s="58"/>
      <c r="AE449" s="58"/>
      <c r="AF449" s="58"/>
      <c r="AG449" s="58"/>
      <c r="AH449" s="269"/>
      <c r="AI449" s="58"/>
      <c r="AJ449" s="58"/>
      <c r="AK449" s="58"/>
      <c r="AL449" s="58"/>
      <c r="AM449" s="58"/>
      <c r="AN449" s="59"/>
      <c r="AO449" s="58"/>
      <c r="AP449" s="58"/>
      <c r="AQ449" s="58"/>
      <c r="AR449" s="58"/>
      <c r="AS449" s="58"/>
      <c r="AT449" s="59"/>
      <c r="AU449" s="58"/>
      <c r="AV449" s="58"/>
      <c r="AW449" s="58"/>
      <c r="AX449" s="58"/>
      <c r="AY449" s="58"/>
      <c r="AZ449" s="59"/>
      <c r="BA449" s="58"/>
      <c r="BB449" s="58"/>
      <c r="BC449" s="58"/>
      <c r="BD449" s="58"/>
      <c r="BE449" s="58"/>
      <c r="BF449" s="59"/>
      <c r="BG449" s="58"/>
      <c r="BH449" s="58"/>
      <c r="BI449" s="58"/>
      <c r="BJ449" s="58"/>
      <c r="BK449" s="58"/>
      <c r="BL449" s="59"/>
      <c r="BM449" s="58"/>
      <c r="BN449" s="58"/>
      <c r="BO449" s="58"/>
      <c r="BP449" s="58"/>
      <c r="BQ449" s="58"/>
      <c r="BR449" s="58"/>
      <c r="BS449" s="58"/>
      <c r="BT449" s="58"/>
      <c r="BU449" s="58"/>
      <c r="BV449" s="58"/>
      <c r="BW449" s="58"/>
      <c r="BX449" s="58"/>
      <c r="BY449" s="58"/>
      <c r="BZ449" s="58"/>
      <c r="CA449" s="58"/>
      <c r="CB449" s="58"/>
      <c r="CC449" s="58"/>
      <c r="CD449" s="58"/>
      <c r="CE449" s="58"/>
      <c r="CF449" s="58"/>
      <c r="CG449" s="58"/>
      <c r="CH449" s="58"/>
      <c r="CI449" s="58"/>
      <c r="CJ449" s="58"/>
      <c r="CK449" s="58"/>
      <c r="CL449" s="58"/>
      <c r="CM449" s="58"/>
      <c r="CN449" s="58"/>
      <c r="CO449" s="58"/>
      <c r="CP449" s="58"/>
      <c r="CQ449" s="58"/>
      <c r="CR449" s="58"/>
      <c r="CS449" s="58"/>
      <c r="CT449" s="58"/>
      <c r="CU449" s="58"/>
    </row>
    <row r="450" spans="1:99" ht="15" thickBot="1" x14ac:dyDescent="0.4">
      <c r="A450" s="14"/>
      <c r="B450" s="14"/>
      <c r="C450" s="14"/>
      <c r="D450" s="14"/>
      <c r="E450" s="14"/>
      <c r="F450" s="14"/>
      <c r="G450" s="14"/>
      <c r="H450" s="14"/>
      <c r="I450" s="14"/>
      <c r="J450" s="41"/>
      <c r="L450" s="58"/>
      <c r="M450" s="58"/>
      <c r="N450" s="58"/>
      <c r="O450" s="58"/>
      <c r="P450" s="269"/>
      <c r="Q450" s="58"/>
      <c r="R450" s="58"/>
      <c r="S450" s="58"/>
      <c r="T450" s="58"/>
      <c r="U450" s="58"/>
      <c r="V450" s="269"/>
      <c r="W450" s="58"/>
      <c r="X450" s="58"/>
      <c r="Y450" s="58"/>
      <c r="Z450" s="58"/>
      <c r="AA450" s="58"/>
      <c r="AB450" s="269"/>
      <c r="AC450" s="58"/>
      <c r="AD450" s="58"/>
      <c r="AE450" s="58"/>
      <c r="AF450" s="58"/>
      <c r="AG450" s="58"/>
      <c r="AH450" s="269"/>
      <c r="AI450" s="58"/>
      <c r="AJ450" s="58"/>
      <c r="AK450" s="58"/>
      <c r="AL450" s="58"/>
      <c r="AM450" s="58"/>
      <c r="AN450" s="59"/>
      <c r="AO450" s="58"/>
      <c r="AP450" s="58"/>
      <c r="AQ450" s="58"/>
      <c r="AR450" s="58"/>
      <c r="AS450" s="58"/>
      <c r="AT450" s="59"/>
      <c r="AU450" s="58"/>
      <c r="AV450" s="58"/>
      <c r="AW450" s="58"/>
      <c r="AX450" s="58"/>
      <c r="AY450" s="58"/>
      <c r="AZ450" s="59"/>
      <c r="BA450" s="58"/>
      <c r="BB450" s="58"/>
      <c r="BC450" s="58"/>
      <c r="BD450" s="58"/>
      <c r="BE450" s="58"/>
      <c r="BF450" s="59"/>
      <c r="BG450" s="58"/>
      <c r="BH450" s="58"/>
      <c r="BI450" s="58"/>
      <c r="BJ450" s="58"/>
      <c r="BK450" s="58"/>
      <c r="BL450" s="59"/>
      <c r="BM450" s="58"/>
      <c r="BN450" s="58"/>
      <c r="BO450" s="58"/>
      <c r="BP450" s="58"/>
      <c r="BQ450" s="58"/>
      <c r="BR450" s="58"/>
      <c r="BS450" s="58"/>
      <c r="BT450" s="58"/>
      <c r="BU450" s="58"/>
      <c r="BV450" s="58"/>
      <c r="BW450" s="58"/>
      <c r="BX450" s="58"/>
      <c r="BY450" s="58"/>
      <c r="BZ450" s="58"/>
      <c r="CA450" s="58"/>
      <c r="CB450" s="58"/>
      <c r="CC450" s="58"/>
      <c r="CD450" s="58"/>
      <c r="CE450" s="58"/>
      <c r="CF450" s="58"/>
      <c r="CG450" s="58"/>
      <c r="CH450" s="58"/>
      <c r="CI450" s="58"/>
      <c r="CJ450" s="58"/>
      <c r="CK450" s="58"/>
      <c r="CL450" s="58"/>
      <c r="CM450" s="58"/>
      <c r="CN450" s="58"/>
      <c r="CO450" s="58"/>
      <c r="CP450" s="58"/>
      <c r="CQ450" s="58"/>
      <c r="CR450" s="58"/>
      <c r="CS450" s="58"/>
      <c r="CT450" s="58"/>
      <c r="CU450" s="58"/>
    </row>
    <row r="451" spans="1:99" ht="15" thickBot="1" x14ac:dyDescent="0.4">
      <c r="A451" s="14"/>
      <c r="B451" s="14"/>
      <c r="C451" s="14"/>
      <c r="D451" s="14"/>
      <c r="E451" s="14"/>
      <c r="F451" s="14"/>
      <c r="G451" s="14"/>
      <c r="H451" s="14"/>
      <c r="I451" s="14"/>
      <c r="J451" s="41"/>
      <c r="L451" s="58"/>
      <c r="M451" s="58"/>
      <c r="N451" s="58"/>
      <c r="O451" s="58"/>
      <c r="P451" s="269"/>
      <c r="Q451" s="58"/>
      <c r="R451" s="58"/>
      <c r="S451" s="58"/>
      <c r="T451" s="58"/>
      <c r="U451" s="58"/>
      <c r="V451" s="269"/>
      <c r="W451" s="58"/>
      <c r="X451" s="58"/>
      <c r="Y451" s="58"/>
      <c r="Z451" s="58"/>
      <c r="AA451" s="58"/>
      <c r="AB451" s="269"/>
      <c r="AC451" s="58"/>
      <c r="AD451" s="58"/>
      <c r="AE451" s="58"/>
      <c r="AF451" s="58"/>
      <c r="AG451" s="58"/>
      <c r="AH451" s="269"/>
      <c r="AI451" s="58"/>
      <c r="AJ451" s="58"/>
      <c r="AK451" s="58"/>
      <c r="AL451" s="58"/>
      <c r="AM451" s="58"/>
      <c r="AN451" s="59"/>
      <c r="AO451" s="58"/>
      <c r="AP451" s="58"/>
      <c r="AQ451" s="58"/>
      <c r="AR451" s="58"/>
      <c r="AS451" s="58"/>
      <c r="AT451" s="59"/>
      <c r="AU451" s="58"/>
      <c r="AV451" s="58"/>
      <c r="AW451" s="58"/>
      <c r="AX451" s="58"/>
      <c r="AY451" s="58"/>
      <c r="AZ451" s="59"/>
      <c r="BA451" s="58"/>
      <c r="BB451" s="58"/>
      <c r="BC451" s="58"/>
      <c r="BD451" s="58"/>
      <c r="BE451" s="58"/>
      <c r="BF451" s="59"/>
      <c r="BG451" s="58"/>
      <c r="BH451" s="58"/>
      <c r="BI451" s="58"/>
      <c r="BJ451" s="58"/>
      <c r="BK451" s="58"/>
      <c r="BL451" s="59"/>
      <c r="BM451" s="58"/>
      <c r="BN451" s="58"/>
      <c r="BO451" s="58"/>
      <c r="BP451" s="58"/>
      <c r="BQ451" s="58"/>
      <c r="BR451" s="58"/>
      <c r="BS451" s="58"/>
      <c r="BT451" s="58"/>
      <c r="BU451" s="58"/>
      <c r="BV451" s="58"/>
      <c r="BW451" s="58"/>
      <c r="BX451" s="58"/>
      <c r="BY451" s="58"/>
      <c r="BZ451" s="58"/>
      <c r="CA451" s="58"/>
      <c r="CB451" s="58"/>
      <c r="CC451" s="58"/>
      <c r="CD451" s="58"/>
      <c r="CE451" s="58"/>
      <c r="CF451" s="58"/>
      <c r="CG451" s="58"/>
      <c r="CH451" s="58"/>
      <c r="CI451" s="58"/>
      <c r="CJ451" s="58"/>
      <c r="CK451" s="58"/>
      <c r="CL451" s="58"/>
      <c r="CM451" s="58"/>
      <c r="CN451" s="58"/>
      <c r="CO451" s="58"/>
      <c r="CP451" s="58"/>
      <c r="CQ451" s="58"/>
      <c r="CR451" s="58"/>
      <c r="CS451" s="58"/>
      <c r="CT451" s="58"/>
      <c r="CU451" s="58"/>
    </row>
    <row r="452" spans="1:99" ht="15" thickBot="1" x14ac:dyDescent="0.4">
      <c r="A452" s="14"/>
      <c r="B452" s="14"/>
      <c r="C452" s="14"/>
      <c r="D452" s="14"/>
      <c r="E452" s="14"/>
      <c r="F452" s="14"/>
      <c r="G452" s="14"/>
      <c r="H452" s="14"/>
      <c r="I452" s="14"/>
      <c r="J452" s="41"/>
      <c r="L452" s="58"/>
      <c r="M452" s="58"/>
      <c r="N452" s="58"/>
      <c r="O452" s="58"/>
      <c r="P452" s="269"/>
      <c r="Q452" s="58"/>
      <c r="R452" s="58"/>
      <c r="S452" s="58"/>
      <c r="T452" s="58"/>
      <c r="U452" s="58"/>
      <c r="V452" s="269"/>
      <c r="W452" s="58"/>
      <c r="X452" s="58"/>
      <c r="Y452" s="58"/>
      <c r="Z452" s="58"/>
      <c r="AA452" s="58"/>
      <c r="AB452" s="269"/>
      <c r="AC452" s="58"/>
      <c r="AD452" s="58"/>
      <c r="AE452" s="58"/>
      <c r="AF452" s="58"/>
      <c r="AG452" s="58"/>
      <c r="AH452" s="269"/>
      <c r="AI452" s="58"/>
      <c r="AJ452" s="58"/>
      <c r="AK452" s="58"/>
      <c r="AL452" s="58"/>
      <c r="AM452" s="58"/>
      <c r="AN452" s="59"/>
      <c r="AO452" s="58"/>
      <c r="AP452" s="58"/>
      <c r="AQ452" s="58"/>
      <c r="AR452" s="58"/>
      <c r="AS452" s="58"/>
      <c r="AT452" s="59"/>
      <c r="AU452" s="58"/>
      <c r="AV452" s="58"/>
      <c r="AW452" s="58"/>
      <c r="AX452" s="58"/>
      <c r="AY452" s="58"/>
      <c r="AZ452" s="59"/>
      <c r="BA452" s="58"/>
      <c r="BB452" s="58"/>
      <c r="BC452" s="58"/>
      <c r="BD452" s="58"/>
      <c r="BE452" s="58"/>
      <c r="BF452" s="59"/>
      <c r="BG452" s="58"/>
      <c r="BH452" s="58"/>
      <c r="BI452" s="58"/>
      <c r="BJ452" s="58"/>
      <c r="BK452" s="58"/>
      <c r="BL452" s="59"/>
      <c r="BM452" s="58"/>
      <c r="BN452" s="58"/>
      <c r="BO452" s="58"/>
      <c r="BP452" s="58"/>
      <c r="BQ452" s="58"/>
      <c r="BR452" s="58"/>
      <c r="BS452" s="58"/>
      <c r="BT452" s="58"/>
      <c r="BU452" s="58"/>
      <c r="BV452" s="58"/>
      <c r="BW452" s="58"/>
      <c r="BX452" s="58"/>
      <c r="BY452" s="58"/>
      <c r="BZ452" s="58"/>
      <c r="CA452" s="58"/>
      <c r="CB452" s="58"/>
      <c r="CC452" s="58"/>
      <c r="CD452" s="58"/>
      <c r="CE452" s="58"/>
      <c r="CF452" s="58"/>
      <c r="CG452" s="58"/>
      <c r="CH452" s="58"/>
      <c r="CI452" s="58"/>
      <c r="CJ452" s="58"/>
      <c r="CK452" s="58"/>
      <c r="CL452" s="58"/>
      <c r="CM452" s="58"/>
      <c r="CN452" s="58"/>
      <c r="CO452" s="58"/>
      <c r="CP452" s="58"/>
      <c r="CQ452" s="58"/>
      <c r="CR452" s="58"/>
      <c r="CS452" s="58"/>
      <c r="CT452" s="58"/>
      <c r="CU452" s="58"/>
    </row>
    <row r="453" spans="1:99" ht="15" thickBot="1" x14ac:dyDescent="0.4">
      <c r="A453" s="14"/>
      <c r="B453" s="14"/>
      <c r="C453" s="14"/>
      <c r="D453" s="14"/>
      <c r="E453" s="14"/>
      <c r="F453" s="14"/>
      <c r="G453" s="14"/>
      <c r="H453" s="14"/>
      <c r="I453" s="14"/>
      <c r="J453" s="41"/>
      <c r="L453" s="58"/>
      <c r="M453" s="58"/>
      <c r="N453" s="58"/>
      <c r="O453" s="58"/>
      <c r="P453" s="269"/>
      <c r="Q453" s="58"/>
      <c r="R453" s="58"/>
      <c r="S453" s="58"/>
      <c r="T453" s="58"/>
      <c r="U453" s="58"/>
      <c r="V453" s="269"/>
      <c r="W453" s="58"/>
      <c r="X453" s="58"/>
      <c r="Y453" s="58"/>
      <c r="Z453" s="58"/>
      <c r="AA453" s="58"/>
      <c r="AB453" s="269"/>
      <c r="AC453" s="58"/>
      <c r="AD453" s="58"/>
      <c r="AE453" s="58"/>
      <c r="AF453" s="58"/>
      <c r="AG453" s="58"/>
      <c r="AH453" s="269"/>
      <c r="AI453" s="58"/>
      <c r="AJ453" s="58"/>
      <c r="AK453" s="58"/>
      <c r="AL453" s="58"/>
      <c r="AM453" s="58"/>
      <c r="AN453" s="59"/>
      <c r="AO453" s="58"/>
      <c r="AP453" s="58"/>
      <c r="AQ453" s="58"/>
      <c r="AR453" s="58"/>
      <c r="AS453" s="58"/>
      <c r="AT453" s="59"/>
      <c r="AU453" s="58"/>
      <c r="AV453" s="58"/>
      <c r="AW453" s="58"/>
      <c r="AX453" s="58"/>
      <c r="AY453" s="58"/>
      <c r="AZ453" s="59"/>
      <c r="BA453" s="58"/>
      <c r="BB453" s="58"/>
      <c r="BC453" s="58"/>
      <c r="BD453" s="58"/>
      <c r="BE453" s="58"/>
      <c r="BF453" s="59"/>
      <c r="BG453" s="58"/>
      <c r="BH453" s="58"/>
      <c r="BI453" s="58"/>
      <c r="BJ453" s="58"/>
      <c r="BK453" s="58"/>
      <c r="BL453" s="59"/>
      <c r="BM453" s="58"/>
      <c r="BN453" s="58"/>
      <c r="BO453" s="58"/>
      <c r="BP453" s="58"/>
      <c r="BQ453" s="58"/>
      <c r="BR453" s="58"/>
      <c r="BS453" s="58"/>
      <c r="BT453" s="58"/>
      <c r="BU453" s="58"/>
      <c r="BV453" s="58"/>
      <c r="BW453" s="58"/>
      <c r="BX453" s="58"/>
      <c r="BY453" s="58"/>
      <c r="BZ453" s="58"/>
      <c r="CA453" s="58"/>
      <c r="CB453" s="58"/>
      <c r="CC453" s="58"/>
      <c r="CD453" s="58"/>
      <c r="CE453" s="58"/>
      <c r="CF453" s="58"/>
      <c r="CG453" s="58"/>
      <c r="CH453" s="58"/>
      <c r="CI453" s="58"/>
      <c r="CJ453" s="58"/>
      <c r="CK453" s="58"/>
      <c r="CL453" s="58"/>
      <c r="CM453" s="58"/>
      <c r="CN453" s="58"/>
      <c r="CO453" s="58"/>
      <c r="CP453" s="58"/>
      <c r="CQ453" s="58"/>
      <c r="CR453" s="58"/>
      <c r="CS453" s="58"/>
      <c r="CT453" s="58"/>
      <c r="CU453" s="58"/>
    </row>
    <row r="454" spans="1:99" ht="15" thickBot="1" x14ac:dyDescent="0.4">
      <c r="A454" s="14"/>
      <c r="B454" s="14"/>
      <c r="C454" s="14"/>
      <c r="D454" s="14"/>
      <c r="E454" s="14"/>
      <c r="F454" s="14"/>
      <c r="G454" s="14"/>
      <c r="H454" s="14"/>
      <c r="I454" s="14"/>
      <c r="J454" s="41"/>
      <c r="L454" s="58"/>
      <c r="M454" s="58"/>
      <c r="N454" s="58"/>
      <c r="O454" s="58"/>
      <c r="P454" s="269"/>
      <c r="Q454" s="58"/>
      <c r="R454" s="58"/>
      <c r="S454" s="58"/>
      <c r="T454" s="58"/>
      <c r="U454" s="58"/>
      <c r="V454" s="269"/>
      <c r="W454" s="58"/>
      <c r="X454" s="58"/>
      <c r="Y454" s="58"/>
      <c r="Z454" s="58"/>
      <c r="AA454" s="58"/>
      <c r="AB454" s="269"/>
      <c r="AC454" s="58"/>
      <c r="AD454" s="58"/>
      <c r="AE454" s="58"/>
      <c r="AF454" s="58"/>
      <c r="AG454" s="58"/>
      <c r="AH454" s="269"/>
      <c r="AI454" s="58"/>
      <c r="AJ454" s="58"/>
      <c r="AK454" s="58"/>
      <c r="AL454" s="58"/>
      <c r="AM454" s="58"/>
      <c r="AN454" s="59"/>
      <c r="AO454" s="58"/>
      <c r="AP454" s="58"/>
      <c r="AQ454" s="58"/>
      <c r="AR454" s="58"/>
      <c r="AS454" s="58"/>
      <c r="AT454" s="59"/>
      <c r="AU454" s="58"/>
      <c r="AV454" s="58"/>
      <c r="AW454" s="58"/>
      <c r="AX454" s="58"/>
      <c r="AY454" s="58"/>
      <c r="AZ454" s="59"/>
      <c r="BA454" s="58"/>
      <c r="BB454" s="58"/>
      <c r="BC454" s="58"/>
      <c r="BD454" s="58"/>
      <c r="BE454" s="58"/>
      <c r="BF454" s="59"/>
      <c r="BG454" s="58"/>
      <c r="BH454" s="58"/>
      <c r="BI454" s="58"/>
      <c r="BJ454" s="58"/>
      <c r="BK454" s="58"/>
      <c r="BL454" s="59"/>
      <c r="BM454" s="58"/>
      <c r="BN454" s="58"/>
      <c r="BO454" s="58"/>
      <c r="BP454" s="58"/>
      <c r="BQ454" s="58"/>
      <c r="BR454" s="58"/>
      <c r="BS454" s="58"/>
      <c r="BT454" s="58"/>
      <c r="BU454" s="58"/>
      <c r="BV454" s="58"/>
      <c r="BW454" s="58"/>
      <c r="BX454" s="58"/>
      <c r="BY454" s="58"/>
      <c r="BZ454" s="58"/>
      <c r="CA454" s="58"/>
      <c r="CB454" s="58"/>
      <c r="CC454" s="58"/>
      <c r="CD454" s="58"/>
      <c r="CE454" s="58"/>
      <c r="CF454" s="58"/>
      <c r="CG454" s="58"/>
      <c r="CH454" s="58"/>
      <c r="CI454" s="58"/>
      <c r="CJ454" s="58"/>
      <c r="CK454" s="58"/>
      <c r="CL454" s="58"/>
      <c r="CM454" s="58"/>
      <c r="CN454" s="58"/>
      <c r="CO454" s="58"/>
      <c r="CP454" s="58"/>
      <c r="CQ454" s="58"/>
      <c r="CR454" s="58"/>
      <c r="CS454" s="58"/>
      <c r="CT454" s="58"/>
      <c r="CU454" s="58"/>
    </row>
    <row r="455" spans="1:99" ht="15" thickBot="1" x14ac:dyDescent="0.4">
      <c r="A455" s="14"/>
      <c r="B455" s="14"/>
      <c r="C455" s="14"/>
      <c r="D455" s="14"/>
      <c r="E455" s="14"/>
      <c r="F455" s="14"/>
      <c r="G455" s="14"/>
      <c r="H455" s="14"/>
      <c r="I455" s="14"/>
      <c r="J455" s="41"/>
      <c r="L455" s="58"/>
      <c r="M455" s="58"/>
      <c r="N455" s="58"/>
      <c r="O455" s="58"/>
      <c r="P455" s="269"/>
      <c r="Q455" s="58"/>
      <c r="R455" s="58"/>
      <c r="S455" s="58"/>
      <c r="T455" s="58"/>
      <c r="U455" s="58"/>
      <c r="V455" s="269"/>
      <c r="W455" s="58"/>
      <c r="X455" s="58"/>
      <c r="Y455" s="58"/>
      <c r="Z455" s="58"/>
      <c r="AA455" s="58"/>
      <c r="AB455" s="269"/>
      <c r="AC455" s="58"/>
      <c r="AD455" s="58"/>
      <c r="AE455" s="58"/>
      <c r="AF455" s="58"/>
      <c r="AG455" s="58"/>
      <c r="AH455" s="269"/>
      <c r="AI455" s="58"/>
      <c r="AJ455" s="58"/>
      <c r="AK455" s="58"/>
      <c r="AL455" s="58"/>
      <c r="AM455" s="58"/>
      <c r="AN455" s="59"/>
      <c r="AO455" s="58"/>
      <c r="AP455" s="58"/>
      <c r="AQ455" s="58"/>
      <c r="AR455" s="58"/>
      <c r="AS455" s="58"/>
      <c r="AT455" s="59"/>
      <c r="AU455" s="58"/>
      <c r="AV455" s="58"/>
      <c r="AW455" s="58"/>
      <c r="AX455" s="58"/>
      <c r="AY455" s="58"/>
      <c r="AZ455" s="59"/>
      <c r="BA455" s="58"/>
      <c r="BB455" s="58"/>
      <c r="BC455" s="58"/>
      <c r="BD455" s="58"/>
      <c r="BE455" s="58"/>
      <c r="BF455" s="59"/>
      <c r="BG455" s="58"/>
      <c r="BH455" s="58"/>
      <c r="BI455" s="58"/>
      <c r="BJ455" s="58"/>
      <c r="BK455" s="58"/>
      <c r="BL455" s="59"/>
      <c r="BM455" s="58"/>
      <c r="BN455" s="58"/>
      <c r="BO455" s="58"/>
      <c r="BP455" s="58"/>
      <c r="BQ455" s="58"/>
      <c r="BR455" s="58"/>
      <c r="BS455" s="58"/>
      <c r="BT455" s="58"/>
      <c r="BU455" s="58"/>
      <c r="BV455" s="58"/>
      <c r="BW455" s="58"/>
      <c r="BX455" s="58"/>
      <c r="BY455" s="58"/>
      <c r="BZ455" s="58"/>
      <c r="CA455" s="58"/>
      <c r="CB455" s="58"/>
      <c r="CC455" s="58"/>
      <c r="CD455" s="58"/>
      <c r="CE455" s="58"/>
      <c r="CF455" s="58"/>
      <c r="CG455" s="58"/>
      <c r="CH455" s="58"/>
      <c r="CI455" s="58"/>
      <c r="CJ455" s="58"/>
      <c r="CK455" s="58"/>
      <c r="CL455" s="58"/>
      <c r="CM455" s="58"/>
      <c r="CN455" s="58"/>
      <c r="CO455" s="58"/>
      <c r="CP455" s="58"/>
      <c r="CQ455" s="58"/>
      <c r="CR455" s="58"/>
      <c r="CS455" s="58"/>
      <c r="CT455" s="58"/>
      <c r="CU455" s="58"/>
    </row>
    <row r="456" spans="1:99" ht="15" thickBot="1" x14ac:dyDescent="0.4">
      <c r="A456" s="14"/>
      <c r="B456" s="14"/>
      <c r="C456" s="14"/>
      <c r="D456" s="14"/>
      <c r="E456" s="14"/>
      <c r="F456" s="14"/>
      <c r="G456" s="14"/>
      <c r="H456" s="14"/>
      <c r="I456" s="14"/>
      <c r="J456" s="41"/>
      <c r="L456" s="58"/>
      <c r="M456" s="58"/>
      <c r="N456" s="58"/>
      <c r="O456" s="58"/>
      <c r="P456" s="269"/>
      <c r="Q456" s="58"/>
      <c r="R456" s="58"/>
      <c r="S456" s="58"/>
      <c r="T456" s="58"/>
      <c r="U456" s="58"/>
      <c r="V456" s="269"/>
      <c r="W456" s="58"/>
      <c r="X456" s="58"/>
      <c r="Y456" s="58"/>
      <c r="Z456" s="58"/>
      <c r="AA456" s="58"/>
      <c r="AB456" s="269"/>
      <c r="AC456" s="58"/>
      <c r="AD456" s="58"/>
      <c r="AE456" s="58"/>
      <c r="AF456" s="58"/>
      <c r="AG456" s="58"/>
      <c r="AH456" s="269"/>
      <c r="AI456" s="58"/>
      <c r="AJ456" s="58"/>
      <c r="AK456" s="58"/>
      <c r="AL456" s="58"/>
      <c r="AM456" s="58"/>
      <c r="AN456" s="59"/>
      <c r="AO456" s="58"/>
      <c r="AP456" s="58"/>
      <c r="AQ456" s="58"/>
      <c r="AR456" s="58"/>
      <c r="AS456" s="58"/>
      <c r="AT456" s="59"/>
      <c r="AU456" s="58"/>
      <c r="AV456" s="58"/>
      <c r="AW456" s="58"/>
      <c r="AX456" s="58"/>
      <c r="AY456" s="58"/>
      <c r="AZ456" s="59"/>
      <c r="BA456" s="58"/>
      <c r="BB456" s="58"/>
      <c r="BC456" s="58"/>
      <c r="BD456" s="58"/>
      <c r="BE456" s="58"/>
      <c r="BF456" s="59"/>
      <c r="BG456" s="58"/>
      <c r="BH456" s="58"/>
      <c r="BI456" s="58"/>
      <c r="BJ456" s="58"/>
      <c r="BK456" s="58"/>
      <c r="BL456" s="59"/>
      <c r="BM456" s="58"/>
      <c r="BN456" s="58"/>
      <c r="BO456" s="58"/>
      <c r="BP456" s="58"/>
      <c r="BQ456" s="58"/>
      <c r="BR456" s="58"/>
      <c r="BS456" s="58"/>
      <c r="BT456" s="58"/>
      <c r="BU456" s="58"/>
      <c r="BV456" s="58"/>
      <c r="BW456" s="58"/>
      <c r="BX456" s="58"/>
      <c r="BY456" s="58"/>
      <c r="BZ456" s="58"/>
      <c r="CA456" s="58"/>
      <c r="CB456" s="58"/>
      <c r="CC456" s="58"/>
      <c r="CD456" s="58"/>
      <c r="CE456" s="58"/>
      <c r="CF456" s="58"/>
      <c r="CG456" s="58"/>
      <c r="CH456" s="58"/>
      <c r="CI456" s="58"/>
      <c r="CJ456" s="58"/>
      <c r="CK456" s="58"/>
      <c r="CL456" s="58"/>
      <c r="CM456" s="58"/>
      <c r="CN456" s="58"/>
      <c r="CO456" s="58"/>
      <c r="CP456" s="58"/>
      <c r="CQ456" s="58"/>
      <c r="CR456" s="58"/>
      <c r="CS456" s="58"/>
      <c r="CT456" s="58"/>
      <c r="CU456" s="58"/>
    </row>
    <row r="457" spans="1:99" ht="15" thickBot="1" x14ac:dyDescent="0.4">
      <c r="A457" s="14"/>
      <c r="B457" s="14"/>
      <c r="C457" s="14"/>
      <c r="D457" s="14"/>
      <c r="E457" s="14"/>
      <c r="F457" s="14"/>
      <c r="G457" s="14"/>
      <c r="H457" s="14"/>
      <c r="I457" s="14"/>
      <c r="J457" s="41"/>
      <c r="L457" s="58"/>
      <c r="M457" s="58"/>
      <c r="N457" s="58"/>
      <c r="O457" s="58"/>
      <c r="P457" s="269"/>
      <c r="Q457" s="58"/>
      <c r="R457" s="58"/>
      <c r="S457" s="58"/>
      <c r="T457" s="58"/>
      <c r="U457" s="58"/>
      <c r="V457" s="269"/>
      <c r="W457" s="58"/>
      <c r="X457" s="58"/>
      <c r="Y457" s="58"/>
      <c r="Z457" s="58"/>
      <c r="AA457" s="58"/>
      <c r="AB457" s="269"/>
      <c r="AC457" s="58"/>
      <c r="AD457" s="58"/>
      <c r="AE457" s="58"/>
      <c r="AF457" s="58"/>
      <c r="AG457" s="58"/>
      <c r="AH457" s="269"/>
      <c r="AI457" s="58"/>
      <c r="AJ457" s="58"/>
      <c r="AK457" s="58"/>
      <c r="AL457" s="58"/>
      <c r="AM457" s="58"/>
      <c r="AN457" s="59"/>
      <c r="AO457" s="58"/>
      <c r="AP457" s="58"/>
      <c r="AQ457" s="58"/>
      <c r="AR457" s="58"/>
      <c r="AS457" s="58"/>
      <c r="AT457" s="59"/>
      <c r="AU457" s="58"/>
      <c r="AV457" s="58"/>
      <c r="AW457" s="58"/>
      <c r="AX457" s="58"/>
      <c r="AY457" s="58"/>
      <c r="AZ457" s="59"/>
      <c r="BA457" s="58"/>
      <c r="BB457" s="58"/>
      <c r="BC457" s="58"/>
      <c r="BD457" s="58"/>
      <c r="BE457" s="58"/>
      <c r="BF457" s="59"/>
      <c r="BG457" s="58"/>
      <c r="BH457" s="58"/>
      <c r="BI457" s="58"/>
      <c r="BJ457" s="58"/>
      <c r="BK457" s="58"/>
      <c r="BL457" s="59"/>
      <c r="BM457" s="58"/>
      <c r="BN457" s="58"/>
      <c r="BO457" s="58"/>
      <c r="BP457" s="58"/>
      <c r="BQ457" s="58"/>
      <c r="BR457" s="58"/>
      <c r="BS457" s="58"/>
      <c r="BT457" s="58"/>
      <c r="BU457" s="58"/>
      <c r="BV457" s="58"/>
      <c r="BW457" s="58"/>
      <c r="BX457" s="58"/>
      <c r="BY457" s="58"/>
      <c r="BZ457" s="58"/>
      <c r="CA457" s="58"/>
      <c r="CB457" s="58"/>
      <c r="CC457" s="58"/>
      <c r="CD457" s="58"/>
      <c r="CE457" s="58"/>
      <c r="CF457" s="58"/>
      <c r="CG457" s="58"/>
      <c r="CH457" s="58"/>
      <c r="CI457" s="58"/>
      <c r="CJ457" s="58"/>
      <c r="CK457" s="58"/>
      <c r="CL457" s="58"/>
      <c r="CM457" s="58"/>
      <c r="CN457" s="58"/>
      <c r="CO457" s="58"/>
      <c r="CP457" s="58"/>
      <c r="CQ457" s="58"/>
      <c r="CR457" s="58"/>
      <c r="CS457" s="58"/>
      <c r="CT457" s="58"/>
      <c r="CU457" s="58"/>
    </row>
    <row r="458" spans="1:99" ht="15" thickBot="1" x14ac:dyDescent="0.4">
      <c r="A458" s="14"/>
      <c r="B458" s="14"/>
      <c r="C458" s="14"/>
      <c r="D458" s="14"/>
      <c r="E458" s="14"/>
      <c r="F458" s="14"/>
      <c r="G458" s="14"/>
      <c r="H458" s="14"/>
      <c r="I458" s="14"/>
      <c r="J458" s="41"/>
      <c r="L458" s="58"/>
      <c r="M458" s="58"/>
      <c r="N458" s="58"/>
      <c r="O458" s="58"/>
      <c r="P458" s="269"/>
      <c r="Q458" s="58"/>
      <c r="R458" s="58"/>
      <c r="S458" s="58"/>
      <c r="T458" s="58"/>
      <c r="U458" s="58"/>
      <c r="V458" s="269"/>
      <c r="W458" s="58"/>
      <c r="X458" s="58"/>
      <c r="Y458" s="58"/>
      <c r="Z458" s="58"/>
      <c r="AA458" s="58"/>
      <c r="AB458" s="269"/>
      <c r="AC458" s="58"/>
      <c r="AD458" s="58"/>
      <c r="AE458" s="58"/>
      <c r="AF458" s="58"/>
      <c r="AG458" s="58"/>
      <c r="AH458" s="269"/>
      <c r="AI458" s="58"/>
      <c r="AJ458" s="58"/>
      <c r="AK458" s="58"/>
      <c r="AL458" s="58"/>
      <c r="AM458" s="58"/>
      <c r="AN458" s="59"/>
      <c r="AO458" s="58"/>
      <c r="AP458" s="58"/>
      <c r="AQ458" s="58"/>
      <c r="AR458" s="58"/>
      <c r="AS458" s="58"/>
      <c r="AT458" s="59"/>
      <c r="AU458" s="58"/>
      <c r="AV458" s="58"/>
      <c r="AW458" s="58"/>
      <c r="AX458" s="58"/>
      <c r="AY458" s="58"/>
      <c r="AZ458" s="59"/>
      <c r="BA458" s="58"/>
      <c r="BB458" s="58"/>
      <c r="BC458" s="58"/>
      <c r="BD458" s="58"/>
      <c r="BE458" s="58"/>
      <c r="BF458" s="59"/>
      <c r="BG458" s="58"/>
      <c r="BH458" s="58"/>
      <c r="BI458" s="58"/>
      <c r="BJ458" s="58"/>
      <c r="BK458" s="58"/>
      <c r="BL458" s="59"/>
      <c r="BM458" s="58"/>
      <c r="BN458" s="58"/>
      <c r="BO458" s="58"/>
      <c r="BP458" s="58"/>
      <c r="BQ458" s="58"/>
      <c r="BR458" s="58"/>
      <c r="BS458" s="58"/>
      <c r="BT458" s="58"/>
      <c r="BU458" s="58"/>
      <c r="BV458" s="58"/>
      <c r="BW458" s="58"/>
      <c r="BX458" s="58"/>
      <c r="BY458" s="58"/>
      <c r="BZ458" s="58"/>
      <c r="CA458" s="58"/>
      <c r="CB458" s="58"/>
      <c r="CC458" s="58"/>
      <c r="CD458" s="58"/>
      <c r="CE458" s="58"/>
      <c r="CF458" s="58"/>
      <c r="CG458" s="58"/>
      <c r="CH458" s="58"/>
      <c r="CI458" s="58"/>
      <c r="CJ458" s="58"/>
      <c r="CK458" s="58"/>
      <c r="CL458" s="58"/>
      <c r="CM458" s="58"/>
      <c r="CN458" s="58"/>
      <c r="CO458" s="58"/>
      <c r="CP458" s="58"/>
      <c r="CQ458" s="58"/>
      <c r="CR458" s="58"/>
      <c r="CS458" s="58"/>
      <c r="CT458" s="58"/>
      <c r="CU458" s="58"/>
    </row>
    <row r="459" spans="1:99" ht="15" thickBot="1" x14ac:dyDescent="0.4">
      <c r="A459" s="14"/>
      <c r="B459" s="14"/>
      <c r="C459" s="14"/>
      <c r="D459" s="14"/>
      <c r="E459" s="14"/>
      <c r="F459" s="14"/>
      <c r="G459" s="14"/>
      <c r="H459" s="14"/>
      <c r="I459" s="14"/>
      <c r="J459" s="41"/>
      <c r="L459" s="58"/>
      <c r="M459" s="58"/>
      <c r="N459" s="58"/>
      <c r="O459" s="58"/>
      <c r="P459" s="269"/>
      <c r="Q459" s="58"/>
      <c r="R459" s="58"/>
      <c r="S459" s="58"/>
      <c r="T459" s="58"/>
      <c r="U459" s="58"/>
      <c r="V459" s="269"/>
      <c r="W459" s="58"/>
      <c r="X459" s="58"/>
      <c r="Y459" s="58"/>
      <c r="Z459" s="58"/>
      <c r="AA459" s="58"/>
      <c r="AB459" s="269"/>
      <c r="AC459" s="58"/>
      <c r="AD459" s="58"/>
      <c r="AE459" s="58"/>
      <c r="AF459" s="58"/>
      <c r="AG459" s="58"/>
      <c r="AH459" s="269"/>
      <c r="AI459" s="58"/>
      <c r="AJ459" s="58"/>
      <c r="AK459" s="58"/>
      <c r="AL459" s="58"/>
      <c r="AM459" s="58"/>
      <c r="AN459" s="59"/>
      <c r="AO459" s="58"/>
      <c r="AP459" s="58"/>
      <c r="AQ459" s="58"/>
      <c r="AR459" s="58"/>
      <c r="AS459" s="58"/>
      <c r="AT459" s="59"/>
      <c r="AU459" s="58"/>
      <c r="AV459" s="58"/>
      <c r="AW459" s="58"/>
      <c r="AX459" s="58"/>
      <c r="AY459" s="58"/>
      <c r="AZ459" s="59"/>
      <c r="BA459" s="58"/>
      <c r="BB459" s="58"/>
      <c r="BC459" s="58"/>
      <c r="BD459" s="58"/>
      <c r="BE459" s="58"/>
      <c r="BF459" s="59"/>
      <c r="BG459" s="58"/>
      <c r="BH459" s="58"/>
      <c r="BI459" s="58"/>
      <c r="BJ459" s="58"/>
      <c r="BK459" s="58"/>
      <c r="BL459" s="59"/>
      <c r="BM459" s="58"/>
      <c r="BN459" s="58"/>
      <c r="BO459" s="58"/>
      <c r="BP459" s="58"/>
      <c r="BQ459" s="58"/>
      <c r="BR459" s="58"/>
      <c r="BS459" s="58"/>
      <c r="BT459" s="58"/>
      <c r="BU459" s="58"/>
      <c r="BV459" s="58"/>
      <c r="BW459" s="58"/>
      <c r="BX459" s="58"/>
      <c r="BY459" s="58"/>
      <c r="BZ459" s="58"/>
      <c r="CA459" s="58"/>
      <c r="CB459" s="58"/>
      <c r="CC459" s="58"/>
      <c r="CD459" s="58"/>
      <c r="CE459" s="58"/>
      <c r="CF459" s="58"/>
      <c r="CG459" s="58"/>
      <c r="CH459" s="58"/>
      <c r="CI459" s="58"/>
      <c r="CJ459" s="58"/>
      <c r="CK459" s="58"/>
      <c r="CL459" s="58"/>
      <c r="CM459" s="58"/>
      <c r="CN459" s="58"/>
      <c r="CO459" s="58"/>
      <c r="CP459" s="58"/>
      <c r="CQ459" s="58"/>
      <c r="CR459" s="58"/>
      <c r="CS459" s="58"/>
      <c r="CT459" s="58"/>
      <c r="CU459" s="58"/>
    </row>
    <row r="460" spans="1:99" ht="15" thickBot="1" x14ac:dyDescent="0.4">
      <c r="A460" s="14"/>
      <c r="B460" s="14"/>
      <c r="C460" s="14"/>
      <c r="D460" s="14"/>
      <c r="E460" s="14"/>
      <c r="F460" s="14"/>
      <c r="G460" s="14"/>
      <c r="H460" s="14"/>
      <c r="I460" s="14"/>
      <c r="J460" s="41"/>
      <c r="L460" s="58"/>
      <c r="M460" s="58"/>
      <c r="N460" s="58"/>
      <c r="O460" s="58"/>
      <c r="P460" s="269"/>
      <c r="Q460" s="58"/>
      <c r="R460" s="58"/>
      <c r="S460" s="58"/>
      <c r="T460" s="58"/>
      <c r="U460" s="58"/>
      <c r="V460" s="269"/>
      <c r="W460" s="58"/>
      <c r="X460" s="58"/>
      <c r="Y460" s="58"/>
      <c r="Z460" s="58"/>
      <c r="AA460" s="58"/>
      <c r="AB460" s="269"/>
      <c r="AC460" s="58"/>
      <c r="AD460" s="58"/>
      <c r="AE460" s="58"/>
      <c r="AF460" s="58"/>
      <c r="AG460" s="58"/>
      <c r="AH460" s="269"/>
      <c r="AI460" s="58"/>
      <c r="AJ460" s="58"/>
      <c r="AK460" s="58"/>
      <c r="AL460" s="58"/>
      <c r="AM460" s="58"/>
      <c r="AN460" s="59"/>
      <c r="AO460" s="58"/>
      <c r="AP460" s="58"/>
      <c r="AQ460" s="58"/>
      <c r="AR460" s="58"/>
      <c r="AS460" s="58"/>
      <c r="AT460" s="59"/>
      <c r="AU460" s="58"/>
      <c r="AV460" s="58"/>
      <c r="AW460" s="58"/>
      <c r="AX460" s="58"/>
      <c r="AY460" s="58"/>
      <c r="AZ460" s="59"/>
      <c r="BA460" s="58"/>
      <c r="BB460" s="58"/>
      <c r="BC460" s="58"/>
      <c r="BD460" s="58"/>
      <c r="BE460" s="58"/>
      <c r="BF460" s="59"/>
      <c r="BG460" s="58"/>
      <c r="BH460" s="58"/>
      <c r="BI460" s="58"/>
      <c r="BJ460" s="58"/>
      <c r="BK460" s="58"/>
      <c r="BL460" s="59"/>
      <c r="BM460" s="58"/>
      <c r="BN460" s="58"/>
      <c r="BO460" s="58"/>
      <c r="BP460" s="58"/>
      <c r="BQ460" s="58"/>
      <c r="BR460" s="58"/>
      <c r="BS460" s="58"/>
      <c r="BT460" s="58"/>
      <c r="BU460" s="58"/>
      <c r="BV460" s="58"/>
      <c r="BW460" s="58"/>
      <c r="BX460" s="58"/>
      <c r="BY460" s="58"/>
      <c r="BZ460" s="58"/>
      <c r="CA460" s="58"/>
      <c r="CB460" s="58"/>
      <c r="CC460" s="58"/>
      <c r="CD460" s="58"/>
      <c r="CE460" s="58"/>
      <c r="CF460" s="58"/>
      <c r="CG460" s="58"/>
      <c r="CH460" s="58"/>
      <c r="CI460" s="58"/>
      <c r="CJ460" s="58"/>
      <c r="CK460" s="58"/>
      <c r="CL460" s="58"/>
      <c r="CM460" s="58"/>
      <c r="CN460" s="58"/>
      <c r="CO460" s="58"/>
      <c r="CP460" s="58"/>
      <c r="CQ460" s="58"/>
      <c r="CR460" s="58"/>
      <c r="CS460" s="58"/>
      <c r="CT460" s="58"/>
      <c r="CU460" s="58"/>
    </row>
    <row r="461" spans="1:99" ht="15" thickBot="1" x14ac:dyDescent="0.4">
      <c r="A461" s="14"/>
      <c r="B461" s="14"/>
      <c r="C461" s="14"/>
      <c r="D461" s="14"/>
      <c r="E461" s="14"/>
      <c r="F461" s="14"/>
      <c r="G461" s="14"/>
      <c r="H461" s="14"/>
      <c r="I461" s="14"/>
      <c r="J461" s="41"/>
      <c r="L461" s="58"/>
      <c r="M461" s="58"/>
      <c r="N461" s="58"/>
      <c r="O461" s="58"/>
      <c r="P461" s="269"/>
      <c r="Q461" s="58"/>
      <c r="R461" s="58"/>
      <c r="S461" s="58"/>
      <c r="T461" s="58"/>
      <c r="U461" s="58"/>
      <c r="V461" s="269"/>
      <c r="W461" s="58"/>
      <c r="X461" s="58"/>
      <c r="Y461" s="58"/>
      <c r="Z461" s="58"/>
      <c r="AA461" s="58"/>
      <c r="AB461" s="269"/>
      <c r="AC461" s="58"/>
      <c r="AD461" s="58"/>
      <c r="AE461" s="58"/>
      <c r="AF461" s="58"/>
      <c r="AG461" s="58"/>
      <c r="AH461" s="269"/>
      <c r="AI461" s="58"/>
      <c r="AJ461" s="58"/>
      <c r="AK461" s="58"/>
      <c r="AL461" s="58"/>
      <c r="AM461" s="58"/>
      <c r="AN461" s="59"/>
      <c r="AO461" s="58"/>
      <c r="AP461" s="58"/>
      <c r="AQ461" s="58"/>
      <c r="AR461" s="58"/>
      <c r="AS461" s="58"/>
      <c r="AT461" s="59"/>
      <c r="AU461" s="58"/>
      <c r="AV461" s="58"/>
      <c r="AW461" s="58"/>
      <c r="AX461" s="58"/>
      <c r="AY461" s="58"/>
      <c r="AZ461" s="59"/>
      <c r="BA461" s="58"/>
      <c r="BB461" s="58"/>
      <c r="BC461" s="58"/>
      <c r="BD461" s="58"/>
      <c r="BE461" s="58"/>
      <c r="BF461" s="59"/>
      <c r="BG461" s="58"/>
      <c r="BH461" s="58"/>
      <c r="BI461" s="58"/>
      <c r="BJ461" s="58"/>
      <c r="BK461" s="58"/>
      <c r="BL461" s="59"/>
      <c r="BM461" s="58"/>
      <c r="BN461" s="58"/>
      <c r="BO461" s="58"/>
      <c r="BP461" s="58"/>
      <c r="BQ461" s="58"/>
      <c r="BR461" s="58"/>
      <c r="BS461" s="58"/>
      <c r="BT461" s="58"/>
      <c r="BU461" s="58"/>
      <c r="BV461" s="58"/>
      <c r="BW461" s="58"/>
      <c r="BX461" s="58"/>
      <c r="BY461" s="58"/>
      <c r="BZ461" s="58"/>
      <c r="CA461" s="58"/>
      <c r="CB461" s="58"/>
      <c r="CC461" s="58"/>
      <c r="CD461" s="58"/>
      <c r="CE461" s="58"/>
      <c r="CF461" s="58"/>
      <c r="CG461" s="58"/>
      <c r="CH461" s="58"/>
      <c r="CI461" s="58"/>
      <c r="CJ461" s="58"/>
      <c r="CK461" s="58"/>
      <c r="CL461" s="58"/>
      <c r="CM461" s="58"/>
      <c r="CN461" s="58"/>
      <c r="CO461" s="58"/>
      <c r="CP461" s="58"/>
      <c r="CQ461" s="58"/>
      <c r="CR461" s="58"/>
      <c r="CS461" s="58"/>
      <c r="CT461" s="58"/>
      <c r="CU461" s="58"/>
    </row>
    <row r="462" spans="1:99" ht="15" thickBot="1" x14ac:dyDescent="0.4">
      <c r="A462" s="14"/>
      <c r="B462" s="14"/>
      <c r="C462" s="14"/>
      <c r="D462" s="14"/>
      <c r="E462" s="14"/>
      <c r="F462" s="14"/>
      <c r="G462" s="14"/>
      <c r="H462" s="14"/>
      <c r="I462" s="14"/>
      <c r="J462" s="41"/>
      <c r="L462" s="58"/>
      <c r="M462" s="58"/>
      <c r="N462" s="58"/>
      <c r="O462" s="58"/>
      <c r="P462" s="269"/>
      <c r="Q462" s="58"/>
      <c r="R462" s="58"/>
      <c r="S462" s="58"/>
      <c r="T462" s="58"/>
      <c r="U462" s="58"/>
      <c r="V462" s="269"/>
      <c r="W462" s="58"/>
      <c r="X462" s="58"/>
      <c r="Y462" s="58"/>
      <c r="Z462" s="58"/>
      <c r="AA462" s="58"/>
      <c r="AB462" s="269"/>
      <c r="AC462" s="58"/>
      <c r="AD462" s="58"/>
      <c r="AE462" s="58"/>
      <c r="AF462" s="58"/>
      <c r="AG462" s="58"/>
      <c r="AH462" s="269"/>
      <c r="AI462" s="58"/>
      <c r="AJ462" s="58"/>
      <c r="AK462" s="58"/>
      <c r="AL462" s="58"/>
      <c r="AM462" s="58"/>
      <c r="AN462" s="59"/>
      <c r="AO462" s="58"/>
      <c r="AP462" s="58"/>
      <c r="AQ462" s="58"/>
      <c r="AR462" s="58"/>
      <c r="AS462" s="58"/>
      <c r="AT462" s="59"/>
      <c r="AU462" s="58"/>
      <c r="AV462" s="58"/>
      <c r="AW462" s="58"/>
      <c r="AX462" s="58"/>
      <c r="AY462" s="58"/>
      <c r="AZ462" s="59"/>
      <c r="BA462" s="58"/>
      <c r="BB462" s="58"/>
      <c r="BC462" s="58"/>
      <c r="BD462" s="58"/>
      <c r="BE462" s="58"/>
      <c r="BF462" s="59"/>
      <c r="BG462" s="58"/>
      <c r="BH462" s="58"/>
      <c r="BI462" s="58"/>
      <c r="BJ462" s="58"/>
      <c r="BK462" s="58"/>
      <c r="BL462" s="59"/>
      <c r="BM462" s="58"/>
      <c r="BN462" s="58"/>
      <c r="BO462" s="58"/>
      <c r="BP462" s="58"/>
      <c r="BQ462" s="58"/>
      <c r="BR462" s="58"/>
      <c r="BS462" s="58"/>
      <c r="BT462" s="58"/>
      <c r="BU462" s="58"/>
      <c r="BV462" s="58"/>
      <c r="BW462" s="58"/>
      <c r="BX462" s="58"/>
      <c r="BY462" s="58"/>
      <c r="BZ462" s="58"/>
      <c r="CA462" s="58"/>
      <c r="CB462" s="58"/>
      <c r="CC462" s="58"/>
      <c r="CD462" s="58"/>
      <c r="CE462" s="58"/>
      <c r="CF462" s="58"/>
      <c r="CG462" s="58"/>
      <c r="CH462" s="58"/>
      <c r="CI462" s="58"/>
      <c r="CJ462" s="58"/>
      <c r="CK462" s="58"/>
      <c r="CL462" s="58"/>
      <c r="CM462" s="58"/>
      <c r="CN462" s="58"/>
      <c r="CO462" s="58"/>
      <c r="CP462" s="58"/>
      <c r="CQ462" s="58"/>
      <c r="CR462" s="58"/>
      <c r="CS462" s="58"/>
      <c r="CT462" s="58"/>
      <c r="CU462" s="58"/>
    </row>
    <row r="463" spans="1:99" ht="15" thickBot="1" x14ac:dyDescent="0.4">
      <c r="A463" s="14"/>
      <c r="B463" s="14"/>
      <c r="C463" s="14"/>
      <c r="D463" s="14"/>
      <c r="E463" s="14"/>
      <c r="F463" s="14"/>
      <c r="G463" s="14"/>
      <c r="H463" s="14"/>
      <c r="I463" s="14"/>
      <c r="J463" s="41"/>
      <c r="L463" s="58"/>
      <c r="M463" s="58"/>
      <c r="N463" s="58"/>
      <c r="O463" s="58"/>
      <c r="P463" s="269"/>
      <c r="Q463" s="58"/>
      <c r="R463" s="58"/>
      <c r="S463" s="58"/>
      <c r="T463" s="58"/>
      <c r="U463" s="58"/>
      <c r="V463" s="269"/>
      <c r="W463" s="58"/>
      <c r="X463" s="58"/>
      <c r="Y463" s="58"/>
      <c r="Z463" s="58"/>
      <c r="AA463" s="58"/>
      <c r="AB463" s="269"/>
      <c r="AC463" s="58"/>
      <c r="AD463" s="58"/>
      <c r="AE463" s="58"/>
      <c r="AF463" s="58"/>
      <c r="AG463" s="58"/>
      <c r="AH463" s="269"/>
      <c r="AI463" s="58"/>
      <c r="AJ463" s="58"/>
      <c r="AK463" s="58"/>
      <c r="AL463" s="58"/>
      <c r="AM463" s="58"/>
      <c r="AN463" s="59"/>
      <c r="AO463" s="58"/>
      <c r="AP463" s="58"/>
      <c r="AQ463" s="58"/>
      <c r="AR463" s="58"/>
      <c r="AS463" s="58"/>
      <c r="AT463" s="59"/>
      <c r="AU463" s="58"/>
      <c r="AV463" s="58"/>
      <c r="AW463" s="58"/>
      <c r="AX463" s="58"/>
      <c r="AY463" s="58"/>
      <c r="AZ463" s="59"/>
      <c r="BA463" s="58"/>
      <c r="BB463" s="58"/>
      <c r="BC463" s="58"/>
      <c r="BD463" s="58"/>
      <c r="BE463" s="58"/>
      <c r="BF463" s="59"/>
      <c r="BG463" s="58"/>
      <c r="BH463" s="58"/>
      <c r="BI463" s="58"/>
      <c r="BJ463" s="58"/>
      <c r="BK463" s="58"/>
      <c r="BL463" s="59"/>
      <c r="BM463" s="58"/>
      <c r="BN463" s="58"/>
      <c r="BO463" s="58"/>
      <c r="BP463" s="58"/>
      <c r="BQ463" s="58"/>
      <c r="BR463" s="58"/>
      <c r="BS463" s="58"/>
      <c r="BT463" s="58"/>
      <c r="BU463" s="58"/>
      <c r="BV463" s="58"/>
      <c r="BW463" s="58"/>
      <c r="BX463" s="58"/>
      <c r="BY463" s="58"/>
      <c r="BZ463" s="58"/>
      <c r="CA463" s="58"/>
      <c r="CB463" s="58"/>
      <c r="CC463" s="58"/>
      <c r="CD463" s="58"/>
      <c r="CE463" s="58"/>
      <c r="CF463" s="58"/>
      <c r="CG463" s="58"/>
      <c r="CH463" s="58"/>
      <c r="CI463" s="58"/>
      <c r="CJ463" s="58"/>
      <c r="CK463" s="58"/>
      <c r="CL463" s="58"/>
      <c r="CM463" s="58"/>
      <c r="CN463" s="58"/>
      <c r="CO463" s="58"/>
      <c r="CP463" s="58"/>
      <c r="CQ463" s="58"/>
      <c r="CR463" s="58"/>
      <c r="CS463" s="58"/>
      <c r="CT463" s="58"/>
      <c r="CU463" s="58"/>
    </row>
    <row r="464" spans="1:99" ht="15" thickBot="1" x14ac:dyDescent="0.4">
      <c r="A464" s="14"/>
      <c r="B464" s="14"/>
      <c r="C464" s="14"/>
      <c r="D464" s="14"/>
      <c r="E464" s="14"/>
      <c r="F464" s="14"/>
      <c r="G464" s="14"/>
      <c r="H464" s="14"/>
      <c r="I464" s="14"/>
      <c r="J464" s="41"/>
      <c r="L464" s="58"/>
      <c r="M464" s="58"/>
      <c r="N464" s="58"/>
      <c r="O464" s="58"/>
      <c r="P464" s="269"/>
      <c r="Q464" s="58"/>
      <c r="R464" s="58"/>
      <c r="S464" s="58"/>
      <c r="T464" s="58"/>
      <c r="U464" s="58"/>
      <c r="V464" s="269"/>
      <c r="W464" s="58"/>
      <c r="X464" s="58"/>
      <c r="Y464" s="58"/>
      <c r="Z464" s="58"/>
      <c r="AA464" s="58"/>
      <c r="AB464" s="269"/>
      <c r="AC464" s="58"/>
      <c r="AD464" s="58"/>
      <c r="AE464" s="58"/>
      <c r="AF464" s="58"/>
      <c r="AG464" s="58"/>
      <c r="AH464" s="269"/>
      <c r="AI464" s="58"/>
      <c r="AJ464" s="58"/>
      <c r="AK464" s="58"/>
      <c r="AL464" s="58"/>
      <c r="AM464" s="58"/>
      <c r="AN464" s="59"/>
      <c r="AO464" s="58"/>
      <c r="AP464" s="58"/>
      <c r="AQ464" s="58"/>
      <c r="AR464" s="58"/>
      <c r="AS464" s="58"/>
      <c r="AT464" s="59"/>
      <c r="AU464" s="58"/>
      <c r="AV464" s="58"/>
      <c r="AW464" s="58"/>
      <c r="AX464" s="58"/>
      <c r="AY464" s="58"/>
      <c r="AZ464" s="59"/>
      <c r="BA464" s="58"/>
      <c r="BB464" s="58"/>
      <c r="BC464" s="58"/>
      <c r="BD464" s="58"/>
      <c r="BE464" s="58"/>
      <c r="BF464" s="59"/>
      <c r="BG464" s="58"/>
      <c r="BH464" s="58"/>
      <c r="BI464" s="58"/>
      <c r="BJ464" s="58"/>
      <c r="BK464" s="58"/>
      <c r="BL464" s="59"/>
      <c r="BM464" s="58"/>
      <c r="BN464" s="58"/>
      <c r="BO464" s="58"/>
      <c r="BP464" s="58"/>
      <c r="BQ464" s="58"/>
      <c r="BR464" s="58"/>
      <c r="BS464" s="58"/>
      <c r="BT464" s="58"/>
      <c r="BU464" s="58"/>
      <c r="BV464" s="58"/>
      <c r="BW464" s="58"/>
      <c r="BX464" s="58"/>
      <c r="BY464" s="58"/>
      <c r="BZ464" s="58"/>
      <c r="CA464" s="58"/>
      <c r="CB464" s="58"/>
      <c r="CC464" s="58"/>
      <c r="CD464" s="58"/>
      <c r="CE464" s="58"/>
      <c r="CF464" s="58"/>
      <c r="CG464" s="58"/>
      <c r="CH464" s="58"/>
      <c r="CI464" s="58"/>
      <c r="CJ464" s="58"/>
      <c r="CK464" s="58"/>
      <c r="CL464" s="58"/>
      <c r="CM464" s="58"/>
      <c r="CN464" s="58"/>
      <c r="CO464" s="58"/>
      <c r="CP464" s="58"/>
      <c r="CQ464" s="58"/>
      <c r="CR464" s="58"/>
      <c r="CS464" s="58"/>
      <c r="CT464" s="58"/>
      <c r="CU464" s="58"/>
    </row>
    <row r="465" spans="1:99" ht="15" thickBot="1" x14ac:dyDescent="0.4">
      <c r="A465" s="14"/>
      <c r="B465" s="14"/>
      <c r="C465" s="14"/>
      <c r="D465" s="14"/>
      <c r="E465" s="14"/>
      <c r="F465" s="14"/>
      <c r="G465" s="14"/>
      <c r="H465" s="14"/>
      <c r="I465" s="14"/>
      <c r="J465" s="41"/>
      <c r="L465" s="58"/>
      <c r="M465" s="58"/>
      <c r="N465" s="58"/>
      <c r="O465" s="58"/>
      <c r="P465" s="269"/>
      <c r="Q465" s="58"/>
      <c r="R465" s="58"/>
      <c r="S465" s="58"/>
      <c r="T465" s="58"/>
      <c r="U465" s="58"/>
      <c r="V465" s="269"/>
      <c r="W465" s="58"/>
      <c r="X465" s="58"/>
      <c r="Y465" s="58"/>
      <c r="Z465" s="58"/>
      <c r="AA465" s="58"/>
      <c r="AB465" s="269"/>
      <c r="AC465" s="58"/>
      <c r="AD465" s="58"/>
      <c r="AE465" s="58"/>
      <c r="AF465" s="58"/>
      <c r="AG465" s="58"/>
      <c r="AH465" s="269"/>
      <c r="AI465" s="58"/>
      <c r="AJ465" s="58"/>
      <c r="AK465" s="58"/>
      <c r="AL465" s="58"/>
      <c r="AM465" s="58"/>
      <c r="AN465" s="59"/>
      <c r="AO465" s="58"/>
      <c r="AP465" s="58"/>
      <c r="AQ465" s="58"/>
      <c r="AR465" s="58"/>
      <c r="AS465" s="58"/>
      <c r="AT465" s="59"/>
      <c r="AU465" s="58"/>
      <c r="AV465" s="58"/>
      <c r="AW465" s="58"/>
      <c r="AX465" s="58"/>
      <c r="AY465" s="58"/>
      <c r="AZ465" s="59"/>
      <c r="BA465" s="58"/>
      <c r="BB465" s="58"/>
      <c r="BC465" s="58"/>
      <c r="BD465" s="58"/>
      <c r="BE465" s="58"/>
      <c r="BF465" s="59"/>
      <c r="BG465" s="58"/>
      <c r="BH465" s="58"/>
      <c r="BI465" s="58"/>
      <c r="BJ465" s="58"/>
      <c r="BK465" s="58"/>
      <c r="BL465" s="59"/>
      <c r="BM465" s="58"/>
      <c r="BN465" s="58"/>
      <c r="BO465" s="58"/>
      <c r="BP465" s="58"/>
      <c r="BQ465" s="58"/>
      <c r="BR465" s="58"/>
      <c r="BS465" s="58"/>
      <c r="BT465" s="58"/>
      <c r="BU465" s="58"/>
      <c r="BV465" s="58"/>
      <c r="BW465" s="58"/>
      <c r="BX465" s="58"/>
      <c r="BY465" s="58"/>
      <c r="BZ465" s="58"/>
      <c r="CA465" s="58"/>
      <c r="CB465" s="58"/>
      <c r="CC465" s="58"/>
      <c r="CD465" s="58"/>
      <c r="CE465" s="58"/>
      <c r="CF465" s="58"/>
      <c r="CG465" s="58"/>
      <c r="CH465" s="58"/>
      <c r="CI465" s="58"/>
      <c r="CJ465" s="58"/>
      <c r="CK465" s="58"/>
      <c r="CL465" s="58"/>
      <c r="CM465" s="58"/>
      <c r="CN465" s="58"/>
      <c r="CO465" s="58"/>
      <c r="CP465" s="58"/>
      <c r="CQ465" s="58"/>
      <c r="CR465" s="58"/>
      <c r="CS465" s="58"/>
      <c r="CT465" s="58"/>
      <c r="CU465" s="58"/>
    </row>
    <row r="466" spans="1:99" ht="15" thickBot="1" x14ac:dyDescent="0.4">
      <c r="A466" s="14"/>
      <c r="B466" s="14"/>
      <c r="C466" s="14"/>
      <c r="D466" s="14"/>
      <c r="E466" s="14"/>
      <c r="F466" s="14"/>
      <c r="G466" s="14"/>
      <c r="H466" s="14"/>
      <c r="I466" s="14"/>
      <c r="J466" s="41"/>
      <c r="L466" s="58"/>
      <c r="M466" s="58"/>
      <c r="N466" s="58"/>
      <c r="O466" s="58"/>
      <c r="P466" s="269"/>
      <c r="Q466" s="58"/>
      <c r="R466" s="58"/>
      <c r="S466" s="58"/>
      <c r="T466" s="58"/>
      <c r="U466" s="58"/>
      <c r="V466" s="269"/>
      <c r="W466" s="58"/>
      <c r="X466" s="58"/>
      <c r="Y466" s="58"/>
      <c r="Z466" s="58"/>
      <c r="AA466" s="58"/>
      <c r="AB466" s="269"/>
      <c r="AC466" s="58"/>
      <c r="AD466" s="58"/>
      <c r="AE466" s="58"/>
      <c r="AF466" s="58"/>
      <c r="AG466" s="58"/>
      <c r="AH466" s="269"/>
      <c r="AI466" s="58"/>
      <c r="AJ466" s="58"/>
      <c r="AK466" s="58"/>
      <c r="AL466" s="58"/>
      <c r="AM466" s="58"/>
      <c r="AN466" s="59"/>
      <c r="AO466" s="58"/>
      <c r="AP466" s="58"/>
      <c r="AQ466" s="58"/>
      <c r="AR466" s="58"/>
      <c r="AS466" s="58"/>
      <c r="AT466" s="59"/>
      <c r="AU466" s="58"/>
      <c r="AV466" s="58"/>
      <c r="AW466" s="58"/>
      <c r="AX466" s="58"/>
      <c r="AY466" s="58"/>
      <c r="AZ466" s="59"/>
      <c r="BA466" s="58"/>
      <c r="BB466" s="58"/>
      <c r="BC466" s="58"/>
      <c r="BD466" s="58"/>
      <c r="BE466" s="58"/>
      <c r="BF466" s="59"/>
      <c r="BG466" s="58"/>
      <c r="BH466" s="58"/>
      <c r="BI466" s="58"/>
      <c r="BJ466" s="58"/>
      <c r="BK466" s="58"/>
      <c r="BL466" s="59"/>
      <c r="BM466" s="58"/>
      <c r="BN466" s="58"/>
      <c r="BO466" s="58"/>
      <c r="BP466" s="58"/>
      <c r="BQ466" s="58"/>
      <c r="BR466" s="58"/>
      <c r="BS466" s="58"/>
      <c r="BT466" s="58"/>
      <c r="BU466" s="58"/>
      <c r="BV466" s="58"/>
      <c r="BW466" s="58"/>
      <c r="BX466" s="58"/>
      <c r="BY466" s="58"/>
      <c r="BZ466" s="58"/>
      <c r="CA466" s="58"/>
      <c r="CB466" s="58"/>
      <c r="CC466" s="58"/>
      <c r="CD466" s="58"/>
      <c r="CE466" s="58"/>
      <c r="CF466" s="58"/>
      <c r="CG466" s="58"/>
      <c r="CH466" s="58"/>
      <c r="CI466" s="58"/>
      <c r="CJ466" s="58"/>
      <c r="CK466" s="58"/>
      <c r="CL466" s="58"/>
      <c r="CM466" s="58"/>
      <c r="CN466" s="58"/>
      <c r="CO466" s="58"/>
      <c r="CP466" s="58"/>
      <c r="CQ466" s="58"/>
      <c r="CR466" s="58"/>
      <c r="CS466" s="58"/>
      <c r="CT466" s="58"/>
      <c r="CU466" s="58"/>
    </row>
    <row r="467" spans="1:99" ht="15" thickBot="1" x14ac:dyDescent="0.4">
      <c r="A467" s="14"/>
      <c r="B467" s="14"/>
      <c r="C467" s="14"/>
      <c r="D467" s="14"/>
      <c r="E467" s="14"/>
      <c r="F467" s="14"/>
      <c r="G467" s="14"/>
      <c r="H467" s="14"/>
      <c r="I467" s="14"/>
      <c r="J467" s="41"/>
      <c r="L467" s="58"/>
      <c r="M467" s="58"/>
      <c r="N467" s="58"/>
      <c r="O467" s="58"/>
      <c r="P467" s="269"/>
      <c r="Q467" s="58"/>
      <c r="R467" s="58"/>
      <c r="S467" s="58"/>
      <c r="T467" s="58"/>
      <c r="U467" s="58"/>
      <c r="V467" s="269"/>
      <c r="W467" s="58"/>
      <c r="X467" s="58"/>
      <c r="Y467" s="58"/>
      <c r="Z467" s="58"/>
      <c r="AA467" s="58"/>
      <c r="AB467" s="269"/>
      <c r="AC467" s="58"/>
      <c r="AD467" s="58"/>
      <c r="AE467" s="58"/>
      <c r="AF467" s="58"/>
      <c r="AG467" s="58"/>
      <c r="AH467" s="269"/>
      <c r="AI467" s="58"/>
      <c r="AJ467" s="58"/>
      <c r="AK467" s="58"/>
      <c r="AL467" s="58"/>
      <c r="AM467" s="58"/>
      <c r="AN467" s="59"/>
      <c r="AO467" s="58"/>
      <c r="AP467" s="58"/>
      <c r="AQ467" s="58"/>
      <c r="AR467" s="58"/>
      <c r="AS467" s="58"/>
      <c r="AT467" s="59"/>
      <c r="AU467" s="58"/>
      <c r="AV467" s="58"/>
      <c r="AW467" s="58"/>
      <c r="AX467" s="58"/>
      <c r="AY467" s="58"/>
      <c r="AZ467" s="59"/>
      <c r="BA467" s="58"/>
      <c r="BB467" s="58"/>
      <c r="BC467" s="58"/>
      <c r="BD467" s="58"/>
      <c r="BE467" s="58"/>
      <c r="BF467" s="59"/>
      <c r="BG467" s="58"/>
      <c r="BH467" s="58"/>
      <c r="BI467" s="58"/>
      <c r="BJ467" s="58"/>
      <c r="BK467" s="58"/>
      <c r="BL467" s="59"/>
      <c r="BM467" s="58"/>
      <c r="BN467" s="58"/>
      <c r="BO467" s="58"/>
      <c r="BP467" s="58"/>
      <c r="BQ467" s="58"/>
      <c r="BR467" s="58"/>
      <c r="BS467" s="58"/>
      <c r="BT467" s="58"/>
      <c r="BU467" s="58"/>
      <c r="BV467" s="58"/>
      <c r="BW467" s="58"/>
      <c r="BX467" s="58"/>
      <c r="BY467" s="58"/>
      <c r="BZ467" s="58"/>
      <c r="CA467" s="58"/>
      <c r="CB467" s="58"/>
      <c r="CC467" s="58"/>
      <c r="CD467" s="58"/>
      <c r="CE467" s="58"/>
      <c r="CF467" s="58"/>
      <c r="CG467" s="58"/>
      <c r="CH467" s="58"/>
      <c r="CI467" s="58"/>
      <c r="CJ467" s="58"/>
      <c r="CK467" s="58"/>
      <c r="CL467" s="58"/>
      <c r="CM467" s="58"/>
      <c r="CN467" s="58"/>
      <c r="CO467" s="58"/>
      <c r="CP467" s="58"/>
      <c r="CQ467" s="58"/>
      <c r="CR467" s="58"/>
      <c r="CS467" s="58"/>
      <c r="CT467" s="58"/>
      <c r="CU467" s="58"/>
    </row>
    <row r="468" spans="1:99" ht="15" thickBot="1" x14ac:dyDescent="0.4">
      <c r="A468" s="14"/>
      <c r="B468" s="14"/>
      <c r="C468" s="14"/>
      <c r="D468" s="14"/>
      <c r="E468" s="14"/>
      <c r="F468" s="14"/>
      <c r="G468" s="14"/>
      <c r="H468" s="14"/>
      <c r="I468" s="14"/>
      <c r="J468" s="41"/>
      <c r="L468" s="58"/>
      <c r="M468" s="58"/>
      <c r="N468" s="58"/>
      <c r="O468" s="58"/>
      <c r="P468" s="269"/>
      <c r="Q468" s="58"/>
      <c r="R468" s="58"/>
      <c r="S468" s="58"/>
      <c r="T468" s="58"/>
      <c r="U468" s="58"/>
      <c r="V468" s="269"/>
      <c r="W468" s="58"/>
      <c r="X468" s="58"/>
      <c r="Y468" s="58"/>
      <c r="Z468" s="58"/>
      <c r="AA468" s="58"/>
      <c r="AB468" s="269"/>
      <c r="AC468" s="58"/>
      <c r="AD468" s="58"/>
      <c r="AE468" s="58"/>
      <c r="AF468" s="58"/>
      <c r="AG468" s="58"/>
      <c r="AH468" s="269"/>
      <c r="AI468" s="58"/>
      <c r="AJ468" s="58"/>
      <c r="AK468" s="58"/>
      <c r="AL468" s="58"/>
      <c r="AM468" s="58"/>
      <c r="AN468" s="59"/>
      <c r="AO468" s="58"/>
      <c r="AP468" s="58"/>
      <c r="AQ468" s="58"/>
      <c r="AR468" s="58"/>
      <c r="AS468" s="58"/>
      <c r="AT468" s="59"/>
      <c r="AU468" s="58"/>
      <c r="AV468" s="58"/>
      <c r="AW468" s="58"/>
      <c r="AX468" s="58"/>
      <c r="AY468" s="58"/>
      <c r="AZ468" s="59"/>
      <c r="BA468" s="58"/>
      <c r="BB468" s="58"/>
      <c r="BC468" s="58"/>
      <c r="BD468" s="58"/>
      <c r="BE468" s="58"/>
      <c r="BF468" s="59"/>
      <c r="BG468" s="58"/>
      <c r="BH468" s="58"/>
      <c r="BI468" s="58"/>
      <c r="BJ468" s="58"/>
      <c r="BK468" s="58"/>
      <c r="BL468" s="59"/>
      <c r="BM468" s="58"/>
      <c r="BN468" s="58"/>
      <c r="BO468" s="58"/>
      <c r="BP468" s="58"/>
      <c r="BQ468" s="58"/>
      <c r="BR468" s="58"/>
      <c r="BS468" s="58"/>
      <c r="BT468" s="58"/>
      <c r="BU468" s="58"/>
      <c r="BV468" s="58"/>
      <c r="BW468" s="58"/>
      <c r="BX468" s="58"/>
      <c r="BY468" s="58"/>
      <c r="BZ468" s="58"/>
      <c r="CA468" s="58"/>
      <c r="CB468" s="58"/>
      <c r="CC468" s="58"/>
      <c r="CD468" s="58"/>
      <c r="CE468" s="58"/>
      <c r="CF468" s="58"/>
      <c r="CG468" s="58"/>
      <c r="CH468" s="58"/>
      <c r="CI468" s="58"/>
      <c r="CJ468" s="58"/>
      <c r="CK468" s="58"/>
      <c r="CL468" s="58"/>
      <c r="CM468" s="58"/>
      <c r="CN468" s="58"/>
      <c r="CO468" s="58"/>
      <c r="CP468" s="58"/>
      <c r="CQ468" s="58"/>
      <c r="CR468" s="58"/>
      <c r="CS468" s="58"/>
      <c r="CT468" s="58"/>
      <c r="CU468" s="58"/>
    </row>
    <row r="469" spans="1:99" ht="15" thickBot="1" x14ac:dyDescent="0.4">
      <c r="A469" s="14"/>
      <c r="B469" s="14"/>
      <c r="C469" s="14"/>
      <c r="D469" s="14"/>
      <c r="E469" s="14"/>
      <c r="F469" s="14"/>
      <c r="G469" s="14"/>
      <c r="H469" s="14"/>
      <c r="I469" s="14"/>
      <c r="J469" s="41"/>
      <c r="L469" s="58"/>
      <c r="M469" s="58"/>
      <c r="N469" s="58"/>
      <c r="O469" s="58"/>
      <c r="P469" s="269"/>
      <c r="Q469" s="58"/>
      <c r="R469" s="58"/>
      <c r="S469" s="58"/>
      <c r="T469" s="58"/>
      <c r="U469" s="58"/>
      <c r="V469" s="269"/>
      <c r="W469" s="58"/>
      <c r="X469" s="58"/>
      <c r="Y469" s="58"/>
      <c r="Z469" s="58"/>
      <c r="AA469" s="58"/>
      <c r="AB469" s="269"/>
      <c r="AC469" s="58"/>
      <c r="AD469" s="58"/>
      <c r="AE469" s="58"/>
      <c r="AF469" s="58"/>
      <c r="AG469" s="58"/>
      <c r="AH469" s="269"/>
      <c r="AI469" s="58"/>
      <c r="AJ469" s="58"/>
      <c r="AK469" s="58"/>
      <c r="AL469" s="58"/>
      <c r="AM469" s="58"/>
      <c r="AN469" s="59"/>
      <c r="AO469" s="58"/>
      <c r="AP469" s="58"/>
      <c r="AQ469" s="58"/>
      <c r="AR469" s="58"/>
      <c r="AS469" s="58"/>
      <c r="AT469" s="59"/>
      <c r="AU469" s="58"/>
      <c r="AV469" s="58"/>
      <c r="AW469" s="58"/>
      <c r="AX469" s="58"/>
      <c r="AY469" s="58"/>
      <c r="AZ469" s="59"/>
      <c r="BA469" s="58"/>
      <c r="BB469" s="58"/>
      <c r="BC469" s="58"/>
      <c r="BD469" s="58"/>
      <c r="BE469" s="58"/>
      <c r="BF469" s="59"/>
      <c r="BG469" s="58"/>
      <c r="BH469" s="58"/>
      <c r="BI469" s="58"/>
      <c r="BJ469" s="58"/>
      <c r="BK469" s="58"/>
      <c r="BL469" s="59"/>
      <c r="BM469" s="58"/>
      <c r="BN469" s="58"/>
      <c r="BO469" s="58"/>
      <c r="BP469" s="58"/>
      <c r="BQ469" s="58"/>
      <c r="BR469" s="58"/>
      <c r="BS469" s="58"/>
      <c r="BT469" s="58"/>
      <c r="BU469" s="58"/>
      <c r="BV469" s="58"/>
      <c r="BW469" s="58"/>
      <c r="BX469" s="58"/>
      <c r="BY469" s="58"/>
      <c r="BZ469" s="58"/>
      <c r="CA469" s="58"/>
      <c r="CB469" s="58"/>
      <c r="CC469" s="58"/>
      <c r="CD469" s="58"/>
      <c r="CE469" s="58"/>
      <c r="CF469" s="58"/>
      <c r="CG469" s="58"/>
      <c r="CH469" s="58"/>
      <c r="CI469" s="58"/>
      <c r="CJ469" s="58"/>
      <c r="CK469" s="58"/>
      <c r="CL469" s="58"/>
      <c r="CM469" s="58"/>
      <c r="CN469" s="58"/>
      <c r="CO469" s="58"/>
      <c r="CP469" s="58"/>
      <c r="CQ469" s="58"/>
      <c r="CR469" s="58"/>
      <c r="CS469" s="58"/>
      <c r="CT469" s="58"/>
      <c r="CU469" s="58"/>
    </row>
    <row r="470" spans="1:99" ht="15" thickBot="1" x14ac:dyDescent="0.4">
      <c r="A470" s="14"/>
      <c r="B470" s="14"/>
      <c r="C470" s="14"/>
      <c r="D470" s="14"/>
      <c r="E470" s="14"/>
      <c r="F470" s="14"/>
      <c r="G470" s="14"/>
      <c r="H470" s="14"/>
      <c r="I470" s="14"/>
      <c r="J470" s="41"/>
      <c r="L470" s="58"/>
      <c r="M470" s="58"/>
      <c r="N470" s="58"/>
      <c r="O470" s="58"/>
      <c r="P470" s="269"/>
      <c r="Q470" s="58"/>
      <c r="R470" s="58"/>
      <c r="S470" s="58"/>
      <c r="T470" s="58"/>
      <c r="U470" s="58"/>
      <c r="V470" s="269"/>
      <c r="W470" s="58"/>
      <c r="X470" s="58"/>
      <c r="Y470" s="58"/>
      <c r="Z470" s="58"/>
      <c r="AA470" s="58"/>
      <c r="AB470" s="269"/>
      <c r="AC470" s="58"/>
      <c r="AD470" s="58"/>
      <c r="AE470" s="58"/>
      <c r="AF470" s="58"/>
      <c r="AG470" s="58"/>
      <c r="AH470" s="269"/>
      <c r="AI470" s="58"/>
      <c r="AJ470" s="58"/>
      <c r="AK470" s="58"/>
      <c r="AL470" s="58"/>
      <c r="AM470" s="58"/>
      <c r="AN470" s="59"/>
      <c r="AO470" s="58"/>
      <c r="AP470" s="58"/>
      <c r="AQ470" s="58"/>
      <c r="AR470" s="58"/>
      <c r="AS470" s="58"/>
      <c r="AT470" s="59"/>
      <c r="AU470" s="58"/>
      <c r="AV470" s="58"/>
      <c r="AW470" s="58"/>
      <c r="AX470" s="58"/>
      <c r="AY470" s="58"/>
      <c r="AZ470" s="59"/>
      <c r="BA470" s="58"/>
      <c r="BB470" s="58"/>
      <c r="BC470" s="58"/>
      <c r="BD470" s="58"/>
      <c r="BE470" s="58"/>
      <c r="BF470" s="59"/>
      <c r="BG470" s="58"/>
      <c r="BH470" s="58"/>
      <c r="BI470" s="58"/>
      <c r="BJ470" s="58"/>
      <c r="BK470" s="58"/>
      <c r="BL470" s="59"/>
      <c r="BM470" s="58"/>
      <c r="BN470" s="58"/>
      <c r="BO470" s="58"/>
      <c r="BP470" s="58"/>
      <c r="BQ470" s="58"/>
      <c r="BR470" s="58"/>
      <c r="BS470" s="58"/>
      <c r="BT470" s="58"/>
      <c r="BU470" s="58"/>
      <c r="BV470" s="58"/>
      <c r="BW470" s="58"/>
      <c r="BX470" s="58"/>
      <c r="BY470" s="58"/>
      <c r="BZ470" s="58"/>
      <c r="CA470" s="58"/>
      <c r="CB470" s="58"/>
      <c r="CC470" s="58"/>
      <c r="CD470" s="58"/>
      <c r="CE470" s="58"/>
      <c r="CF470" s="58"/>
      <c r="CG470" s="58"/>
      <c r="CH470" s="58"/>
      <c r="CI470" s="58"/>
      <c r="CJ470" s="58"/>
      <c r="CK470" s="58"/>
      <c r="CL470" s="58"/>
      <c r="CM470" s="58"/>
      <c r="CN470" s="58"/>
      <c r="CO470" s="58"/>
      <c r="CP470" s="58"/>
      <c r="CQ470" s="58"/>
      <c r="CR470" s="58"/>
      <c r="CS470" s="58"/>
      <c r="CT470" s="58"/>
      <c r="CU470" s="58"/>
    </row>
    <row r="471" spans="1:99" ht="15" thickBot="1" x14ac:dyDescent="0.4">
      <c r="A471" s="14"/>
      <c r="B471" s="14"/>
      <c r="C471" s="14"/>
      <c r="D471" s="14"/>
      <c r="E471" s="14"/>
      <c r="F471" s="14"/>
      <c r="G471" s="14"/>
      <c r="H471" s="14"/>
      <c r="I471" s="14"/>
      <c r="J471" s="41"/>
      <c r="L471" s="58"/>
      <c r="M471" s="58"/>
      <c r="N471" s="58"/>
      <c r="O471" s="58"/>
      <c r="P471" s="269"/>
      <c r="Q471" s="58"/>
      <c r="R471" s="58"/>
      <c r="S471" s="58"/>
      <c r="T471" s="58"/>
      <c r="U471" s="58"/>
      <c r="V471" s="269"/>
      <c r="W471" s="58"/>
      <c r="X471" s="58"/>
      <c r="Y471" s="58"/>
      <c r="Z471" s="58"/>
      <c r="AA471" s="58"/>
      <c r="AB471" s="269"/>
      <c r="AC471" s="58"/>
      <c r="AD471" s="58"/>
      <c r="AE471" s="58"/>
      <c r="AF471" s="58"/>
      <c r="AG471" s="58"/>
      <c r="AH471" s="269"/>
      <c r="AI471" s="58"/>
      <c r="AJ471" s="58"/>
      <c r="AK471" s="58"/>
      <c r="AL471" s="58"/>
      <c r="AM471" s="58"/>
      <c r="AN471" s="59"/>
      <c r="AO471" s="58"/>
      <c r="AP471" s="58"/>
      <c r="AQ471" s="58"/>
      <c r="AR471" s="58"/>
      <c r="AS471" s="58"/>
      <c r="AT471" s="59"/>
      <c r="AU471" s="58"/>
      <c r="AV471" s="58"/>
      <c r="AW471" s="58"/>
      <c r="AX471" s="58"/>
      <c r="AY471" s="58"/>
      <c r="AZ471" s="59"/>
      <c r="BA471" s="58"/>
      <c r="BB471" s="58"/>
      <c r="BC471" s="58"/>
      <c r="BD471" s="58"/>
      <c r="BE471" s="58"/>
      <c r="BF471" s="59"/>
      <c r="BG471" s="58"/>
      <c r="BH471" s="58"/>
      <c r="BI471" s="58"/>
      <c r="BJ471" s="58"/>
      <c r="BK471" s="58"/>
      <c r="BL471" s="59"/>
      <c r="BM471" s="58"/>
      <c r="BN471" s="58"/>
      <c r="BO471" s="58"/>
      <c r="BP471" s="58"/>
      <c r="BQ471" s="58"/>
      <c r="BR471" s="58"/>
      <c r="BS471" s="58"/>
      <c r="BT471" s="58"/>
      <c r="BU471" s="58"/>
      <c r="BV471" s="58"/>
      <c r="BW471" s="58"/>
      <c r="BX471" s="58"/>
      <c r="BY471" s="58"/>
      <c r="BZ471" s="58"/>
      <c r="CA471" s="58"/>
      <c r="CB471" s="58"/>
      <c r="CC471" s="58"/>
      <c r="CD471" s="58"/>
      <c r="CE471" s="58"/>
      <c r="CF471" s="58"/>
      <c r="CG471" s="58"/>
      <c r="CH471" s="58"/>
      <c r="CI471" s="58"/>
      <c r="CJ471" s="58"/>
      <c r="CK471" s="58"/>
      <c r="CL471" s="58"/>
      <c r="CM471" s="58"/>
      <c r="CN471" s="58"/>
      <c r="CO471" s="58"/>
      <c r="CP471" s="58"/>
      <c r="CQ471" s="58"/>
      <c r="CR471" s="58"/>
      <c r="CS471" s="58"/>
      <c r="CT471" s="58"/>
      <c r="CU471" s="58"/>
    </row>
    <row r="472" spans="1:99" ht="15" thickBot="1" x14ac:dyDescent="0.4">
      <c r="A472" s="14"/>
      <c r="B472" s="14"/>
      <c r="C472" s="14"/>
      <c r="D472" s="14"/>
      <c r="E472" s="14"/>
      <c r="F472" s="14"/>
      <c r="G472" s="14"/>
      <c r="H472" s="14"/>
      <c r="I472" s="14"/>
      <c r="J472" s="41"/>
      <c r="L472" s="58"/>
      <c r="M472" s="58"/>
      <c r="N472" s="58"/>
      <c r="O472" s="58"/>
      <c r="P472" s="269"/>
      <c r="Q472" s="58"/>
      <c r="R472" s="58"/>
      <c r="S472" s="58"/>
      <c r="T472" s="58"/>
      <c r="U472" s="58"/>
      <c r="V472" s="269"/>
      <c r="W472" s="58"/>
      <c r="X472" s="58"/>
      <c r="Y472" s="58"/>
      <c r="Z472" s="58"/>
      <c r="AA472" s="58"/>
      <c r="AB472" s="269"/>
      <c r="AC472" s="58"/>
      <c r="AD472" s="58"/>
      <c r="AE472" s="58"/>
      <c r="AF472" s="58"/>
      <c r="AG472" s="58"/>
      <c r="AH472" s="269"/>
      <c r="AI472" s="58"/>
      <c r="AJ472" s="58"/>
      <c r="AK472" s="58"/>
      <c r="AL472" s="58"/>
      <c r="AM472" s="58"/>
      <c r="AN472" s="59"/>
      <c r="AO472" s="58"/>
      <c r="AP472" s="58"/>
      <c r="AQ472" s="58"/>
      <c r="AR472" s="58"/>
      <c r="AS472" s="58"/>
      <c r="AT472" s="59"/>
      <c r="AU472" s="58"/>
      <c r="AV472" s="58"/>
      <c r="AW472" s="58"/>
      <c r="AX472" s="58"/>
      <c r="AY472" s="58"/>
      <c r="AZ472" s="59"/>
      <c r="BA472" s="58"/>
      <c r="BB472" s="58"/>
      <c r="BC472" s="58"/>
      <c r="BD472" s="58"/>
      <c r="BE472" s="58"/>
      <c r="BF472" s="59"/>
      <c r="BG472" s="58"/>
      <c r="BH472" s="58"/>
      <c r="BI472" s="58"/>
      <c r="BJ472" s="58"/>
      <c r="BK472" s="58"/>
      <c r="BL472" s="59"/>
      <c r="BM472" s="58"/>
      <c r="BN472" s="58"/>
      <c r="BO472" s="58"/>
      <c r="BP472" s="58"/>
      <c r="BQ472" s="58"/>
      <c r="BR472" s="58"/>
      <c r="BS472" s="58"/>
      <c r="BT472" s="58"/>
      <c r="BU472" s="58"/>
      <c r="BV472" s="58"/>
      <c r="BW472" s="58"/>
      <c r="BX472" s="58"/>
      <c r="BY472" s="58"/>
      <c r="BZ472" s="58"/>
      <c r="CA472" s="58"/>
      <c r="CB472" s="58"/>
      <c r="CC472" s="58"/>
      <c r="CD472" s="58"/>
      <c r="CE472" s="58"/>
      <c r="CF472" s="58"/>
      <c r="CG472" s="58"/>
      <c r="CH472" s="58"/>
      <c r="CI472" s="58"/>
      <c r="CJ472" s="58"/>
      <c r="CK472" s="58"/>
      <c r="CL472" s="58"/>
      <c r="CM472" s="58"/>
      <c r="CN472" s="58"/>
      <c r="CO472" s="58"/>
      <c r="CP472" s="58"/>
      <c r="CQ472" s="58"/>
      <c r="CR472" s="58"/>
      <c r="CS472" s="58"/>
      <c r="CT472" s="58"/>
      <c r="CU472" s="58"/>
    </row>
    <row r="473" spans="1:99" ht="15" thickBot="1" x14ac:dyDescent="0.4">
      <c r="A473" s="14"/>
      <c r="B473" s="14"/>
      <c r="C473" s="14"/>
      <c r="D473" s="14"/>
      <c r="E473" s="14"/>
      <c r="F473" s="14"/>
      <c r="G473" s="14"/>
      <c r="H473" s="14"/>
      <c r="I473" s="14"/>
      <c r="J473" s="41"/>
      <c r="L473" s="58"/>
      <c r="M473" s="58"/>
      <c r="N473" s="58"/>
      <c r="O473" s="58"/>
      <c r="P473" s="269"/>
      <c r="Q473" s="58"/>
      <c r="R473" s="58"/>
      <c r="S473" s="58"/>
      <c r="T473" s="58"/>
      <c r="U473" s="58"/>
      <c r="V473" s="269"/>
      <c r="W473" s="58"/>
      <c r="X473" s="58"/>
      <c r="Y473" s="58"/>
      <c r="Z473" s="58"/>
      <c r="AA473" s="58"/>
      <c r="AB473" s="269"/>
      <c r="AC473" s="58"/>
      <c r="AD473" s="58"/>
      <c r="AE473" s="58"/>
      <c r="AF473" s="58"/>
      <c r="AG473" s="58"/>
      <c r="AH473" s="269"/>
      <c r="AI473" s="58"/>
      <c r="AJ473" s="58"/>
      <c r="AK473" s="58"/>
      <c r="AL473" s="58"/>
      <c r="AM473" s="58"/>
      <c r="AN473" s="59"/>
      <c r="AO473" s="58"/>
      <c r="AP473" s="58"/>
      <c r="AQ473" s="58"/>
      <c r="AR473" s="58"/>
      <c r="AS473" s="58"/>
      <c r="AT473" s="59"/>
      <c r="AU473" s="58"/>
      <c r="AV473" s="58"/>
      <c r="AW473" s="58"/>
      <c r="AX473" s="58"/>
      <c r="AY473" s="58"/>
      <c r="AZ473" s="59"/>
      <c r="BA473" s="58"/>
      <c r="BB473" s="58"/>
      <c r="BC473" s="58"/>
      <c r="BD473" s="58"/>
      <c r="BE473" s="58"/>
      <c r="BF473" s="59"/>
      <c r="BG473" s="58"/>
      <c r="BH473" s="58"/>
      <c r="BI473" s="58"/>
      <c r="BJ473" s="58"/>
      <c r="BK473" s="58"/>
      <c r="BL473" s="59"/>
      <c r="BM473" s="58"/>
      <c r="BN473" s="58"/>
      <c r="BO473" s="58"/>
      <c r="BP473" s="58"/>
      <c r="BQ473" s="58"/>
      <c r="BR473" s="58"/>
      <c r="BS473" s="58"/>
      <c r="BT473" s="58"/>
      <c r="BU473" s="58"/>
      <c r="BV473" s="58"/>
      <c r="BW473" s="58"/>
      <c r="BX473" s="58"/>
      <c r="BY473" s="58"/>
      <c r="BZ473" s="58"/>
      <c r="CA473" s="58"/>
      <c r="CB473" s="58"/>
      <c r="CC473" s="58"/>
      <c r="CD473" s="58"/>
      <c r="CE473" s="58"/>
      <c r="CF473" s="58"/>
      <c r="CG473" s="58"/>
      <c r="CH473" s="58"/>
      <c r="CI473" s="58"/>
      <c r="CJ473" s="58"/>
      <c r="CK473" s="58"/>
      <c r="CL473" s="58"/>
      <c r="CM473" s="58"/>
      <c r="CN473" s="58"/>
      <c r="CO473" s="58"/>
      <c r="CP473" s="58"/>
      <c r="CQ473" s="58"/>
      <c r="CR473" s="58"/>
      <c r="CS473" s="58"/>
      <c r="CT473" s="58"/>
      <c r="CU473" s="58"/>
    </row>
    <row r="474" spans="1:99" ht="15" thickBot="1" x14ac:dyDescent="0.4">
      <c r="A474" s="14"/>
      <c r="B474" s="14"/>
      <c r="C474" s="14"/>
      <c r="D474" s="14"/>
      <c r="E474" s="14"/>
      <c r="F474" s="14"/>
      <c r="G474" s="14"/>
      <c r="H474" s="14"/>
      <c r="I474" s="14"/>
      <c r="J474" s="41"/>
      <c r="L474" s="58"/>
      <c r="M474" s="58"/>
      <c r="N474" s="58"/>
      <c r="O474" s="58"/>
      <c r="P474" s="269"/>
      <c r="Q474" s="58"/>
      <c r="R474" s="58"/>
      <c r="S474" s="58"/>
      <c r="T474" s="58"/>
      <c r="U474" s="58"/>
      <c r="V474" s="269"/>
      <c r="W474" s="58"/>
      <c r="X474" s="58"/>
      <c r="Y474" s="58"/>
      <c r="Z474" s="58"/>
      <c r="AA474" s="58"/>
      <c r="AB474" s="269"/>
      <c r="AC474" s="58"/>
      <c r="AD474" s="58"/>
      <c r="AE474" s="58"/>
      <c r="AF474" s="58"/>
      <c r="AG474" s="58"/>
      <c r="AH474" s="269"/>
      <c r="AI474" s="58"/>
      <c r="AJ474" s="58"/>
      <c r="AK474" s="58"/>
      <c r="AL474" s="58"/>
      <c r="AM474" s="58"/>
      <c r="AN474" s="59"/>
      <c r="AO474" s="58"/>
      <c r="AP474" s="58"/>
      <c r="AQ474" s="58"/>
      <c r="AR474" s="58"/>
      <c r="AS474" s="58"/>
      <c r="AT474" s="59"/>
      <c r="AU474" s="58"/>
      <c r="AV474" s="58"/>
      <c r="AW474" s="58"/>
      <c r="AX474" s="58"/>
      <c r="AY474" s="58"/>
      <c r="AZ474" s="59"/>
      <c r="BA474" s="58"/>
      <c r="BB474" s="58"/>
      <c r="BC474" s="58"/>
      <c r="BD474" s="58"/>
      <c r="BE474" s="58"/>
      <c r="BF474" s="59"/>
      <c r="BG474" s="58"/>
      <c r="BH474" s="58"/>
      <c r="BI474" s="58"/>
      <c r="BJ474" s="58"/>
      <c r="BK474" s="58"/>
      <c r="BL474" s="59"/>
      <c r="BM474" s="58"/>
      <c r="BN474" s="58"/>
      <c r="BO474" s="58"/>
      <c r="BP474" s="58"/>
      <c r="BQ474" s="58"/>
      <c r="BR474" s="58"/>
      <c r="BS474" s="58"/>
      <c r="BT474" s="58"/>
      <c r="BU474" s="58"/>
      <c r="BV474" s="58"/>
      <c r="BW474" s="58"/>
      <c r="BX474" s="58"/>
      <c r="BY474" s="58"/>
      <c r="BZ474" s="58"/>
      <c r="CA474" s="58"/>
      <c r="CB474" s="58"/>
      <c r="CC474" s="58"/>
      <c r="CD474" s="58"/>
      <c r="CE474" s="58"/>
      <c r="CF474" s="58"/>
      <c r="CG474" s="58"/>
      <c r="CH474" s="58"/>
      <c r="CI474" s="58"/>
      <c r="CJ474" s="58"/>
      <c r="CK474" s="58"/>
      <c r="CL474" s="58"/>
      <c r="CM474" s="58"/>
      <c r="CN474" s="58"/>
      <c r="CO474" s="58"/>
      <c r="CP474" s="58"/>
      <c r="CQ474" s="58"/>
      <c r="CR474" s="58"/>
      <c r="CS474" s="58"/>
      <c r="CT474" s="58"/>
      <c r="CU474" s="58"/>
    </row>
    <row r="475" spans="1:99" ht="15" thickBot="1" x14ac:dyDescent="0.4">
      <c r="A475" s="14"/>
      <c r="B475" s="14"/>
      <c r="C475" s="14"/>
      <c r="D475" s="14"/>
      <c r="E475" s="14"/>
      <c r="F475" s="14"/>
      <c r="G475" s="14"/>
      <c r="H475" s="14"/>
      <c r="I475" s="14"/>
      <c r="J475" s="41"/>
      <c r="L475" s="58"/>
      <c r="M475" s="58"/>
      <c r="N475" s="58"/>
      <c r="O475" s="58"/>
      <c r="P475" s="269"/>
      <c r="Q475" s="58"/>
      <c r="R475" s="58"/>
      <c r="S475" s="58"/>
      <c r="T475" s="58"/>
      <c r="U475" s="58"/>
      <c r="V475" s="269"/>
      <c r="W475" s="58"/>
      <c r="X475" s="58"/>
      <c r="Y475" s="58"/>
      <c r="Z475" s="58"/>
      <c r="AA475" s="58"/>
      <c r="AB475" s="269"/>
      <c r="AC475" s="58"/>
      <c r="AD475" s="58"/>
      <c r="AE475" s="58"/>
      <c r="AF475" s="58"/>
      <c r="AG475" s="58"/>
      <c r="AH475" s="269"/>
      <c r="AI475" s="58"/>
      <c r="AJ475" s="58"/>
      <c r="AK475" s="58"/>
      <c r="AL475" s="58"/>
      <c r="AM475" s="58"/>
      <c r="AN475" s="59"/>
      <c r="AO475" s="58"/>
      <c r="AP475" s="58"/>
      <c r="AQ475" s="58"/>
      <c r="AR475" s="58"/>
      <c r="AS475" s="58"/>
      <c r="AT475" s="59"/>
      <c r="AU475" s="58"/>
      <c r="AV475" s="58"/>
      <c r="AW475" s="58"/>
      <c r="AX475" s="58"/>
      <c r="AY475" s="58"/>
      <c r="AZ475" s="59"/>
      <c r="BA475" s="58"/>
      <c r="BB475" s="58"/>
      <c r="BC475" s="58"/>
      <c r="BD475" s="58"/>
      <c r="BE475" s="58"/>
      <c r="BF475" s="59"/>
      <c r="BG475" s="58"/>
      <c r="BH475" s="58"/>
      <c r="BI475" s="58"/>
      <c r="BJ475" s="58"/>
      <c r="BK475" s="58"/>
      <c r="BL475" s="59"/>
      <c r="BM475" s="58"/>
      <c r="BN475" s="58"/>
      <c r="BO475" s="58"/>
      <c r="BP475" s="58"/>
      <c r="BQ475" s="58"/>
      <c r="BR475" s="58"/>
      <c r="BS475" s="58"/>
      <c r="BT475" s="58"/>
      <c r="BU475" s="58"/>
      <c r="BV475" s="58"/>
      <c r="BW475" s="58"/>
      <c r="BX475" s="58"/>
      <c r="BY475" s="58"/>
      <c r="BZ475" s="58"/>
      <c r="CA475" s="58"/>
      <c r="CB475" s="58"/>
      <c r="CC475" s="58"/>
      <c r="CD475" s="58"/>
      <c r="CE475" s="58"/>
      <c r="CF475" s="58"/>
      <c r="CG475" s="58"/>
      <c r="CH475" s="58"/>
      <c r="CI475" s="58"/>
      <c r="CJ475" s="58"/>
      <c r="CK475" s="58"/>
      <c r="CL475" s="58"/>
      <c r="CM475" s="58"/>
      <c r="CN475" s="58"/>
      <c r="CO475" s="58"/>
      <c r="CP475" s="58"/>
      <c r="CQ475" s="58"/>
      <c r="CR475" s="58"/>
      <c r="CS475" s="58"/>
      <c r="CT475" s="58"/>
      <c r="CU475" s="58"/>
    </row>
    <row r="476" spans="1:99" ht="15" thickBot="1" x14ac:dyDescent="0.4">
      <c r="A476" s="14"/>
      <c r="B476" s="14"/>
      <c r="C476" s="14"/>
      <c r="D476" s="14"/>
      <c r="E476" s="14"/>
      <c r="F476" s="14"/>
      <c r="G476" s="14"/>
      <c r="H476" s="14"/>
      <c r="I476" s="14"/>
      <c r="J476" s="41"/>
      <c r="L476" s="58"/>
      <c r="M476" s="58"/>
      <c r="N476" s="58"/>
      <c r="O476" s="58"/>
      <c r="P476" s="269"/>
      <c r="Q476" s="58"/>
      <c r="R476" s="58"/>
      <c r="S476" s="58"/>
      <c r="T476" s="58"/>
      <c r="U476" s="58"/>
      <c r="V476" s="269"/>
      <c r="W476" s="58"/>
      <c r="X476" s="58"/>
      <c r="Y476" s="58"/>
      <c r="Z476" s="58"/>
      <c r="AA476" s="58"/>
      <c r="AB476" s="269"/>
      <c r="AC476" s="58"/>
      <c r="AD476" s="58"/>
      <c r="AE476" s="58"/>
      <c r="AF476" s="58"/>
      <c r="AG476" s="58"/>
      <c r="AH476" s="269"/>
      <c r="AI476" s="58"/>
      <c r="AJ476" s="58"/>
      <c r="AK476" s="58"/>
      <c r="AL476" s="58"/>
      <c r="AM476" s="58"/>
      <c r="AN476" s="59"/>
      <c r="AO476" s="58"/>
      <c r="AP476" s="58"/>
      <c r="AQ476" s="58"/>
      <c r="AR476" s="58"/>
      <c r="AS476" s="58"/>
      <c r="AT476" s="59"/>
      <c r="AU476" s="58"/>
      <c r="AV476" s="58"/>
      <c r="AW476" s="58"/>
      <c r="AX476" s="58"/>
      <c r="AY476" s="58"/>
      <c r="AZ476" s="59"/>
      <c r="BA476" s="58"/>
      <c r="BB476" s="58"/>
      <c r="BC476" s="58"/>
      <c r="BD476" s="58"/>
      <c r="BE476" s="58"/>
      <c r="BF476" s="59"/>
      <c r="BG476" s="58"/>
      <c r="BH476" s="58"/>
      <c r="BI476" s="58"/>
      <c r="BJ476" s="58"/>
      <c r="BK476" s="58"/>
      <c r="BL476" s="59"/>
      <c r="BM476" s="58"/>
      <c r="BN476" s="58"/>
      <c r="BO476" s="58"/>
      <c r="BP476" s="58"/>
      <c r="BQ476" s="58"/>
      <c r="BR476" s="58"/>
      <c r="BS476" s="58"/>
      <c r="BT476" s="58"/>
      <c r="BU476" s="58"/>
      <c r="BV476" s="58"/>
      <c r="BW476" s="58"/>
      <c r="BX476" s="58"/>
      <c r="BY476" s="58"/>
      <c r="BZ476" s="58"/>
      <c r="CA476" s="58"/>
      <c r="CB476" s="58"/>
      <c r="CC476" s="58"/>
      <c r="CD476" s="58"/>
      <c r="CE476" s="58"/>
      <c r="CF476" s="58"/>
      <c r="CG476" s="58"/>
      <c r="CH476" s="58"/>
      <c r="CI476" s="58"/>
      <c r="CJ476" s="58"/>
      <c r="CK476" s="58"/>
      <c r="CL476" s="58"/>
      <c r="CM476" s="58"/>
      <c r="CN476" s="58"/>
      <c r="CO476" s="58"/>
      <c r="CP476" s="58"/>
      <c r="CQ476" s="58"/>
      <c r="CR476" s="58"/>
      <c r="CS476" s="58"/>
      <c r="CT476" s="58"/>
      <c r="CU476" s="58"/>
    </row>
    <row r="477" spans="1:99" ht="15" thickBot="1" x14ac:dyDescent="0.4">
      <c r="A477" s="14"/>
      <c r="B477" s="14"/>
      <c r="C477" s="14"/>
      <c r="D477" s="14"/>
      <c r="E477" s="14"/>
      <c r="F477" s="14"/>
      <c r="G477" s="14"/>
      <c r="H477" s="14"/>
      <c r="I477" s="14"/>
      <c r="J477" s="41"/>
      <c r="L477" s="58"/>
      <c r="M477" s="58"/>
      <c r="N477" s="58"/>
      <c r="O477" s="58"/>
      <c r="P477" s="269"/>
      <c r="Q477" s="58"/>
      <c r="R477" s="58"/>
      <c r="S477" s="58"/>
      <c r="T477" s="58"/>
      <c r="U477" s="58"/>
      <c r="V477" s="269"/>
      <c r="W477" s="58"/>
      <c r="X477" s="58"/>
      <c r="Y477" s="58"/>
      <c r="Z477" s="58"/>
      <c r="AA477" s="58"/>
      <c r="AB477" s="269"/>
      <c r="AC477" s="58"/>
      <c r="AD477" s="58"/>
      <c r="AE477" s="58"/>
      <c r="AF477" s="58"/>
      <c r="AG477" s="58"/>
      <c r="AH477" s="269"/>
      <c r="AI477" s="58"/>
      <c r="AJ477" s="58"/>
      <c r="AK477" s="58"/>
      <c r="AL477" s="58"/>
      <c r="AM477" s="58"/>
      <c r="AN477" s="59"/>
      <c r="AO477" s="58"/>
      <c r="AP477" s="58"/>
      <c r="AQ477" s="58"/>
      <c r="AR477" s="58"/>
      <c r="AS477" s="58"/>
      <c r="AT477" s="59"/>
      <c r="AU477" s="58"/>
      <c r="AV477" s="58"/>
      <c r="AW477" s="58"/>
      <c r="AX477" s="58"/>
      <c r="AY477" s="58"/>
      <c r="AZ477" s="59"/>
      <c r="BA477" s="58"/>
      <c r="BB477" s="58"/>
      <c r="BC477" s="58"/>
      <c r="BD477" s="58"/>
      <c r="BE477" s="58"/>
      <c r="BF477" s="59"/>
      <c r="BG477" s="58"/>
      <c r="BH477" s="58"/>
      <c r="BI477" s="58"/>
      <c r="BJ477" s="58"/>
      <c r="BK477" s="58"/>
      <c r="BL477" s="59"/>
      <c r="BM477" s="58"/>
      <c r="BN477" s="58"/>
      <c r="BO477" s="58"/>
      <c r="BP477" s="58"/>
      <c r="BQ477" s="58"/>
      <c r="BR477" s="58"/>
      <c r="BS477" s="58"/>
      <c r="BT477" s="58"/>
      <c r="BU477" s="58"/>
      <c r="BV477" s="58"/>
      <c r="BW477" s="58"/>
      <c r="BX477" s="58"/>
      <c r="BY477" s="58"/>
      <c r="BZ477" s="58"/>
      <c r="CA477" s="58"/>
      <c r="CB477" s="58"/>
      <c r="CC477" s="58"/>
      <c r="CD477" s="58"/>
      <c r="CE477" s="58"/>
      <c r="CF477" s="58"/>
      <c r="CG477" s="58"/>
      <c r="CH477" s="58"/>
      <c r="CI477" s="58"/>
      <c r="CJ477" s="58"/>
      <c r="CK477" s="58"/>
      <c r="CL477" s="58"/>
      <c r="CM477" s="58"/>
      <c r="CN477" s="58"/>
      <c r="CO477" s="58"/>
      <c r="CP477" s="58"/>
      <c r="CQ477" s="58"/>
      <c r="CR477" s="58"/>
      <c r="CS477" s="58"/>
      <c r="CT477" s="58"/>
      <c r="CU477" s="58"/>
    </row>
    <row r="478" spans="1:99" ht="15" thickBot="1" x14ac:dyDescent="0.4">
      <c r="A478" s="14"/>
      <c r="B478" s="14"/>
      <c r="C478" s="14"/>
      <c r="D478" s="14"/>
      <c r="E478" s="14"/>
      <c r="F478" s="14"/>
      <c r="G478" s="14"/>
      <c r="H478" s="14"/>
      <c r="I478" s="14"/>
      <c r="J478" s="41"/>
      <c r="L478" s="58"/>
      <c r="M478" s="58"/>
      <c r="N478" s="58"/>
      <c r="O478" s="58"/>
      <c r="P478" s="269"/>
      <c r="Q478" s="58"/>
      <c r="R478" s="58"/>
      <c r="S478" s="58"/>
      <c r="T478" s="58"/>
      <c r="U478" s="58"/>
      <c r="V478" s="269"/>
      <c r="W478" s="58"/>
      <c r="X478" s="58"/>
      <c r="Y478" s="58"/>
      <c r="Z478" s="58"/>
      <c r="AA478" s="58"/>
      <c r="AB478" s="269"/>
      <c r="AC478" s="58"/>
      <c r="AD478" s="58"/>
      <c r="AE478" s="58"/>
      <c r="AF478" s="58"/>
      <c r="AG478" s="58"/>
      <c r="AH478" s="269"/>
      <c r="AI478" s="58"/>
      <c r="AJ478" s="58"/>
      <c r="AK478" s="58"/>
      <c r="AL478" s="58"/>
      <c r="AM478" s="58"/>
      <c r="AN478" s="59"/>
      <c r="AO478" s="58"/>
      <c r="AP478" s="58"/>
      <c r="AQ478" s="58"/>
      <c r="AR478" s="58"/>
      <c r="AS478" s="58"/>
      <c r="AT478" s="59"/>
      <c r="AU478" s="58"/>
      <c r="AV478" s="58"/>
      <c r="AW478" s="58"/>
      <c r="AX478" s="58"/>
      <c r="AY478" s="58"/>
      <c r="AZ478" s="59"/>
      <c r="BA478" s="58"/>
      <c r="BB478" s="58"/>
      <c r="BC478" s="58"/>
      <c r="BD478" s="58"/>
      <c r="BE478" s="58"/>
      <c r="BF478" s="59"/>
      <c r="BG478" s="58"/>
      <c r="BH478" s="58"/>
      <c r="BI478" s="58"/>
      <c r="BJ478" s="58"/>
      <c r="BK478" s="58"/>
      <c r="BL478" s="59"/>
      <c r="BM478" s="58"/>
      <c r="BN478" s="58"/>
      <c r="BO478" s="58"/>
      <c r="BP478" s="58"/>
      <c r="BQ478" s="58"/>
      <c r="BR478" s="58"/>
      <c r="BS478" s="58"/>
      <c r="BT478" s="58"/>
      <c r="BU478" s="58"/>
      <c r="BV478" s="58"/>
      <c r="BW478" s="58"/>
      <c r="BX478" s="58"/>
      <c r="BY478" s="58"/>
      <c r="BZ478" s="58"/>
      <c r="CA478" s="58"/>
      <c r="CB478" s="58"/>
      <c r="CC478" s="58"/>
      <c r="CD478" s="58"/>
      <c r="CE478" s="58"/>
      <c r="CF478" s="58"/>
      <c r="CG478" s="58"/>
      <c r="CH478" s="58"/>
      <c r="CI478" s="58"/>
      <c r="CJ478" s="58"/>
      <c r="CK478" s="58"/>
      <c r="CL478" s="58"/>
      <c r="CM478" s="58"/>
      <c r="CN478" s="58"/>
      <c r="CO478" s="58"/>
      <c r="CP478" s="58"/>
      <c r="CQ478" s="58"/>
      <c r="CR478" s="58"/>
      <c r="CS478" s="58"/>
      <c r="CT478" s="58"/>
      <c r="CU478" s="58"/>
    </row>
    <row r="479" spans="1:99" ht="15" thickBot="1" x14ac:dyDescent="0.4">
      <c r="A479" s="14"/>
      <c r="B479" s="14"/>
      <c r="C479" s="14"/>
      <c r="D479" s="14"/>
      <c r="E479" s="14"/>
      <c r="F479" s="14"/>
      <c r="G479" s="14"/>
      <c r="H479" s="14"/>
      <c r="I479" s="14"/>
      <c r="J479" s="41"/>
      <c r="L479" s="58"/>
      <c r="M479" s="58"/>
      <c r="N479" s="58"/>
      <c r="O479" s="58"/>
      <c r="P479" s="269"/>
      <c r="Q479" s="58"/>
      <c r="R479" s="58"/>
      <c r="S479" s="58"/>
      <c r="T479" s="58"/>
      <c r="U479" s="58"/>
      <c r="V479" s="269"/>
      <c r="W479" s="58"/>
      <c r="X479" s="58"/>
      <c r="Y479" s="58"/>
      <c r="Z479" s="58"/>
      <c r="AA479" s="58"/>
      <c r="AB479" s="269"/>
      <c r="AC479" s="58"/>
      <c r="AD479" s="58"/>
      <c r="AE479" s="58"/>
      <c r="AF479" s="58"/>
      <c r="AG479" s="58"/>
      <c r="AH479" s="269"/>
      <c r="AI479" s="58"/>
      <c r="AJ479" s="58"/>
      <c r="AK479" s="58"/>
      <c r="AL479" s="58"/>
      <c r="AM479" s="58"/>
      <c r="AN479" s="59"/>
      <c r="AO479" s="58"/>
      <c r="AP479" s="58"/>
      <c r="AQ479" s="58"/>
      <c r="AR479" s="58"/>
      <c r="AS479" s="58"/>
      <c r="AT479" s="59"/>
      <c r="AU479" s="58"/>
      <c r="AV479" s="58"/>
      <c r="AW479" s="58"/>
      <c r="AX479" s="58"/>
      <c r="AY479" s="58"/>
      <c r="AZ479" s="59"/>
      <c r="BA479" s="58"/>
      <c r="BB479" s="58"/>
      <c r="BC479" s="58"/>
      <c r="BD479" s="58"/>
      <c r="BE479" s="58"/>
      <c r="BF479" s="59"/>
      <c r="BG479" s="58"/>
      <c r="BH479" s="58"/>
      <c r="BI479" s="58"/>
      <c r="BJ479" s="58"/>
      <c r="BK479" s="58"/>
      <c r="BL479" s="59"/>
      <c r="BM479" s="58"/>
      <c r="BN479" s="58"/>
      <c r="BO479" s="58"/>
      <c r="BP479" s="58"/>
      <c r="BQ479" s="58"/>
      <c r="BR479" s="58"/>
      <c r="BS479" s="58"/>
      <c r="BT479" s="58"/>
      <c r="BU479" s="58"/>
      <c r="BV479" s="58"/>
      <c r="BW479" s="58"/>
      <c r="BX479" s="58"/>
      <c r="BY479" s="58"/>
      <c r="BZ479" s="58"/>
      <c r="CA479" s="58"/>
      <c r="CB479" s="58"/>
      <c r="CC479" s="58"/>
      <c r="CD479" s="58"/>
      <c r="CE479" s="58"/>
      <c r="CF479" s="58"/>
      <c r="CG479" s="58"/>
      <c r="CH479" s="58"/>
      <c r="CI479" s="58"/>
      <c r="CJ479" s="58"/>
      <c r="CK479" s="58"/>
      <c r="CL479" s="58"/>
      <c r="CM479" s="58"/>
      <c r="CN479" s="58"/>
      <c r="CO479" s="58"/>
      <c r="CP479" s="58"/>
      <c r="CQ479" s="58"/>
      <c r="CR479" s="58"/>
      <c r="CS479" s="58"/>
      <c r="CT479" s="58"/>
      <c r="CU479" s="58"/>
    </row>
    <row r="480" spans="1:99" ht="15" thickBot="1" x14ac:dyDescent="0.4">
      <c r="A480" s="14"/>
      <c r="B480" s="14"/>
      <c r="C480" s="14"/>
      <c r="D480" s="14"/>
      <c r="E480" s="14"/>
      <c r="F480" s="14"/>
      <c r="G480" s="14"/>
      <c r="H480" s="14"/>
      <c r="I480" s="14"/>
      <c r="J480" s="41"/>
      <c r="L480" s="58"/>
      <c r="M480" s="58"/>
      <c r="N480" s="58"/>
      <c r="O480" s="58"/>
      <c r="P480" s="269"/>
      <c r="Q480" s="58"/>
      <c r="R480" s="58"/>
      <c r="S480" s="58"/>
      <c r="T480" s="58"/>
      <c r="U480" s="58"/>
      <c r="V480" s="269"/>
      <c r="W480" s="58"/>
      <c r="X480" s="58"/>
      <c r="Y480" s="58"/>
      <c r="Z480" s="58"/>
      <c r="AA480" s="58"/>
      <c r="AB480" s="269"/>
      <c r="AC480" s="58"/>
      <c r="AD480" s="58"/>
      <c r="AE480" s="58"/>
      <c r="AF480" s="58"/>
      <c r="AG480" s="58"/>
      <c r="AH480" s="269"/>
      <c r="AI480" s="58"/>
      <c r="AJ480" s="58"/>
      <c r="AK480" s="58"/>
      <c r="AL480" s="58"/>
      <c r="AM480" s="58"/>
      <c r="AN480" s="59"/>
      <c r="AO480" s="58"/>
      <c r="AP480" s="58"/>
      <c r="AQ480" s="58"/>
      <c r="AR480" s="58"/>
      <c r="AS480" s="58"/>
      <c r="AT480" s="59"/>
      <c r="AU480" s="58"/>
      <c r="AV480" s="58"/>
      <c r="AW480" s="58"/>
      <c r="AX480" s="58"/>
      <c r="AY480" s="58"/>
      <c r="AZ480" s="59"/>
      <c r="BA480" s="58"/>
      <c r="BB480" s="58"/>
      <c r="BC480" s="58"/>
      <c r="BD480" s="58"/>
      <c r="BE480" s="58"/>
      <c r="BF480" s="59"/>
      <c r="BG480" s="58"/>
      <c r="BH480" s="58"/>
      <c r="BI480" s="58"/>
      <c r="BJ480" s="58"/>
      <c r="BK480" s="58"/>
      <c r="BL480" s="59"/>
      <c r="BM480" s="58"/>
      <c r="BN480" s="58"/>
      <c r="BO480" s="58"/>
      <c r="BP480" s="58"/>
      <c r="BQ480" s="58"/>
      <c r="BR480" s="58"/>
      <c r="BS480" s="58"/>
      <c r="BT480" s="58"/>
      <c r="BU480" s="58"/>
      <c r="BV480" s="58"/>
      <c r="BW480" s="58"/>
      <c r="BX480" s="58"/>
      <c r="BY480" s="58"/>
      <c r="BZ480" s="58"/>
      <c r="CA480" s="58"/>
      <c r="CB480" s="58"/>
      <c r="CC480" s="58"/>
      <c r="CD480" s="58"/>
      <c r="CE480" s="58"/>
      <c r="CF480" s="58"/>
      <c r="CG480" s="58"/>
      <c r="CH480" s="58"/>
      <c r="CI480" s="58"/>
      <c r="CJ480" s="58"/>
      <c r="CK480" s="58"/>
      <c r="CL480" s="58"/>
      <c r="CM480" s="58"/>
      <c r="CN480" s="58"/>
      <c r="CO480" s="58"/>
      <c r="CP480" s="58"/>
      <c r="CQ480" s="58"/>
      <c r="CR480" s="58"/>
      <c r="CS480" s="58"/>
      <c r="CT480" s="58"/>
      <c r="CU480" s="58"/>
    </row>
    <row r="481" spans="1:99" ht="15" thickBot="1" x14ac:dyDescent="0.4">
      <c r="A481" s="14"/>
      <c r="B481" s="14"/>
      <c r="C481" s="14"/>
      <c r="D481" s="14"/>
      <c r="E481" s="14"/>
      <c r="F481" s="14"/>
      <c r="G481" s="14"/>
      <c r="H481" s="14"/>
      <c r="I481" s="14"/>
      <c r="J481" s="41"/>
      <c r="L481" s="58"/>
      <c r="M481" s="58"/>
      <c r="N481" s="58"/>
      <c r="O481" s="58"/>
      <c r="P481" s="269"/>
      <c r="Q481" s="58"/>
      <c r="R481" s="58"/>
      <c r="S481" s="58"/>
      <c r="T481" s="58"/>
      <c r="U481" s="58"/>
      <c r="V481" s="269"/>
      <c r="W481" s="58"/>
      <c r="X481" s="58"/>
      <c r="Y481" s="58"/>
      <c r="Z481" s="58"/>
      <c r="AA481" s="58"/>
      <c r="AB481" s="269"/>
      <c r="AC481" s="58"/>
      <c r="AD481" s="58"/>
      <c r="AE481" s="58"/>
      <c r="AF481" s="58"/>
      <c r="AG481" s="58"/>
      <c r="AH481" s="269"/>
      <c r="AI481" s="58"/>
      <c r="AJ481" s="58"/>
      <c r="AK481" s="58"/>
      <c r="AL481" s="58"/>
      <c r="AM481" s="58"/>
      <c r="AN481" s="59"/>
      <c r="AO481" s="58"/>
      <c r="AP481" s="58"/>
      <c r="AQ481" s="58"/>
      <c r="AR481" s="58"/>
      <c r="AS481" s="58"/>
      <c r="AT481" s="59"/>
      <c r="AU481" s="58"/>
      <c r="AV481" s="58"/>
      <c r="AW481" s="58"/>
      <c r="AX481" s="58"/>
      <c r="AY481" s="58"/>
      <c r="AZ481" s="59"/>
      <c r="BA481" s="58"/>
      <c r="BB481" s="58"/>
      <c r="BC481" s="58"/>
      <c r="BD481" s="58"/>
      <c r="BE481" s="58"/>
      <c r="BF481" s="59"/>
      <c r="BG481" s="58"/>
      <c r="BH481" s="58"/>
      <c r="BI481" s="58"/>
      <c r="BJ481" s="58"/>
      <c r="BK481" s="58"/>
      <c r="BL481" s="59"/>
      <c r="BM481" s="58"/>
      <c r="BN481" s="58"/>
      <c r="BO481" s="58"/>
      <c r="BP481" s="58"/>
      <c r="BQ481" s="58"/>
      <c r="BR481" s="58"/>
      <c r="BS481" s="58"/>
      <c r="BT481" s="58"/>
      <c r="BU481" s="58"/>
      <c r="BV481" s="58"/>
      <c r="BW481" s="58"/>
      <c r="BX481" s="58"/>
      <c r="BY481" s="58"/>
      <c r="BZ481" s="58"/>
      <c r="CA481" s="58"/>
      <c r="CB481" s="58"/>
      <c r="CC481" s="58"/>
      <c r="CD481" s="58"/>
      <c r="CE481" s="58"/>
      <c r="CF481" s="58"/>
      <c r="CG481" s="58"/>
      <c r="CH481" s="58"/>
      <c r="CI481" s="58"/>
      <c r="CJ481" s="58"/>
      <c r="CK481" s="58"/>
      <c r="CL481" s="58"/>
      <c r="CM481" s="58"/>
      <c r="CN481" s="58"/>
      <c r="CO481" s="58"/>
      <c r="CP481" s="58"/>
      <c r="CQ481" s="58"/>
      <c r="CR481" s="58"/>
      <c r="CS481" s="58"/>
      <c r="CT481" s="58"/>
      <c r="CU481" s="58"/>
    </row>
    <row r="482" spans="1:99" ht="15" thickBot="1" x14ac:dyDescent="0.4">
      <c r="A482" s="14"/>
      <c r="B482" s="14"/>
      <c r="C482" s="14"/>
      <c r="D482" s="14"/>
      <c r="E482" s="14"/>
      <c r="F482" s="14"/>
      <c r="G482" s="14"/>
      <c r="H482" s="14"/>
      <c r="I482" s="14"/>
      <c r="J482" s="41"/>
      <c r="L482" s="58"/>
      <c r="M482" s="58"/>
      <c r="N482" s="58"/>
      <c r="O482" s="58"/>
      <c r="P482" s="269"/>
      <c r="Q482" s="58"/>
      <c r="R482" s="58"/>
      <c r="S482" s="58"/>
      <c r="T482" s="58"/>
      <c r="U482" s="58"/>
      <c r="V482" s="269"/>
      <c r="W482" s="58"/>
      <c r="X482" s="58"/>
      <c r="Y482" s="58"/>
      <c r="Z482" s="58"/>
      <c r="AA482" s="58"/>
      <c r="AB482" s="269"/>
      <c r="AC482" s="58"/>
      <c r="AD482" s="58"/>
      <c r="AE482" s="58"/>
      <c r="AF482" s="58"/>
      <c r="AG482" s="58"/>
      <c r="AH482" s="269"/>
      <c r="AI482" s="58"/>
      <c r="AJ482" s="58"/>
      <c r="AK482" s="58"/>
      <c r="AL482" s="58"/>
      <c r="AM482" s="58"/>
      <c r="AN482" s="59"/>
      <c r="AO482" s="58"/>
      <c r="AP482" s="58"/>
      <c r="AQ482" s="58"/>
      <c r="AR482" s="58"/>
      <c r="AS482" s="58"/>
      <c r="AT482" s="59"/>
      <c r="AU482" s="58"/>
      <c r="AV482" s="58"/>
      <c r="AW482" s="58"/>
      <c r="AX482" s="58"/>
      <c r="AY482" s="58"/>
      <c r="AZ482" s="59"/>
      <c r="BA482" s="58"/>
      <c r="BB482" s="58"/>
      <c r="BC482" s="58"/>
      <c r="BD482" s="58"/>
      <c r="BE482" s="58"/>
      <c r="BF482" s="59"/>
      <c r="BG482" s="58"/>
      <c r="BH482" s="58"/>
      <c r="BI482" s="58"/>
      <c r="BJ482" s="58"/>
      <c r="BK482" s="58"/>
      <c r="BL482" s="59"/>
      <c r="BM482" s="58"/>
      <c r="BN482" s="58"/>
      <c r="BO482" s="58"/>
      <c r="BP482" s="58"/>
      <c r="BQ482" s="58"/>
      <c r="BR482" s="58"/>
      <c r="BS482" s="58"/>
      <c r="BT482" s="58"/>
      <c r="BU482" s="58"/>
      <c r="BV482" s="58"/>
      <c r="BW482" s="58"/>
      <c r="BX482" s="58"/>
      <c r="BY482" s="58"/>
      <c r="BZ482" s="58"/>
      <c r="CA482" s="58"/>
      <c r="CB482" s="58"/>
      <c r="CC482" s="58"/>
      <c r="CD482" s="58"/>
      <c r="CE482" s="58"/>
      <c r="CF482" s="58"/>
      <c r="CG482" s="58"/>
      <c r="CH482" s="58"/>
      <c r="CI482" s="58"/>
      <c r="CJ482" s="58"/>
      <c r="CK482" s="58"/>
      <c r="CL482" s="58"/>
      <c r="CM482" s="58"/>
      <c r="CN482" s="58"/>
      <c r="CO482" s="58"/>
      <c r="CP482" s="58"/>
      <c r="CQ482" s="58"/>
      <c r="CR482" s="58"/>
      <c r="CS482" s="58"/>
      <c r="CT482" s="58"/>
      <c r="CU482" s="58"/>
    </row>
    <row r="483" spans="1:99" ht="15" thickBot="1" x14ac:dyDescent="0.4">
      <c r="A483" s="14"/>
      <c r="B483" s="14"/>
      <c r="C483" s="14"/>
      <c r="D483" s="14"/>
      <c r="E483" s="14"/>
      <c r="F483" s="14"/>
      <c r="G483" s="14"/>
      <c r="H483" s="14"/>
      <c r="I483" s="14"/>
      <c r="J483" s="41"/>
      <c r="L483" s="58"/>
      <c r="M483" s="58"/>
      <c r="N483" s="58"/>
      <c r="O483" s="58"/>
      <c r="P483" s="269"/>
      <c r="Q483" s="58"/>
      <c r="R483" s="58"/>
      <c r="S483" s="58"/>
      <c r="T483" s="58"/>
      <c r="U483" s="58"/>
      <c r="V483" s="269"/>
      <c r="W483" s="58"/>
      <c r="X483" s="58"/>
      <c r="Y483" s="58"/>
      <c r="Z483" s="58"/>
      <c r="AA483" s="58"/>
      <c r="AB483" s="269"/>
      <c r="AC483" s="58"/>
      <c r="AD483" s="58"/>
      <c r="AE483" s="58"/>
      <c r="AF483" s="58"/>
      <c r="AG483" s="58"/>
      <c r="AH483" s="269"/>
      <c r="AI483" s="58"/>
      <c r="AJ483" s="58"/>
      <c r="AK483" s="58"/>
      <c r="AL483" s="58"/>
      <c r="AM483" s="58"/>
      <c r="AN483" s="59"/>
      <c r="AO483" s="58"/>
      <c r="AP483" s="58"/>
      <c r="AQ483" s="58"/>
      <c r="AR483" s="58"/>
      <c r="AS483" s="58"/>
      <c r="AT483" s="59"/>
      <c r="AU483" s="58"/>
      <c r="AV483" s="58"/>
      <c r="AW483" s="58"/>
      <c r="AX483" s="58"/>
      <c r="AY483" s="58"/>
      <c r="AZ483" s="59"/>
      <c r="BA483" s="58"/>
      <c r="BB483" s="58"/>
      <c r="BC483" s="58"/>
      <c r="BD483" s="58"/>
      <c r="BE483" s="58"/>
      <c r="BF483" s="59"/>
      <c r="BG483" s="58"/>
      <c r="BH483" s="58"/>
      <c r="BI483" s="58"/>
      <c r="BJ483" s="58"/>
      <c r="BK483" s="58"/>
      <c r="BL483" s="59"/>
      <c r="BM483" s="58"/>
      <c r="BN483" s="58"/>
      <c r="BO483" s="58"/>
      <c r="BP483" s="58"/>
      <c r="BQ483" s="58"/>
      <c r="BR483" s="58"/>
      <c r="BS483" s="58"/>
      <c r="BT483" s="58"/>
      <c r="BU483" s="58"/>
      <c r="BV483" s="58"/>
      <c r="BW483" s="58"/>
      <c r="BX483" s="58"/>
      <c r="BY483" s="58"/>
      <c r="BZ483" s="58"/>
      <c r="CA483" s="58"/>
      <c r="CB483" s="58"/>
      <c r="CC483" s="58"/>
      <c r="CD483" s="58"/>
      <c r="CE483" s="58"/>
      <c r="CF483" s="58"/>
      <c r="CG483" s="58"/>
      <c r="CH483" s="58"/>
      <c r="CI483" s="58"/>
      <c r="CJ483" s="58"/>
      <c r="CK483" s="58"/>
      <c r="CL483" s="58"/>
      <c r="CM483" s="58"/>
      <c r="CN483" s="58"/>
      <c r="CO483" s="58"/>
      <c r="CP483" s="58"/>
      <c r="CQ483" s="58"/>
      <c r="CR483" s="58"/>
      <c r="CS483" s="58"/>
      <c r="CT483" s="58"/>
      <c r="CU483" s="58"/>
    </row>
    <row r="484" spans="1:99" ht="15" thickBot="1" x14ac:dyDescent="0.4">
      <c r="A484" s="14"/>
      <c r="B484" s="14"/>
      <c r="C484" s="14"/>
      <c r="D484" s="14"/>
      <c r="E484" s="14"/>
      <c r="F484" s="14"/>
      <c r="G484" s="14"/>
      <c r="H484" s="14"/>
      <c r="I484" s="14"/>
      <c r="J484" s="41"/>
      <c r="L484" s="58"/>
      <c r="M484" s="58"/>
      <c r="N484" s="58"/>
      <c r="O484" s="58"/>
      <c r="P484" s="269"/>
      <c r="Q484" s="58"/>
      <c r="R484" s="58"/>
      <c r="S484" s="58"/>
      <c r="T484" s="58"/>
      <c r="U484" s="58"/>
      <c r="V484" s="269"/>
      <c r="W484" s="58"/>
      <c r="X484" s="58"/>
      <c r="Y484" s="58"/>
      <c r="Z484" s="58"/>
      <c r="AA484" s="58"/>
      <c r="AB484" s="269"/>
      <c r="AC484" s="58"/>
      <c r="AD484" s="58"/>
      <c r="AE484" s="58"/>
      <c r="AF484" s="58"/>
      <c r="AG484" s="58"/>
      <c r="AH484" s="269"/>
      <c r="AI484" s="58"/>
      <c r="AJ484" s="58"/>
      <c r="AK484" s="58"/>
      <c r="AL484" s="58"/>
      <c r="AM484" s="58"/>
      <c r="AN484" s="59"/>
      <c r="AO484" s="58"/>
      <c r="AP484" s="58"/>
      <c r="AQ484" s="58"/>
      <c r="AR484" s="58"/>
      <c r="AS484" s="58"/>
      <c r="AT484" s="59"/>
      <c r="AU484" s="58"/>
      <c r="AV484" s="58"/>
      <c r="AW484" s="58"/>
      <c r="AX484" s="58"/>
      <c r="AY484" s="58"/>
      <c r="AZ484" s="59"/>
      <c r="BA484" s="58"/>
      <c r="BB484" s="58"/>
      <c r="BC484" s="58"/>
      <c r="BD484" s="58"/>
      <c r="BE484" s="58"/>
      <c r="BF484" s="59"/>
      <c r="BG484" s="58"/>
      <c r="BH484" s="58"/>
      <c r="BI484" s="58"/>
      <c r="BJ484" s="58"/>
      <c r="BK484" s="58"/>
      <c r="BL484" s="59"/>
      <c r="BM484" s="58"/>
      <c r="BN484" s="58"/>
      <c r="BO484" s="58"/>
      <c r="BP484" s="58"/>
      <c r="BQ484" s="58"/>
      <c r="BR484" s="58"/>
      <c r="BS484" s="58"/>
      <c r="BT484" s="58"/>
      <c r="BU484" s="58"/>
      <c r="BV484" s="58"/>
      <c r="BW484" s="58"/>
      <c r="BX484" s="58"/>
      <c r="BY484" s="58"/>
      <c r="BZ484" s="58"/>
      <c r="CA484" s="58"/>
      <c r="CB484" s="58"/>
      <c r="CC484" s="58"/>
      <c r="CD484" s="58"/>
      <c r="CE484" s="58"/>
      <c r="CF484" s="58"/>
      <c r="CG484" s="58"/>
      <c r="CH484" s="58"/>
      <c r="CI484" s="58"/>
      <c r="CJ484" s="58"/>
      <c r="CK484" s="58"/>
      <c r="CL484" s="58"/>
      <c r="CM484" s="58"/>
      <c r="CN484" s="58"/>
      <c r="CO484" s="58"/>
      <c r="CP484" s="58"/>
      <c r="CQ484" s="58"/>
      <c r="CR484" s="58"/>
      <c r="CS484" s="58"/>
      <c r="CT484" s="58"/>
      <c r="CU484" s="58"/>
    </row>
    <row r="485" spans="1:99" ht="15" thickBot="1" x14ac:dyDescent="0.4">
      <c r="A485" s="14"/>
      <c r="B485" s="14"/>
      <c r="C485" s="14"/>
      <c r="D485" s="14"/>
      <c r="E485" s="14"/>
      <c r="F485" s="14"/>
      <c r="G485" s="14"/>
      <c r="H485" s="14"/>
      <c r="I485" s="14"/>
      <c r="J485" s="41"/>
      <c r="L485" s="58"/>
      <c r="M485" s="58"/>
      <c r="N485" s="58"/>
      <c r="O485" s="58"/>
      <c r="P485" s="269"/>
      <c r="Q485" s="58"/>
      <c r="R485" s="58"/>
      <c r="S485" s="58"/>
      <c r="T485" s="58"/>
      <c r="U485" s="58"/>
      <c r="V485" s="269"/>
      <c r="W485" s="58"/>
      <c r="X485" s="58"/>
      <c r="Y485" s="58"/>
      <c r="Z485" s="58"/>
      <c r="AA485" s="58"/>
      <c r="AB485" s="269"/>
      <c r="AC485" s="58"/>
      <c r="AD485" s="58"/>
      <c r="AE485" s="58"/>
      <c r="AF485" s="58"/>
      <c r="AG485" s="58"/>
      <c r="AH485" s="269"/>
      <c r="AI485" s="58"/>
      <c r="AJ485" s="58"/>
      <c r="AK485" s="58"/>
      <c r="AL485" s="58"/>
      <c r="AM485" s="58"/>
      <c r="AN485" s="59"/>
      <c r="AO485" s="58"/>
      <c r="AP485" s="58"/>
      <c r="AQ485" s="58"/>
      <c r="AR485" s="58"/>
      <c r="AS485" s="58"/>
      <c r="AT485" s="59"/>
      <c r="AU485" s="58"/>
      <c r="AV485" s="58"/>
      <c r="AW485" s="58"/>
      <c r="AX485" s="58"/>
      <c r="AY485" s="58"/>
      <c r="AZ485" s="59"/>
      <c r="BA485" s="58"/>
      <c r="BB485" s="58"/>
      <c r="BC485" s="58"/>
      <c r="BD485" s="58"/>
      <c r="BE485" s="58"/>
      <c r="BF485" s="59"/>
      <c r="BG485" s="58"/>
      <c r="BH485" s="58"/>
      <c r="BI485" s="58"/>
      <c r="BJ485" s="58"/>
      <c r="BK485" s="58"/>
      <c r="BL485" s="59"/>
      <c r="BM485" s="58"/>
      <c r="BN485" s="58"/>
      <c r="BO485" s="58"/>
      <c r="BP485" s="58"/>
      <c r="BQ485" s="58"/>
      <c r="BR485" s="58"/>
      <c r="BS485" s="58"/>
      <c r="BT485" s="58"/>
      <c r="BU485" s="58"/>
      <c r="BV485" s="58"/>
      <c r="BW485" s="58"/>
      <c r="BX485" s="58"/>
      <c r="BY485" s="58"/>
      <c r="BZ485" s="58"/>
      <c r="CA485" s="58"/>
      <c r="CB485" s="58"/>
      <c r="CC485" s="58"/>
      <c r="CD485" s="58"/>
      <c r="CE485" s="58"/>
      <c r="CF485" s="58"/>
      <c r="CG485" s="58"/>
      <c r="CH485" s="58"/>
      <c r="CI485" s="58"/>
      <c r="CJ485" s="58"/>
      <c r="CK485" s="58"/>
      <c r="CL485" s="58"/>
      <c r="CM485" s="58"/>
      <c r="CN485" s="58"/>
      <c r="CO485" s="58"/>
      <c r="CP485" s="58"/>
      <c r="CQ485" s="58"/>
      <c r="CR485" s="58"/>
      <c r="CS485" s="58"/>
      <c r="CT485" s="58"/>
      <c r="CU485" s="58"/>
    </row>
    <row r="486" spans="1:99" ht="15" thickBot="1" x14ac:dyDescent="0.4">
      <c r="A486" s="14"/>
      <c r="B486" s="14"/>
      <c r="C486" s="14"/>
      <c r="D486" s="14"/>
      <c r="E486" s="14"/>
      <c r="F486" s="14"/>
      <c r="G486" s="14"/>
      <c r="H486" s="14"/>
      <c r="I486" s="14"/>
      <c r="J486" s="41"/>
      <c r="L486" s="58"/>
      <c r="M486" s="58"/>
      <c r="N486" s="58"/>
      <c r="O486" s="58"/>
      <c r="P486" s="269"/>
      <c r="Q486" s="58"/>
      <c r="R486" s="58"/>
      <c r="S486" s="58"/>
      <c r="T486" s="58"/>
      <c r="U486" s="58"/>
      <c r="V486" s="269"/>
      <c r="W486" s="58"/>
      <c r="X486" s="58"/>
      <c r="Y486" s="58"/>
      <c r="Z486" s="58"/>
      <c r="AA486" s="58"/>
      <c r="AB486" s="269"/>
      <c r="AC486" s="58"/>
      <c r="AD486" s="58"/>
      <c r="AE486" s="58"/>
      <c r="AF486" s="58"/>
      <c r="AG486" s="58"/>
      <c r="AH486" s="269"/>
      <c r="AI486" s="58"/>
      <c r="AJ486" s="58"/>
      <c r="AK486" s="58"/>
      <c r="AL486" s="58"/>
      <c r="AM486" s="58"/>
      <c r="AN486" s="59"/>
      <c r="AO486" s="58"/>
      <c r="AP486" s="58"/>
      <c r="AQ486" s="58"/>
      <c r="AR486" s="58"/>
      <c r="AS486" s="58"/>
      <c r="AT486" s="59"/>
      <c r="AU486" s="58"/>
      <c r="AV486" s="58"/>
      <c r="AW486" s="58"/>
      <c r="AX486" s="58"/>
      <c r="AY486" s="58"/>
      <c r="AZ486" s="59"/>
      <c r="BA486" s="58"/>
      <c r="BB486" s="58"/>
      <c r="BC486" s="58"/>
      <c r="BD486" s="58"/>
      <c r="BE486" s="58"/>
      <c r="BF486" s="59"/>
      <c r="BG486" s="58"/>
      <c r="BH486" s="58"/>
      <c r="BI486" s="58"/>
      <c r="BJ486" s="58"/>
      <c r="BK486" s="58"/>
      <c r="BL486" s="59"/>
      <c r="BM486" s="58"/>
      <c r="BN486" s="58"/>
      <c r="BO486" s="58"/>
      <c r="BP486" s="58"/>
      <c r="BQ486" s="58"/>
      <c r="BR486" s="58"/>
      <c r="BS486" s="58"/>
      <c r="BT486" s="58"/>
      <c r="BU486" s="58"/>
      <c r="BV486" s="58"/>
      <c r="BW486" s="58"/>
      <c r="BX486" s="58"/>
      <c r="BY486" s="58"/>
      <c r="BZ486" s="58"/>
      <c r="CA486" s="58"/>
      <c r="CB486" s="58"/>
      <c r="CC486" s="58"/>
      <c r="CD486" s="58"/>
      <c r="CE486" s="58"/>
      <c r="CF486" s="58"/>
      <c r="CG486" s="58"/>
      <c r="CH486" s="58"/>
      <c r="CI486" s="58"/>
      <c r="CJ486" s="58"/>
      <c r="CK486" s="58"/>
      <c r="CL486" s="58"/>
      <c r="CM486" s="58"/>
      <c r="CN486" s="58"/>
      <c r="CO486" s="58"/>
      <c r="CP486" s="58"/>
      <c r="CQ486" s="58"/>
      <c r="CR486" s="58"/>
      <c r="CS486" s="58"/>
      <c r="CT486" s="58"/>
      <c r="CU486" s="58"/>
    </row>
    <row r="487" spans="1:99" ht="15" thickBot="1" x14ac:dyDescent="0.4">
      <c r="A487" s="14"/>
      <c r="B487" s="14"/>
      <c r="C487" s="14"/>
      <c r="D487" s="14"/>
      <c r="E487" s="14"/>
      <c r="F487" s="14"/>
      <c r="G487" s="14"/>
      <c r="H487" s="14"/>
      <c r="I487" s="14"/>
      <c r="J487" s="41"/>
      <c r="L487" s="58"/>
      <c r="M487" s="58"/>
      <c r="N487" s="58"/>
      <c r="O487" s="58"/>
      <c r="P487" s="269"/>
      <c r="Q487" s="58"/>
      <c r="R487" s="58"/>
      <c r="S487" s="58"/>
      <c r="T487" s="58"/>
      <c r="U487" s="58"/>
      <c r="V487" s="269"/>
      <c r="W487" s="58"/>
      <c r="X487" s="58"/>
      <c r="Y487" s="58"/>
      <c r="Z487" s="58"/>
      <c r="AA487" s="58"/>
      <c r="AB487" s="269"/>
      <c r="AC487" s="58"/>
      <c r="AD487" s="58"/>
      <c r="AE487" s="58"/>
      <c r="AF487" s="58"/>
      <c r="AG487" s="58"/>
      <c r="AH487" s="269"/>
      <c r="AI487" s="58"/>
      <c r="AJ487" s="58"/>
      <c r="AK487" s="58"/>
      <c r="AL487" s="58"/>
      <c r="AM487" s="58"/>
      <c r="AN487" s="59"/>
      <c r="AO487" s="58"/>
      <c r="AP487" s="58"/>
      <c r="AQ487" s="58"/>
      <c r="AR487" s="58"/>
      <c r="AS487" s="58"/>
      <c r="AT487" s="59"/>
      <c r="AU487" s="58"/>
      <c r="AV487" s="58"/>
      <c r="AW487" s="58"/>
      <c r="AX487" s="58"/>
      <c r="AY487" s="58"/>
      <c r="AZ487" s="59"/>
      <c r="BA487" s="58"/>
      <c r="BB487" s="58"/>
      <c r="BC487" s="58"/>
      <c r="BD487" s="58"/>
      <c r="BE487" s="58"/>
      <c r="BF487" s="59"/>
      <c r="BG487" s="58"/>
      <c r="BH487" s="58"/>
      <c r="BI487" s="58"/>
      <c r="BJ487" s="58"/>
      <c r="BK487" s="58"/>
      <c r="BL487" s="59"/>
      <c r="BM487" s="58"/>
      <c r="BN487" s="58"/>
      <c r="BO487" s="58"/>
      <c r="BP487" s="58"/>
      <c r="BQ487" s="58"/>
      <c r="BR487" s="58"/>
      <c r="BS487" s="58"/>
      <c r="BT487" s="58"/>
      <c r="BU487" s="58"/>
      <c r="BV487" s="58"/>
      <c r="BW487" s="58"/>
      <c r="BX487" s="58"/>
      <c r="BY487" s="58"/>
      <c r="BZ487" s="58"/>
      <c r="CA487" s="58"/>
      <c r="CB487" s="58"/>
      <c r="CC487" s="58"/>
      <c r="CD487" s="58"/>
      <c r="CE487" s="58"/>
      <c r="CF487" s="58"/>
      <c r="CG487" s="58"/>
      <c r="CH487" s="58"/>
      <c r="CI487" s="58"/>
      <c r="CJ487" s="58"/>
      <c r="CK487" s="58"/>
      <c r="CL487" s="58"/>
      <c r="CM487" s="58"/>
      <c r="CN487" s="58"/>
      <c r="CO487" s="58"/>
      <c r="CP487" s="58"/>
      <c r="CQ487" s="58"/>
      <c r="CR487" s="58"/>
      <c r="CS487" s="58"/>
      <c r="CT487" s="58"/>
      <c r="CU487" s="58"/>
    </row>
    <row r="488" spans="1:99" ht="15" thickBot="1" x14ac:dyDescent="0.4">
      <c r="A488" s="14"/>
      <c r="B488" s="14"/>
      <c r="C488" s="14"/>
      <c r="D488" s="14"/>
      <c r="E488" s="14"/>
      <c r="F488" s="14"/>
      <c r="G488" s="14"/>
      <c r="H488" s="14"/>
      <c r="I488" s="14"/>
      <c r="J488" s="41"/>
      <c r="L488" s="58"/>
      <c r="M488" s="58"/>
      <c r="N488" s="58"/>
      <c r="O488" s="58"/>
      <c r="P488" s="269"/>
      <c r="Q488" s="58"/>
      <c r="R488" s="58"/>
      <c r="S488" s="58"/>
      <c r="T488" s="58"/>
      <c r="U488" s="58"/>
      <c r="V488" s="269"/>
      <c r="W488" s="58"/>
      <c r="X488" s="58"/>
      <c r="Y488" s="58"/>
      <c r="Z488" s="58"/>
      <c r="AA488" s="58"/>
      <c r="AB488" s="269"/>
      <c r="AC488" s="58"/>
      <c r="AD488" s="58"/>
      <c r="AE488" s="58"/>
      <c r="AF488" s="58"/>
      <c r="AG488" s="58"/>
      <c r="AH488" s="269"/>
      <c r="AI488" s="58"/>
      <c r="AJ488" s="58"/>
      <c r="AK488" s="58"/>
      <c r="AL488" s="58"/>
      <c r="AM488" s="58"/>
      <c r="AN488" s="59"/>
      <c r="AO488" s="58"/>
      <c r="AP488" s="58"/>
      <c r="AQ488" s="58"/>
      <c r="AR488" s="58"/>
      <c r="AS488" s="58"/>
      <c r="AT488" s="59"/>
      <c r="AU488" s="58"/>
      <c r="AV488" s="58"/>
      <c r="AW488" s="58"/>
      <c r="AX488" s="58"/>
      <c r="AY488" s="58"/>
      <c r="AZ488" s="59"/>
      <c r="BA488" s="58"/>
      <c r="BB488" s="58"/>
      <c r="BC488" s="58"/>
      <c r="BD488" s="58"/>
      <c r="BE488" s="58"/>
      <c r="BF488" s="59"/>
      <c r="BG488" s="58"/>
      <c r="BH488" s="58"/>
      <c r="BI488" s="58"/>
      <c r="BJ488" s="58"/>
      <c r="BK488" s="58"/>
      <c r="BL488" s="59"/>
      <c r="BM488" s="58"/>
      <c r="BN488" s="58"/>
      <c r="BO488" s="58"/>
      <c r="BP488" s="58"/>
      <c r="BQ488" s="58"/>
      <c r="BR488" s="58"/>
      <c r="BS488" s="58"/>
      <c r="BT488" s="58"/>
      <c r="BU488" s="58"/>
      <c r="BV488" s="58"/>
      <c r="BW488" s="58"/>
      <c r="BX488" s="58"/>
      <c r="BY488" s="58"/>
      <c r="BZ488" s="58"/>
      <c r="CA488" s="58"/>
      <c r="CB488" s="58"/>
      <c r="CC488" s="58"/>
      <c r="CD488" s="58"/>
      <c r="CE488" s="58"/>
      <c r="CF488" s="58"/>
      <c r="CG488" s="58"/>
      <c r="CH488" s="58"/>
      <c r="CI488" s="58"/>
      <c r="CJ488" s="58"/>
      <c r="CK488" s="58"/>
      <c r="CL488" s="58"/>
      <c r="CM488" s="58"/>
      <c r="CN488" s="58"/>
      <c r="CO488" s="58"/>
      <c r="CP488" s="58"/>
      <c r="CQ488" s="58"/>
      <c r="CR488" s="58"/>
      <c r="CS488" s="58"/>
      <c r="CT488" s="58"/>
      <c r="CU488" s="58"/>
    </row>
    <row r="489" spans="1:99" ht="15" thickBot="1" x14ac:dyDescent="0.4">
      <c r="A489" s="14"/>
      <c r="B489" s="14"/>
      <c r="C489" s="14"/>
      <c r="D489" s="14"/>
      <c r="E489" s="14"/>
      <c r="F489" s="14"/>
      <c r="G489" s="14"/>
      <c r="H489" s="14"/>
      <c r="I489" s="14"/>
      <c r="J489" s="41"/>
      <c r="L489" s="58"/>
      <c r="M489" s="58"/>
      <c r="N489" s="58"/>
      <c r="O489" s="58"/>
      <c r="P489" s="269"/>
      <c r="Q489" s="58"/>
      <c r="R489" s="58"/>
      <c r="S489" s="58"/>
      <c r="T489" s="58"/>
      <c r="U489" s="58"/>
      <c r="V489" s="269"/>
      <c r="W489" s="58"/>
      <c r="X489" s="58"/>
      <c r="Y489" s="58"/>
      <c r="Z489" s="58"/>
      <c r="AA489" s="58"/>
      <c r="AB489" s="269"/>
      <c r="AC489" s="58"/>
      <c r="AD489" s="58"/>
      <c r="AE489" s="58"/>
      <c r="AF489" s="58"/>
      <c r="AG489" s="58"/>
      <c r="AH489" s="269"/>
      <c r="AI489" s="58"/>
      <c r="AJ489" s="58"/>
      <c r="AK489" s="58"/>
      <c r="AL489" s="58"/>
      <c r="AM489" s="58"/>
      <c r="AN489" s="59"/>
      <c r="AO489" s="58"/>
      <c r="AP489" s="58"/>
      <c r="AQ489" s="58"/>
      <c r="AR489" s="58"/>
      <c r="AS489" s="58"/>
      <c r="AT489" s="59"/>
      <c r="AU489" s="58"/>
      <c r="AV489" s="58"/>
      <c r="AW489" s="58"/>
      <c r="AX489" s="58"/>
      <c r="AY489" s="58"/>
      <c r="AZ489" s="59"/>
      <c r="BA489" s="58"/>
      <c r="BB489" s="58"/>
      <c r="BC489" s="58"/>
      <c r="BD489" s="58"/>
      <c r="BE489" s="58"/>
      <c r="BF489" s="59"/>
      <c r="BG489" s="58"/>
      <c r="BH489" s="58"/>
      <c r="BI489" s="58"/>
      <c r="BJ489" s="58"/>
      <c r="BK489" s="58"/>
      <c r="BL489" s="59"/>
      <c r="BM489" s="58"/>
      <c r="BN489" s="58"/>
      <c r="BO489" s="58"/>
      <c r="BP489" s="58"/>
      <c r="BQ489" s="58"/>
      <c r="BR489" s="58"/>
      <c r="BS489" s="58"/>
      <c r="BT489" s="58"/>
      <c r="BU489" s="58"/>
      <c r="BV489" s="58"/>
      <c r="BW489" s="58"/>
      <c r="BX489" s="58"/>
      <c r="BY489" s="58"/>
      <c r="BZ489" s="58"/>
      <c r="CA489" s="58"/>
      <c r="CB489" s="58"/>
      <c r="CC489" s="58"/>
      <c r="CD489" s="58"/>
      <c r="CE489" s="58"/>
      <c r="CF489" s="58"/>
      <c r="CG489" s="58"/>
      <c r="CH489" s="58"/>
      <c r="CI489" s="58"/>
      <c r="CJ489" s="58"/>
      <c r="CK489" s="58"/>
      <c r="CL489" s="58"/>
      <c r="CM489" s="58"/>
      <c r="CN489" s="58"/>
      <c r="CO489" s="58"/>
      <c r="CP489" s="58"/>
      <c r="CQ489" s="58"/>
      <c r="CR489" s="58"/>
      <c r="CS489" s="58"/>
      <c r="CT489" s="58"/>
      <c r="CU489" s="58"/>
    </row>
    <row r="490" spans="1:99" ht="15" thickBot="1" x14ac:dyDescent="0.4">
      <c r="A490" s="14"/>
      <c r="B490" s="14"/>
      <c r="C490" s="14"/>
      <c r="D490" s="14"/>
      <c r="E490" s="14"/>
      <c r="F490" s="14"/>
      <c r="G490" s="14"/>
      <c r="H490" s="14"/>
      <c r="I490" s="14"/>
      <c r="J490" s="41"/>
      <c r="L490" s="58"/>
      <c r="M490" s="58"/>
      <c r="N490" s="58"/>
      <c r="O490" s="58"/>
      <c r="P490" s="269"/>
      <c r="Q490" s="58"/>
      <c r="R490" s="58"/>
      <c r="S490" s="58"/>
      <c r="T490" s="58"/>
      <c r="U490" s="58"/>
      <c r="V490" s="269"/>
      <c r="W490" s="58"/>
      <c r="X490" s="58"/>
      <c r="Y490" s="58"/>
      <c r="Z490" s="58"/>
      <c r="AA490" s="58"/>
      <c r="AB490" s="269"/>
      <c r="AC490" s="58"/>
      <c r="AD490" s="58"/>
      <c r="AE490" s="58"/>
      <c r="AF490" s="58"/>
      <c r="AG490" s="58"/>
      <c r="AH490" s="269"/>
      <c r="AI490" s="58"/>
      <c r="AJ490" s="58"/>
      <c r="AK490" s="58"/>
      <c r="AL490" s="58"/>
      <c r="AM490" s="58"/>
      <c r="AN490" s="59"/>
      <c r="AO490" s="58"/>
      <c r="AP490" s="58"/>
      <c r="AQ490" s="58"/>
      <c r="AR490" s="58"/>
      <c r="AS490" s="58"/>
      <c r="AT490" s="59"/>
      <c r="AU490" s="58"/>
      <c r="AV490" s="58"/>
      <c r="AW490" s="58"/>
      <c r="AX490" s="58"/>
      <c r="AY490" s="58"/>
      <c r="AZ490" s="59"/>
      <c r="BA490" s="58"/>
      <c r="BB490" s="58"/>
      <c r="BC490" s="58"/>
      <c r="BD490" s="58"/>
      <c r="BE490" s="58"/>
      <c r="BF490" s="59"/>
      <c r="BG490" s="58"/>
      <c r="BH490" s="58"/>
      <c r="BI490" s="58"/>
      <c r="BJ490" s="58"/>
      <c r="BK490" s="58"/>
      <c r="BL490" s="59"/>
      <c r="BM490" s="58"/>
      <c r="BN490" s="58"/>
      <c r="BO490" s="58"/>
      <c r="BP490" s="58"/>
      <c r="BQ490" s="58"/>
      <c r="BR490" s="58"/>
      <c r="BS490" s="58"/>
      <c r="BT490" s="58"/>
      <c r="BU490" s="58"/>
      <c r="BV490" s="58"/>
      <c r="BW490" s="58"/>
      <c r="BX490" s="58"/>
      <c r="BY490" s="58"/>
      <c r="BZ490" s="58"/>
      <c r="CA490" s="58"/>
      <c r="CB490" s="58"/>
      <c r="CC490" s="58"/>
      <c r="CD490" s="58"/>
      <c r="CE490" s="58"/>
      <c r="CF490" s="58"/>
      <c r="CG490" s="58"/>
      <c r="CH490" s="58"/>
      <c r="CI490" s="58"/>
      <c r="CJ490" s="58"/>
      <c r="CK490" s="58"/>
      <c r="CL490" s="58"/>
      <c r="CM490" s="58"/>
      <c r="CN490" s="58"/>
      <c r="CO490" s="58"/>
      <c r="CP490" s="58"/>
      <c r="CQ490" s="58"/>
      <c r="CR490" s="58"/>
      <c r="CS490" s="58"/>
      <c r="CT490" s="58"/>
      <c r="CU490" s="58"/>
    </row>
    <row r="491" spans="1:99" ht="15" thickBot="1" x14ac:dyDescent="0.4">
      <c r="A491" s="14"/>
      <c r="B491" s="14"/>
      <c r="C491" s="14"/>
      <c r="D491" s="14"/>
      <c r="E491" s="14"/>
      <c r="F491" s="14"/>
      <c r="G491" s="14"/>
      <c r="H491" s="14"/>
      <c r="I491" s="14"/>
      <c r="J491" s="41"/>
      <c r="L491" s="58"/>
      <c r="M491" s="58"/>
      <c r="N491" s="58"/>
      <c r="O491" s="58"/>
      <c r="P491" s="269"/>
      <c r="Q491" s="58"/>
      <c r="R491" s="58"/>
      <c r="S491" s="58"/>
      <c r="T491" s="58"/>
      <c r="U491" s="58"/>
      <c r="V491" s="269"/>
      <c r="W491" s="58"/>
      <c r="X491" s="58"/>
      <c r="Y491" s="58"/>
      <c r="Z491" s="58"/>
      <c r="AA491" s="58"/>
      <c r="AB491" s="269"/>
      <c r="AC491" s="58"/>
      <c r="AD491" s="58"/>
      <c r="AE491" s="58"/>
      <c r="AF491" s="58"/>
      <c r="AG491" s="58"/>
      <c r="AH491" s="269"/>
      <c r="AI491" s="58"/>
      <c r="AJ491" s="58"/>
      <c r="AK491" s="58"/>
      <c r="AL491" s="58"/>
      <c r="AM491" s="58"/>
      <c r="AN491" s="59"/>
      <c r="AO491" s="58"/>
      <c r="AP491" s="58"/>
      <c r="AQ491" s="58"/>
      <c r="AR491" s="58"/>
      <c r="AS491" s="58"/>
      <c r="AT491" s="59"/>
      <c r="AU491" s="58"/>
      <c r="AV491" s="58"/>
      <c r="AW491" s="58"/>
      <c r="AX491" s="58"/>
      <c r="AY491" s="58"/>
      <c r="AZ491" s="59"/>
      <c r="BA491" s="58"/>
      <c r="BB491" s="58"/>
      <c r="BC491" s="58"/>
      <c r="BD491" s="58"/>
      <c r="BE491" s="58"/>
      <c r="BF491" s="59"/>
      <c r="BG491" s="58"/>
      <c r="BH491" s="58"/>
      <c r="BI491" s="58"/>
      <c r="BJ491" s="58"/>
      <c r="BK491" s="58"/>
      <c r="BL491" s="59"/>
      <c r="BM491" s="58"/>
      <c r="BN491" s="58"/>
      <c r="BO491" s="58"/>
      <c r="BP491" s="58"/>
      <c r="BQ491" s="58"/>
      <c r="BR491" s="58"/>
      <c r="BS491" s="58"/>
      <c r="BT491" s="58"/>
      <c r="BU491" s="58"/>
      <c r="BV491" s="58"/>
      <c r="BW491" s="58"/>
      <c r="BX491" s="58"/>
      <c r="BY491" s="58"/>
      <c r="BZ491" s="58"/>
      <c r="CA491" s="58"/>
      <c r="CB491" s="58"/>
      <c r="CC491" s="58"/>
      <c r="CD491" s="58"/>
      <c r="CE491" s="58"/>
      <c r="CF491" s="58"/>
      <c r="CG491" s="58"/>
      <c r="CH491" s="58"/>
      <c r="CI491" s="58"/>
      <c r="CJ491" s="58"/>
      <c r="CK491" s="58"/>
      <c r="CL491" s="58"/>
      <c r="CM491" s="58"/>
      <c r="CN491" s="58"/>
      <c r="CO491" s="58"/>
      <c r="CP491" s="58"/>
      <c r="CQ491" s="58"/>
      <c r="CR491" s="58"/>
      <c r="CS491" s="58"/>
      <c r="CT491" s="58"/>
      <c r="CU491" s="58"/>
    </row>
    <row r="492" spans="1:99" ht="15" thickBot="1" x14ac:dyDescent="0.4">
      <c r="A492" s="14"/>
      <c r="B492" s="14"/>
      <c r="C492" s="14"/>
      <c r="D492" s="14"/>
      <c r="E492" s="14"/>
      <c r="F492" s="14"/>
      <c r="G492" s="14"/>
      <c r="H492" s="14"/>
      <c r="I492" s="14"/>
      <c r="J492" s="41"/>
      <c r="L492" s="58"/>
      <c r="M492" s="58"/>
      <c r="N492" s="58"/>
      <c r="O492" s="58"/>
      <c r="P492" s="269"/>
      <c r="Q492" s="58"/>
      <c r="R492" s="58"/>
      <c r="S492" s="58"/>
      <c r="T492" s="58"/>
      <c r="U492" s="58"/>
      <c r="V492" s="269"/>
      <c r="W492" s="58"/>
      <c r="X492" s="58"/>
      <c r="Y492" s="58"/>
      <c r="Z492" s="58"/>
      <c r="AA492" s="58"/>
      <c r="AB492" s="269"/>
      <c r="AC492" s="58"/>
      <c r="AD492" s="58"/>
      <c r="AE492" s="58"/>
      <c r="AF492" s="58"/>
      <c r="AG492" s="58"/>
      <c r="AH492" s="269"/>
      <c r="AI492" s="58"/>
      <c r="AJ492" s="58"/>
      <c r="AK492" s="58"/>
      <c r="AL492" s="58"/>
      <c r="AM492" s="58"/>
      <c r="AN492" s="59"/>
      <c r="AO492" s="58"/>
      <c r="AP492" s="58"/>
      <c r="AQ492" s="58"/>
      <c r="AR492" s="58"/>
      <c r="AS492" s="58"/>
      <c r="AT492" s="59"/>
      <c r="AU492" s="58"/>
      <c r="AV492" s="58"/>
      <c r="AW492" s="58"/>
      <c r="AX492" s="58"/>
      <c r="AY492" s="58"/>
      <c r="AZ492" s="59"/>
      <c r="BA492" s="58"/>
      <c r="BB492" s="58"/>
      <c r="BC492" s="58"/>
      <c r="BD492" s="58"/>
      <c r="BE492" s="58"/>
      <c r="BF492" s="59"/>
      <c r="BG492" s="58"/>
      <c r="BH492" s="58"/>
      <c r="BI492" s="58"/>
      <c r="BJ492" s="58"/>
      <c r="BK492" s="58"/>
      <c r="BL492" s="59"/>
      <c r="BM492" s="58"/>
      <c r="BN492" s="58"/>
      <c r="BO492" s="58"/>
      <c r="BP492" s="58"/>
      <c r="BQ492" s="58"/>
      <c r="BR492" s="58"/>
      <c r="BS492" s="58"/>
      <c r="BT492" s="58"/>
      <c r="BU492" s="58"/>
      <c r="BV492" s="58"/>
      <c r="BW492" s="58"/>
      <c r="BX492" s="58"/>
      <c r="BY492" s="58"/>
      <c r="BZ492" s="58"/>
      <c r="CA492" s="58"/>
      <c r="CB492" s="58"/>
      <c r="CC492" s="58"/>
      <c r="CD492" s="58"/>
      <c r="CE492" s="58"/>
      <c r="CF492" s="58"/>
      <c r="CG492" s="58"/>
      <c r="CH492" s="58"/>
      <c r="CI492" s="58"/>
      <c r="CJ492" s="58"/>
      <c r="CK492" s="58"/>
      <c r="CL492" s="58"/>
      <c r="CM492" s="58"/>
      <c r="CN492" s="58"/>
      <c r="CO492" s="58"/>
      <c r="CP492" s="58"/>
      <c r="CQ492" s="58"/>
      <c r="CR492" s="58"/>
      <c r="CS492" s="58"/>
      <c r="CT492" s="58"/>
      <c r="CU492" s="58"/>
    </row>
    <row r="493" spans="1:99" ht="15" thickBot="1" x14ac:dyDescent="0.4">
      <c r="A493" s="14"/>
      <c r="B493" s="14"/>
      <c r="C493" s="14"/>
      <c r="D493" s="14"/>
      <c r="E493" s="14"/>
      <c r="F493" s="14"/>
      <c r="G493" s="14"/>
      <c r="H493" s="14"/>
      <c r="I493" s="14"/>
      <c r="J493" s="41"/>
      <c r="L493" s="58"/>
      <c r="M493" s="58"/>
      <c r="N493" s="58"/>
      <c r="O493" s="58"/>
      <c r="P493" s="269"/>
      <c r="Q493" s="58"/>
      <c r="R493" s="58"/>
      <c r="S493" s="58"/>
      <c r="T493" s="58"/>
      <c r="U493" s="58"/>
      <c r="V493" s="269"/>
      <c r="W493" s="58"/>
      <c r="X493" s="58"/>
      <c r="Y493" s="58"/>
      <c r="Z493" s="58"/>
      <c r="AA493" s="58"/>
      <c r="AB493" s="269"/>
      <c r="AC493" s="58"/>
      <c r="AD493" s="58"/>
      <c r="AE493" s="58"/>
      <c r="AF493" s="58"/>
      <c r="AG493" s="58"/>
      <c r="AH493" s="269"/>
      <c r="AI493" s="58"/>
      <c r="AJ493" s="58"/>
      <c r="AK493" s="58"/>
      <c r="AL493" s="58"/>
      <c r="AM493" s="58"/>
      <c r="AN493" s="59"/>
      <c r="AO493" s="58"/>
      <c r="AP493" s="58"/>
      <c r="AQ493" s="58"/>
      <c r="AR493" s="58"/>
      <c r="AS493" s="58"/>
      <c r="AT493" s="59"/>
      <c r="AU493" s="58"/>
      <c r="AV493" s="58"/>
      <c r="AW493" s="58"/>
      <c r="AX493" s="58"/>
      <c r="AY493" s="58"/>
      <c r="AZ493" s="59"/>
      <c r="BA493" s="58"/>
      <c r="BB493" s="58"/>
      <c r="BC493" s="58"/>
      <c r="BD493" s="58"/>
      <c r="BE493" s="58"/>
      <c r="BF493" s="59"/>
      <c r="BG493" s="58"/>
      <c r="BH493" s="58"/>
      <c r="BI493" s="58"/>
      <c r="BJ493" s="58"/>
      <c r="BK493" s="58"/>
      <c r="BL493" s="59"/>
      <c r="BM493" s="58"/>
      <c r="BN493" s="58"/>
      <c r="BO493" s="58"/>
      <c r="BP493" s="58"/>
      <c r="BQ493" s="58"/>
      <c r="BR493" s="58"/>
      <c r="BS493" s="58"/>
      <c r="BT493" s="58"/>
      <c r="BU493" s="58"/>
      <c r="BV493" s="58"/>
      <c r="BW493" s="58"/>
      <c r="BX493" s="58"/>
      <c r="BY493" s="58"/>
      <c r="BZ493" s="58"/>
      <c r="CA493" s="58"/>
      <c r="CB493" s="58"/>
      <c r="CC493" s="58"/>
      <c r="CD493" s="58"/>
      <c r="CE493" s="58"/>
      <c r="CF493" s="58"/>
      <c r="CG493" s="58"/>
      <c r="CH493" s="58"/>
      <c r="CI493" s="58"/>
      <c r="CJ493" s="58"/>
      <c r="CK493" s="58"/>
      <c r="CL493" s="58"/>
      <c r="CM493" s="58"/>
      <c r="CN493" s="58"/>
      <c r="CO493" s="58"/>
      <c r="CP493" s="58"/>
      <c r="CQ493" s="58"/>
      <c r="CR493" s="58"/>
      <c r="CS493" s="58"/>
      <c r="CT493" s="58"/>
      <c r="CU493" s="58"/>
    </row>
    <row r="494" spans="1:99" ht="15" thickBot="1" x14ac:dyDescent="0.4">
      <c r="A494" s="14"/>
      <c r="B494" s="14"/>
      <c r="C494" s="14"/>
      <c r="D494" s="14"/>
      <c r="E494" s="14"/>
      <c r="F494" s="14"/>
      <c r="G494" s="14"/>
      <c r="H494" s="14"/>
      <c r="I494" s="14"/>
      <c r="J494" s="41"/>
      <c r="L494" s="58"/>
      <c r="M494" s="58"/>
      <c r="N494" s="58"/>
      <c r="O494" s="58"/>
      <c r="P494" s="269"/>
      <c r="Q494" s="58"/>
      <c r="R494" s="58"/>
      <c r="S494" s="58"/>
      <c r="T494" s="58"/>
      <c r="U494" s="58"/>
      <c r="V494" s="269"/>
      <c r="W494" s="58"/>
      <c r="X494" s="58"/>
      <c r="Y494" s="58"/>
      <c r="Z494" s="58"/>
      <c r="AA494" s="58"/>
      <c r="AB494" s="269"/>
      <c r="AC494" s="58"/>
      <c r="AD494" s="58"/>
      <c r="AE494" s="58"/>
      <c r="AF494" s="58"/>
      <c r="AG494" s="58"/>
      <c r="AH494" s="269"/>
      <c r="AI494" s="58"/>
      <c r="AJ494" s="58"/>
      <c r="AK494" s="58"/>
      <c r="AL494" s="58"/>
      <c r="AM494" s="58"/>
      <c r="AN494" s="59"/>
      <c r="AO494" s="58"/>
      <c r="AP494" s="58"/>
      <c r="AQ494" s="58"/>
      <c r="AR494" s="58"/>
      <c r="AS494" s="58"/>
      <c r="AT494" s="59"/>
      <c r="AU494" s="58"/>
      <c r="AV494" s="58"/>
      <c r="AW494" s="58"/>
      <c r="AX494" s="58"/>
      <c r="AY494" s="58"/>
      <c r="AZ494" s="59"/>
      <c r="BA494" s="58"/>
      <c r="BB494" s="58"/>
      <c r="BC494" s="58"/>
      <c r="BD494" s="58"/>
      <c r="BE494" s="58"/>
      <c r="BF494" s="59"/>
      <c r="BG494" s="58"/>
      <c r="BH494" s="58"/>
      <c r="BI494" s="58"/>
      <c r="BJ494" s="58"/>
      <c r="BK494" s="58"/>
      <c r="BL494" s="59"/>
      <c r="BM494" s="58"/>
      <c r="BN494" s="58"/>
      <c r="BO494" s="58"/>
      <c r="BP494" s="58"/>
      <c r="BQ494" s="58"/>
      <c r="BR494" s="58"/>
      <c r="BS494" s="58"/>
      <c r="BT494" s="58"/>
      <c r="BU494" s="58"/>
      <c r="BV494" s="58"/>
      <c r="BW494" s="58"/>
      <c r="BX494" s="58"/>
      <c r="BY494" s="58"/>
      <c r="BZ494" s="58"/>
      <c r="CA494" s="58"/>
      <c r="CB494" s="58"/>
      <c r="CC494" s="58"/>
      <c r="CD494" s="58"/>
      <c r="CE494" s="58"/>
      <c r="CF494" s="58"/>
      <c r="CG494" s="58"/>
      <c r="CH494" s="58"/>
      <c r="CI494" s="58"/>
      <c r="CJ494" s="58"/>
      <c r="CK494" s="58"/>
      <c r="CL494" s="58"/>
      <c r="CM494" s="58"/>
      <c r="CN494" s="58"/>
      <c r="CO494" s="58"/>
      <c r="CP494" s="58"/>
      <c r="CQ494" s="58"/>
      <c r="CR494" s="58"/>
      <c r="CS494" s="58"/>
      <c r="CT494" s="58"/>
      <c r="CU494" s="58"/>
    </row>
    <row r="495" spans="1:99" ht="15" thickBot="1" x14ac:dyDescent="0.4">
      <c r="A495" s="14"/>
      <c r="B495" s="14"/>
      <c r="C495" s="14"/>
      <c r="D495" s="14"/>
      <c r="E495" s="14"/>
      <c r="F495" s="14"/>
      <c r="G495" s="14"/>
      <c r="H495" s="14"/>
      <c r="I495" s="14"/>
      <c r="J495" s="41"/>
      <c r="L495" s="58"/>
      <c r="M495" s="58"/>
      <c r="N495" s="58"/>
      <c r="O495" s="58"/>
      <c r="P495" s="269"/>
      <c r="Q495" s="58"/>
      <c r="R495" s="58"/>
      <c r="S495" s="58"/>
      <c r="T495" s="58"/>
      <c r="U495" s="58"/>
      <c r="V495" s="269"/>
      <c r="W495" s="58"/>
      <c r="X495" s="58"/>
      <c r="Y495" s="58"/>
      <c r="Z495" s="58"/>
      <c r="AA495" s="58"/>
      <c r="AB495" s="269"/>
      <c r="AC495" s="58"/>
      <c r="AD495" s="58"/>
      <c r="AE495" s="58"/>
      <c r="AF495" s="58"/>
      <c r="AG495" s="58"/>
      <c r="AH495" s="269"/>
      <c r="AI495" s="58"/>
      <c r="AJ495" s="58"/>
      <c r="AK495" s="58"/>
      <c r="AL495" s="58"/>
      <c r="AM495" s="58"/>
      <c r="AN495" s="59"/>
      <c r="AO495" s="58"/>
      <c r="AP495" s="58"/>
      <c r="AQ495" s="58"/>
      <c r="AR495" s="58"/>
      <c r="AS495" s="58"/>
      <c r="AT495" s="59"/>
      <c r="AU495" s="58"/>
      <c r="AV495" s="58"/>
      <c r="AW495" s="58"/>
      <c r="AX495" s="58"/>
      <c r="AY495" s="58"/>
      <c r="AZ495" s="59"/>
      <c r="BA495" s="58"/>
      <c r="BB495" s="58"/>
      <c r="BC495" s="58"/>
      <c r="BD495" s="58"/>
      <c r="BE495" s="58"/>
      <c r="BF495" s="59"/>
      <c r="BG495" s="58"/>
      <c r="BH495" s="58"/>
      <c r="BI495" s="58"/>
      <c r="BJ495" s="58"/>
      <c r="BK495" s="58"/>
      <c r="BL495" s="59"/>
      <c r="BM495" s="58"/>
      <c r="BN495" s="58"/>
      <c r="BO495" s="58"/>
      <c r="BP495" s="58"/>
      <c r="BQ495" s="58"/>
      <c r="BR495" s="58"/>
      <c r="BS495" s="58"/>
      <c r="BT495" s="58"/>
      <c r="BU495" s="58"/>
      <c r="BV495" s="58"/>
      <c r="BW495" s="58"/>
      <c r="BX495" s="58"/>
      <c r="BY495" s="58"/>
      <c r="BZ495" s="58"/>
      <c r="CA495" s="58"/>
      <c r="CB495" s="58"/>
      <c r="CC495" s="58"/>
      <c r="CD495" s="58"/>
      <c r="CE495" s="58"/>
      <c r="CF495" s="58"/>
      <c r="CG495" s="58"/>
      <c r="CH495" s="58"/>
      <c r="CI495" s="58"/>
      <c r="CJ495" s="58"/>
      <c r="CK495" s="58"/>
      <c r="CL495" s="58"/>
      <c r="CM495" s="58"/>
      <c r="CN495" s="58"/>
      <c r="CO495" s="58"/>
      <c r="CP495" s="58"/>
      <c r="CQ495" s="58"/>
      <c r="CR495" s="58"/>
      <c r="CS495" s="58"/>
      <c r="CT495" s="58"/>
      <c r="CU495" s="58"/>
    </row>
    <row r="496" spans="1:99" ht="15" thickBot="1" x14ac:dyDescent="0.4">
      <c r="A496" s="14"/>
      <c r="B496" s="14"/>
      <c r="C496" s="14"/>
      <c r="D496" s="14"/>
      <c r="E496" s="14"/>
      <c r="F496" s="14"/>
      <c r="G496" s="14"/>
      <c r="H496" s="14"/>
      <c r="I496" s="14"/>
      <c r="J496" s="41"/>
      <c r="L496" s="58"/>
      <c r="M496" s="58"/>
      <c r="N496" s="58"/>
      <c r="O496" s="58"/>
      <c r="P496" s="269"/>
      <c r="Q496" s="58"/>
      <c r="R496" s="58"/>
      <c r="S496" s="58"/>
      <c r="T496" s="58"/>
      <c r="U496" s="58"/>
      <c r="V496" s="269"/>
      <c r="W496" s="58"/>
      <c r="X496" s="58"/>
      <c r="Y496" s="58"/>
      <c r="Z496" s="58"/>
      <c r="AA496" s="58"/>
      <c r="AB496" s="269"/>
      <c r="AC496" s="58"/>
      <c r="AD496" s="58"/>
      <c r="AE496" s="58"/>
      <c r="AF496" s="58"/>
      <c r="AG496" s="58"/>
      <c r="AH496" s="269"/>
      <c r="AI496" s="58"/>
      <c r="AJ496" s="58"/>
      <c r="AK496" s="58"/>
      <c r="AL496" s="58"/>
      <c r="AM496" s="58"/>
      <c r="AN496" s="59"/>
      <c r="AO496" s="58"/>
      <c r="AP496" s="58"/>
      <c r="AQ496" s="58"/>
      <c r="AR496" s="58"/>
      <c r="AS496" s="58"/>
      <c r="AT496" s="59"/>
      <c r="AU496" s="58"/>
      <c r="AV496" s="58"/>
      <c r="AW496" s="58"/>
      <c r="AX496" s="58"/>
      <c r="AY496" s="58"/>
      <c r="AZ496" s="59"/>
      <c r="BA496" s="58"/>
      <c r="BB496" s="58"/>
      <c r="BC496" s="58"/>
      <c r="BD496" s="58"/>
      <c r="BE496" s="58"/>
      <c r="BF496" s="59"/>
      <c r="BG496" s="58"/>
      <c r="BH496" s="58"/>
      <c r="BI496" s="58"/>
      <c r="BJ496" s="58"/>
      <c r="BK496" s="58"/>
      <c r="BL496" s="59"/>
      <c r="BM496" s="58"/>
      <c r="BN496" s="58"/>
      <c r="BO496" s="58"/>
      <c r="BP496" s="58"/>
      <c r="BQ496" s="58"/>
      <c r="BR496" s="58"/>
      <c r="BS496" s="58"/>
      <c r="BT496" s="58"/>
      <c r="BU496" s="58"/>
      <c r="BV496" s="58"/>
      <c r="BW496" s="58"/>
      <c r="BX496" s="58"/>
      <c r="BY496" s="58"/>
      <c r="BZ496" s="58"/>
      <c r="CA496" s="58"/>
      <c r="CB496" s="58"/>
      <c r="CC496" s="58"/>
      <c r="CD496" s="58"/>
      <c r="CE496" s="58"/>
      <c r="CF496" s="58"/>
      <c r="CG496" s="58"/>
      <c r="CH496" s="58"/>
      <c r="CI496" s="58"/>
      <c r="CJ496" s="58"/>
      <c r="CK496" s="58"/>
      <c r="CL496" s="58"/>
      <c r="CM496" s="58"/>
      <c r="CN496" s="58"/>
      <c r="CO496" s="58"/>
      <c r="CP496" s="58"/>
      <c r="CQ496" s="58"/>
      <c r="CR496" s="58"/>
      <c r="CS496" s="58"/>
      <c r="CT496" s="58"/>
      <c r="CU496" s="58"/>
    </row>
    <row r="497" spans="1:99" ht="15" thickBot="1" x14ac:dyDescent="0.4">
      <c r="A497" s="14"/>
      <c r="B497" s="14"/>
      <c r="C497" s="14"/>
      <c r="D497" s="14"/>
      <c r="E497" s="14"/>
      <c r="F497" s="14"/>
      <c r="G497" s="14"/>
      <c r="H497" s="14"/>
      <c r="I497" s="14"/>
      <c r="J497" s="41"/>
      <c r="L497" s="58"/>
      <c r="M497" s="58"/>
      <c r="N497" s="58"/>
      <c r="O497" s="58"/>
      <c r="P497" s="269"/>
      <c r="Q497" s="58"/>
      <c r="R497" s="58"/>
      <c r="S497" s="58"/>
      <c r="T497" s="58"/>
      <c r="U497" s="58"/>
      <c r="V497" s="269"/>
      <c r="W497" s="58"/>
      <c r="X497" s="58"/>
      <c r="Y497" s="58"/>
      <c r="Z497" s="58"/>
      <c r="AA497" s="58"/>
      <c r="AB497" s="269"/>
      <c r="AC497" s="58"/>
      <c r="AD497" s="58"/>
      <c r="AE497" s="58"/>
      <c r="AF497" s="58"/>
      <c r="AG497" s="58"/>
      <c r="AH497" s="269"/>
      <c r="AI497" s="58"/>
      <c r="AJ497" s="58"/>
      <c r="AK497" s="58"/>
      <c r="AL497" s="58"/>
      <c r="AM497" s="58"/>
      <c r="AN497" s="59"/>
      <c r="AO497" s="58"/>
      <c r="AP497" s="58"/>
      <c r="AQ497" s="58"/>
      <c r="AR497" s="58"/>
      <c r="AS497" s="58"/>
      <c r="AT497" s="59"/>
      <c r="AU497" s="58"/>
      <c r="AV497" s="58"/>
      <c r="AW497" s="58"/>
      <c r="AX497" s="58"/>
      <c r="AY497" s="58"/>
      <c r="AZ497" s="59"/>
      <c r="BA497" s="58"/>
      <c r="BB497" s="58"/>
      <c r="BC497" s="58"/>
      <c r="BD497" s="58"/>
      <c r="BE497" s="58"/>
      <c r="BF497" s="59"/>
      <c r="BG497" s="58"/>
      <c r="BH497" s="58"/>
      <c r="BI497" s="58"/>
      <c r="BJ497" s="58"/>
      <c r="BK497" s="58"/>
      <c r="BL497" s="59"/>
      <c r="BM497" s="58"/>
      <c r="BN497" s="58"/>
      <c r="BO497" s="58"/>
      <c r="BP497" s="58"/>
      <c r="BQ497" s="58"/>
      <c r="BR497" s="58"/>
      <c r="BS497" s="58"/>
      <c r="BT497" s="58"/>
      <c r="BU497" s="58"/>
      <c r="BV497" s="58"/>
      <c r="BW497" s="58"/>
      <c r="BX497" s="58"/>
      <c r="BY497" s="58"/>
      <c r="BZ497" s="58"/>
      <c r="CA497" s="58"/>
      <c r="CB497" s="58"/>
      <c r="CC497" s="58"/>
      <c r="CD497" s="58"/>
      <c r="CE497" s="58"/>
      <c r="CF497" s="58"/>
      <c r="CG497" s="58"/>
      <c r="CH497" s="58"/>
      <c r="CI497" s="58"/>
      <c r="CJ497" s="58"/>
      <c r="CK497" s="58"/>
      <c r="CL497" s="58"/>
      <c r="CM497" s="58"/>
      <c r="CN497" s="58"/>
      <c r="CO497" s="58"/>
      <c r="CP497" s="58"/>
      <c r="CQ497" s="58"/>
      <c r="CR497" s="58"/>
      <c r="CS497" s="58"/>
      <c r="CT497" s="58"/>
      <c r="CU497" s="58"/>
    </row>
    <row r="498" spans="1:99" ht="15" thickBot="1" x14ac:dyDescent="0.4">
      <c r="A498" s="14"/>
      <c r="B498" s="14"/>
      <c r="C498" s="14"/>
      <c r="D498" s="14"/>
      <c r="E498" s="14"/>
      <c r="F498" s="14"/>
      <c r="G498" s="14"/>
      <c r="H498" s="14"/>
      <c r="I498" s="14"/>
      <c r="J498" s="41"/>
      <c r="L498" s="58"/>
      <c r="M498" s="58"/>
      <c r="N498" s="58"/>
      <c r="O498" s="58"/>
      <c r="P498" s="269"/>
      <c r="Q498" s="58"/>
      <c r="R498" s="58"/>
      <c r="S498" s="58"/>
      <c r="T498" s="58"/>
      <c r="U498" s="58"/>
      <c r="V498" s="269"/>
      <c r="W498" s="58"/>
      <c r="X498" s="58"/>
      <c r="Y498" s="58"/>
      <c r="Z498" s="58"/>
      <c r="AA498" s="58"/>
      <c r="AB498" s="269"/>
      <c r="AC498" s="58"/>
      <c r="AD498" s="58"/>
      <c r="AE498" s="58"/>
      <c r="AF498" s="58"/>
      <c r="AG498" s="58"/>
      <c r="AH498" s="269"/>
      <c r="AI498" s="58"/>
      <c r="AJ498" s="58"/>
      <c r="AK498" s="58"/>
      <c r="AL498" s="58"/>
      <c r="AM498" s="58"/>
      <c r="AN498" s="59"/>
      <c r="AO498" s="58"/>
      <c r="AP498" s="58"/>
      <c r="AQ498" s="58"/>
      <c r="AR498" s="58"/>
      <c r="AS498" s="58"/>
      <c r="AT498" s="59"/>
      <c r="AU498" s="58"/>
      <c r="AV498" s="58"/>
      <c r="AW498" s="58"/>
      <c r="AX498" s="58"/>
      <c r="AY498" s="58"/>
      <c r="AZ498" s="59"/>
      <c r="BA498" s="58"/>
      <c r="BB498" s="58"/>
      <c r="BC498" s="58"/>
      <c r="BD498" s="58"/>
      <c r="BE498" s="58"/>
      <c r="BF498" s="59"/>
      <c r="BG498" s="58"/>
      <c r="BH498" s="58"/>
      <c r="BI498" s="58"/>
      <c r="BJ498" s="58"/>
      <c r="BK498" s="58"/>
      <c r="BL498" s="59"/>
      <c r="BM498" s="58"/>
      <c r="BN498" s="58"/>
      <c r="BO498" s="58"/>
      <c r="BP498" s="58"/>
      <c r="BQ498" s="58"/>
      <c r="BR498" s="58"/>
      <c r="BS498" s="58"/>
      <c r="BT498" s="58"/>
      <c r="BU498" s="58"/>
      <c r="BV498" s="58"/>
      <c r="BW498" s="58"/>
      <c r="BX498" s="58"/>
      <c r="BY498" s="58"/>
      <c r="BZ498" s="58"/>
      <c r="CA498" s="58"/>
      <c r="CB498" s="58"/>
      <c r="CC498" s="58"/>
      <c r="CD498" s="58"/>
      <c r="CE498" s="58"/>
      <c r="CF498" s="58"/>
      <c r="CG498" s="58"/>
      <c r="CH498" s="58"/>
      <c r="CI498" s="58"/>
      <c r="CJ498" s="58"/>
      <c r="CK498" s="58"/>
      <c r="CL498" s="58"/>
      <c r="CM498" s="58"/>
      <c r="CN498" s="58"/>
      <c r="CO498" s="58"/>
      <c r="CP498" s="58"/>
      <c r="CQ498" s="58"/>
      <c r="CR498" s="58"/>
      <c r="CS498" s="58"/>
      <c r="CT498" s="58"/>
      <c r="CU498" s="58"/>
    </row>
    <row r="499" spans="1:99" ht="15" thickBot="1" x14ac:dyDescent="0.4">
      <c r="A499" s="14"/>
      <c r="B499" s="14"/>
      <c r="C499" s="14"/>
      <c r="D499" s="14"/>
      <c r="E499" s="14"/>
      <c r="F499" s="14"/>
      <c r="G499" s="14"/>
      <c r="H499" s="14"/>
      <c r="I499" s="14"/>
      <c r="J499" s="41"/>
      <c r="L499" s="58"/>
      <c r="M499" s="58"/>
      <c r="N499" s="58"/>
      <c r="O499" s="58"/>
      <c r="P499" s="269"/>
      <c r="Q499" s="58"/>
      <c r="R499" s="58"/>
      <c r="S499" s="58"/>
      <c r="T499" s="58"/>
      <c r="U499" s="58"/>
      <c r="V499" s="269"/>
      <c r="W499" s="58"/>
      <c r="X499" s="58"/>
      <c r="Y499" s="58"/>
      <c r="Z499" s="58"/>
      <c r="AA499" s="58"/>
      <c r="AB499" s="269"/>
      <c r="AC499" s="58"/>
      <c r="AD499" s="58"/>
      <c r="AE499" s="58"/>
      <c r="AF499" s="58"/>
      <c r="AG499" s="58"/>
      <c r="AH499" s="269"/>
      <c r="AI499" s="58"/>
      <c r="AJ499" s="58"/>
      <c r="AK499" s="58"/>
      <c r="AL499" s="58"/>
      <c r="AM499" s="58"/>
      <c r="AN499" s="59"/>
      <c r="AO499" s="58"/>
      <c r="AP499" s="58"/>
      <c r="AQ499" s="58"/>
      <c r="AR499" s="58"/>
      <c r="AS499" s="58"/>
      <c r="AT499" s="59"/>
      <c r="AU499" s="58"/>
      <c r="AV499" s="58"/>
      <c r="AW499" s="58"/>
      <c r="AX499" s="58"/>
      <c r="AY499" s="58"/>
      <c r="AZ499" s="59"/>
      <c r="BA499" s="58"/>
      <c r="BB499" s="58"/>
      <c r="BC499" s="58"/>
      <c r="BD499" s="58"/>
      <c r="BE499" s="58"/>
      <c r="BF499" s="59"/>
      <c r="BG499" s="58"/>
      <c r="BH499" s="58"/>
      <c r="BI499" s="58"/>
      <c r="BJ499" s="58"/>
      <c r="BK499" s="58"/>
      <c r="BL499" s="59"/>
      <c r="BM499" s="58"/>
      <c r="BN499" s="58"/>
      <c r="BO499" s="58"/>
      <c r="BP499" s="58"/>
      <c r="BQ499" s="58"/>
      <c r="BR499" s="58"/>
      <c r="BS499" s="58"/>
      <c r="BT499" s="58"/>
      <c r="BU499" s="58"/>
      <c r="BV499" s="58"/>
      <c r="BW499" s="58"/>
      <c r="BX499" s="58"/>
      <c r="BY499" s="58"/>
      <c r="BZ499" s="58"/>
      <c r="CA499" s="58"/>
      <c r="CB499" s="58"/>
      <c r="CC499" s="58"/>
      <c r="CD499" s="58"/>
      <c r="CE499" s="58"/>
      <c r="CF499" s="58"/>
      <c r="CG499" s="58"/>
      <c r="CH499" s="58"/>
      <c r="CI499" s="58"/>
      <c r="CJ499" s="58"/>
      <c r="CK499" s="58"/>
      <c r="CL499" s="58"/>
      <c r="CM499" s="58"/>
      <c r="CN499" s="58"/>
      <c r="CO499" s="58"/>
      <c r="CP499" s="58"/>
      <c r="CQ499" s="58"/>
      <c r="CR499" s="58"/>
      <c r="CS499" s="58"/>
      <c r="CT499" s="58"/>
      <c r="CU499" s="58"/>
    </row>
    <row r="500" spans="1:99" ht="15" thickBot="1" x14ac:dyDescent="0.4">
      <c r="A500" s="14"/>
      <c r="B500" s="14"/>
      <c r="C500" s="14"/>
      <c r="D500" s="14"/>
      <c r="E500" s="14"/>
      <c r="F500" s="14"/>
      <c r="G500" s="14"/>
      <c r="H500" s="14"/>
      <c r="I500" s="14"/>
      <c r="J500" s="41"/>
      <c r="L500" s="58"/>
      <c r="M500" s="58"/>
      <c r="N500" s="58"/>
      <c r="O500" s="58"/>
      <c r="P500" s="269"/>
      <c r="Q500" s="58"/>
      <c r="R500" s="58"/>
      <c r="S500" s="58"/>
      <c r="T500" s="58"/>
      <c r="U500" s="58"/>
      <c r="V500" s="269"/>
      <c r="W500" s="58"/>
      <c r="X500" s="58"/>
      <c r="Y500" s="58"/>
      <c r="Z500" s="58"/>
      <c r="AA500" s="58"/>
      <c r="AB500" s="269"/>
      <c r="AC500" s="58"/>
      <c r="AD500" s="58"/>
      <c r="AE500" s="58"/>
      <c r="AF500" s="58"/>
      <c r="AG500" s="58"/>
      <c r="AH500" s="269"/>
      <c r="AI500" s="58"/>
      <c r="AJ500" s="58"/>
      <c r="AK500" s="58"/>
      <c r="AL500" s="58"/>
      <c r="AM500" s="58"/>
      <c r="AN500" s="59"/>
      <c r="AO500" s="58"/>
      <c r="AP500" s="58"/>
      <c r="AQ500" s="58"/>
      <c r="AR500" s="58"/>
      <c r="AS500" s="58"/>
      <c r="AT500" s="59"/>
      <c r="AU500" s="58"/>
      <c r="AV500" s="58"/>
      <c r="AW500" s="58"/>
      <c r="AX500" s="58"/>
      <c r="AY500" s="58"/>
      <c r="AZ500" s="59"/>
      <c r="BA500" s="58"/>
      <c r="BB500" s="58"/>
      <c r="BC500" s="58"/>
      <c r="BD500" s="58"/>
      <c r="BE500" s="58"/>
      <c r="BF500" s="59"/>
      <c r="BG500" s="58"/>
      <c r="BH500" s="58"/>
      <c r="BI500" s="58"/>
      <c r="BJ500" s="58"/>
      <c r="BK500" s="58"/>
      <c r="BL500" s="59"/>
      <c r="BM500" s="58"/>
      <c r="BN500" s="58"/>
      <c r="BO500" s="58"/>
      <c r="BP500" s="58"/>
      <c r="BQ500" s="58"/>
      <c r="BR500" s="58"/>
      <c r="BS500" s="58"/>
      <c r="BT500" s="58"/>
      <c r="BU500" s="58"/>
      <c r="BV500" s="58"/>
      <c r="BW500" s="58"/>
      <c r="BX500" s="58"/>
      <c r="BY500" s="58"/>
      <c r="BZ500" s="58"/>
      <c r="CA500" s="58"/>
      <c r="CB500" s="58"/>
      <c r="CC500" s="58"/>
      <c r="CD500" s="58"/>
      <c r="CE500" s="58"/>
      <c r="CF500" s="58"/>
      <c r="CG500" s="58"/>
      <c r="CH500" s="58"/>
      <c r="CI500" s="58"/>
      <c r="CJ500" s="58"/>
      <c r="CK500" s="58"/>
      <c r="CL500" s="58"/>
      <c r="CM500" s="58"/>
      <c r="CN500" s="58"/>
      <c r="CO500" s="58"/>
      <c r="CP500" s="58"/>
      <c r="CQ500" s="58"/>
      <c r="CR500" s="58"/>
      <c r="CS500" s="58"/>
      <c r="CT500" s="58"/>
      <c r="CU500" s="58"/>
    </row>
    <row r="501" spans="1:99" ht="15" thickBot="1" x14ac:dyDescent="0.4">
      <c r="A501" s="14"/>
      <c r="B501" s="14"/>
      <c r="C501" s="14"/>
      <c r="D501" s="14"/>
      <c r="E501" s="14"/>
      <c r="F501" s="14"/>
      <c r="G501" s="14"/>
      <c r="H501" s="14"/>
      <c r="I501" s="14"/>
      <c r="J501" s="41"/>
      <c r="L501" s="58"/>
      <c r="M501" s="58"/>
      <c r="N501" s="58"/>
      <c r="O501" s="58"/>
      <c r="P501" s="269"/>
      <c r="Q501" s="58"/>
      <c r="R501" s="58"/>
      <c r="S501" s="58"/>
      <c r="T501" s="58"/>
      <c r="U501" s="58"/>
      <c r="V501" s="269"/>
      <c r="W501" s="58"/>
      <c r="X501" s="58"/>
      <c r="Y501" s="58"/>
      <c r="Z501" s="58"/>
      <c r="AA501" s="58"/>
      <c r="AB501" s="269"/>
      <c r="AC501" s="58"/>
      <c r="AD501" s="58"/>
      <c r="AE501" s="58"/>
      <c r="AF501" s="58"/>
      <c r="AG501" s="58"/>
      <c r="AH501" s="269"/>
      <c r="AI501" s="58"/>
      <c r="AJ501" s="58"/>
      <c r="AK501" s="58"/>
      <c r="AL501" s="58"/>
      <c r="AM501" s="58"/>
      <c r="AN501" s="59"/>
      <c r="AO501" s="58"/>
      <c r="AP501" s="58"/>
      <c r="AQ501" s="58"/>
      <c r="AR501" s="58"/>
      <c r="AS501" s="58"/>
      <c r="AT501" s="59"/>
      <c r="AU501" s="58"/>
      <c r="AV501" s="58"/>
      <c r="AW501" s="58"/>
      <c r="AX501" s="58"/>
      <c r="AY501" s="58"/>
      <c r="AZ501" s="59"/>
      <c r="BA501" s="58"/>
      <c r="BB501" s="58"/>
      <c r="BC501" s="58"/>
      <c r="BD501" s="58"/>
      <c r="BE501" s="58"/>
      <c r="BF501" s="59"/>
      <c r="BG501" s="58"/>
      <c r="BH501" s="58"/>
      <c r="BI501" s="58"/>
      <c r="BJ501" s="58"/>
      <c r="BK501" s="58"/>
      <c r="BL501" s="59"/>
      <c r="BM501" s="58"/>
      <c r="BN501" s="58"/>
      <c r="BO501" s="58"/>
      <c r="BP501" s="58"/>
      <c r="BQ501" s="58"/>
      <c r="BR501" s="58"/>
      <c r="BS501" s="58"/>
      <c r="BT501" s="58"/>
      <c r="BU501" s="58"/>
      <c r="BV501" s="58"/>
      <c r="BW501" s="58"/>
      <c r="BX501" s="58"/>
      <c r="BY501" s="58"/>
      <c r="BZ501" s="58"/>
      <c r="CA501" s="58"/>
      <c r="CB501" s="58"/>
      <c r="CC501" s="58"/>
      <c r="CD501" s="58"/>
      <c r="CE501" s="58"/>
      <c r="CF501" s="58"/>
      <c r="CG501" s="58"/>
      <c r="CH501" s="58"/>
      <c r="CI501" s="58"/>
      <c r="CJ501" s="58"/>
      <c r="CK501" s="58"/>
      <c r="CL501" s="58"/>
      <c r="CM501" s="58"/>
      <c r="CN501" s="58"/>
      <c r="CO501" s="58"/>
      <c r="CP501" s="58"/>
      <c r="CQ501" s="58"/>
      <c r="CR501" s="58"/>
      <c r="CS501" s="58"/>
      <c r="CT501" s="58"/>
      <c r="CU501" s="58"/>
    </row>
    <row r="502" spans="1:99" ht="15" thickBot="1" x14ac:dyDescent="0.4">
      <c r="A502" s="14"/>
      <c r="B502" s="14"/>
      <c r="C502" s="14"/>
      <c r="D502" s="14"/>
      <c r="E502" s="14"/>
      <c r="F502" s="14"/>
      <c r="G502" s="14"/>
      <c r="H502" s="14"/>
      <c r="I502" s="14"/>
      <c r="J502" s="41"/>
      <c r="L502" s="58"/>
      <c r="M502" s="58"/>
      <c r="N502" s="58"/>
      <c r="O502" s="58"/>
      <c r="P502" s="269"/>
      <c r="Q502" s="58"/>
      <c r="R502" s="58"/>
      <c r="S502" s="58"/>
      <c r="T502" s="58"/>
      <c r="U502" s="58"/>
      <c r="V502" s="269"/>
      <c r="W502" s="58"/>
      <c r="X502" s="58"/>
      <c r="Y502" s="58"/>
      <c r="Z502" s="58"/>
      <c r="AA502" s="58"/>
      <c r="AB502" s="269"/>
      <c r="AC502" s="58"/>
      <c r="AD502" s="58"/>
      <c r="AE502" s="58"/>
      <c r="AF502" s="58"/>
      <c r="AG502" s="58"/>
      <c r="AH502" s="269"/>
      <c r="AI502" s="58"/>
      <c r="AJ502" s="58"/>
      <c r="AK502" s="58"/>
      <c r="AL502" s="58"/>
      <c r="AM502" s="58"/>
      <c r="AN502" s="59"/>
      <c r="AO502" s="58"/>
      <c r="AP502" s="58"/>
      <c r="AQ502" s="58"/>
      <c r="AR502" s="58"/>
      <c r="AS502" s="58"/>
      <c r="AT502" s="59"/>
      <c r="AU502" s="58"/>
      <c r="AV502" s="58"/>
      <c r="AW502" s="58"/>
      <c r="AX502" s="58"/>
      <c r="AY502" s="58"/>
      <c r="AZ502" s="59"/>
      <c r="BA502" s="58"/>
      <c r="BB502" s="58"/>
      <c r="BC502" s="58"/>
      <c r="BD502" s="58"/>
      <c r="BE502" s="58"/>
      <c r="BF502" s="59"/>
      <c r="BG502" s="58"/>
      <c r="BH502" s="58"/>
      <c r="BI502" s="58"/>
      <c r="BJ502" s="58"/>
      <c r="BK502" s="58"/>
      <c r="BL502" s="59"/>
      <c r="BM502" s="58"/>
      <c r="BN502" s="58"/>
      <c r="BO502" s="58"/>
      <c r="BP502" s="58"/>
      <c r="BQ502" s="58"/>
      <c r="BR502" s="58"/>
      <c r="BS502" s="58"/>
      <c r="BT502" s="58"/>
      <c r="BU502" s="58"/>
      <c r="BV502" s="58"/>
      <c r="BW502" s="58"/>
      <c r="BX502" s="58"/>
      <c r="BY502" s="58"/>
      <c r="BZ502" s="58"/>
      <c r="CA502" s="58"/>
      <c r="CB502" s="58"/>
      <c r="CC502" s="58"/>
      <c r="CD502" s="58"/>
      <c r="CE502" s="58"/>
      <c r="CF502" s="58"/>
      <c r="CG502" s="58"/>
      <c r="CH502" s="58"/>
      <c r="CI502" s="58"/>
      <c r="CJ502" s="58"/>
      <c r="CK502" s="58"/>
      <c r="CL502" s="58"/>
      <c r="CM502" s="58"/>
      <c r="CN502" s="58"/>
      <c r="CO502" s="58"/>
      <c r="CP502" s="58"/>
      <c r="CQ502" s="58"/>
      <c r="CR502" s="58"/>
      <c r="CS502" s="58"/>
      <c r="CT502" s="58"/>
      <c r="CU502" s="58"/>
    </row>
    <row r="503" spans="1:99" ht="15" thickBot="1" x14ac:dyDescent="0.4">
      <c r="A503" s="14"/>
      <c r="B503" s="14"/>
      <c r="C503" s="14"/>
      <c r="D503" s="14"/>
      <c r="E503" s="14"/>
      <c r="F503" s="14"/>
      <c r="G503" s="14"/>
      <c r="H503" s="14"/>
      <c r="I503" s="14"/>
      <c r="J503" s="41"/>
      <c r="L503" s="58"/>
      <c r="M503" s="58"/>
      <c r="N503" s="58"/>
      <c r="O503" s="58"/>
      <c r="P503" s="269"/>
      <c r="Q503" s="58"/>
      <c r="R503" s="58"/>
      <c r="S503" s="58"/>
      <c r="T503" s="58"/>
      <c r="U503" s="58"/>
      <c r="V503" s="269"/>
      <c r="W503" s="58"/>
      <c r="X503" s="58"/>
      <c r="Y503" s="58"/>
      <c r="Z503" s="58"/>
      <c r="AA503" s="58"/>
      <c r="AB503" s="269"/>
      <c r="AC503" s="58"/>
      <c r="AD503" s="58"/>
      <c r="AE503" s="58"/>
      <c r="AF503" s="58"/>
      <c r="AG503" s="58"/>
      <c r="AH503" s="269"/>
      <c r="AI503" s="58"/>
      <c r="AJ503" s="58"/>
      <c r="AK503" s="58"/>
      <c r="AL503" s="58"/>
      <c r="AM503" s="58"/>
      <c r="AN503" s="59"/>
      <c r="AO503" s="58"/>
      <c r="AP503" s="58"/>
      <c r="AQ503" s="58"/>
      <c r="AR503" s="58"/>
      <c r="AS503" s="58"/>
      <c r="AT503" s="59"/>
      <c r="AU503" s="58"/>
      <c r="AV503" s="58"/>
      <c r="AW503" s="58"/>
      <c r="AX503" s="58"/>
      <c r="AY503" s="58"/>
      <c r="AZ503" s="59"/>
      <c r="BA503" s="58"/>
      <c r="BB503" s="58"/>
      <c r="BC503" s="58"/>
      <c r="BD503" s="58"/>
      <c r="BE503" s="58"/>
      <c r="BF503" s="59"/>
      <c r="BG503" s="58"/>
      <c r="BH503" s="58"/>
      <c r="BI503" s="58"/>
      <c r="BJ503" s="58"/>
      <c r="BK503" s="58"/>
      <c r="BL503" s="59"/>
      <c r="BM503" s="58"/>
      <c r="BN503" s="58"/>
      <c r="BO503" s="58"/>
      <c r="BP503" s="58"/>
      <c r="BQ503" s="58"/>
      <c r="BR503" s="58"/>
      <c r="BS503" s="58"/>
      <c r="BT503" s="58"/>
      <c r="BU503" s="58"/>
      <c r="BV503" s="58"/>
      <c r="BW503" s="58"/>
      <c r="BX503" s="58"/>
      <c r="BY503" s="58"/>
      <c r="BZ503" s="58"/>
      <c r="CA503" s="58"/>
      <c r="CB503" s="58"/>
      <c r="CC503" s="58"/>
      <c r="CD503" s="58"/>
      <c r="CE503" s="58"/>
      <c r="CF503" s="58"/>
      <c r="CG503" s="58"/>
      <c r="CH503" s="58"/>
      <c r="CI503" s="58"/>
      <c r="CJ503" s="58"/>
      <c r="CK503" s="58"/>
      <c r="CL503" s="58"/>
      <c r="CM503" s="58"/>
      <c r="CN503" s="58"/>
      <c r="CO503" s="58"/>
      <c r="CP503" s="58"/>
      <c r="CQ503" s="58"/>
      <c r="CR503" s="58"/>
      <c r="CS503" s="58"/>
      <c r="CT503" s="58"/>
      <c r="CU503" s="58"/>
    </row>
    <row r="504" spans="1:99" ht="15" thickBot="1" x14ac:dyDescent="0.4">
      <c r="A504" s="14"/>
      <c r="B504" s="14"/>
      <c r="C504" s="14"/>
      <c r="D504" s="14"/>
      <c r="E504" s="14"/>
      <c r="F504" s="14"/>
      <c r="G504" s="14"/>
      <c r="H504" s="14"/>
      <c r="I504" s="14"/>
      <c r="J504" s="41"/>
      <c r="L504" s="58"/>
      <c r="M504" s="58"/>
      <c r="N504" s="58"/>
      <c r="O504" s="58"/>
      <c r="P504" s="269"/>
      <c r="Q504" s="58"/>
      <c r="R504" s="58"/>
      <c r="S504" s="58"/>
      <c r="T504" s="58"/>
      <c r="U504" s="58"/>
      <c r="V504" s="269"/>
      <c r="W504" s="58"/>
      <c r="X504" s="58"/>
      <c r="Y504" s="58"/>
      <c r="Z504" s="58"/>
      <c r="AA504" s="58"/>
      <c r="AB504" s="269"/>
      <c r="AC504" s="58"/>
      <c r="AD504" s="58"/>
      <c r="AE504" s="58"/>
      <c r="AF504" s="58"/>
      <c r="AG504" s="58"/>
      <c r="AH504" s="269"/>
      <c r="AI504" s="58"/>
      <c r="AJ504" s="58"/>
      <c r="AK504" s="58"/>
      <c r="AL504" s="58"/>
      <c r="AM504" s="58"/>
      <c r="AN504" s="59"/>
      <c r="AO504" s="58"/>
      <c r="AP504" s="58"/>
      <c r="AQ504" s="58"/>
      <c r="AR504" s="58"/>
      <c r="AS504" s="58"/>
      <c r="AT504" s="59"/>
      <c r="AU504" s="58"/>
      <c r="AV504" s="58"/>
      <c r="AW504" s="58"/>
      <c r="AX504" s="58"/>
      <c r="AY504" s="58"/>
      <c r="AZ504" s="59"/>
      <c r="BA504" s="58"/>
      <c r="BB504" s="58"/>
      <c r="BC504" s="58"/>
      <c r="BD504" s="58"/>
      <c r="BE504" s="58"/>
      <c r="BF504" s="59"/>
      <c r="BG504" s="58"/>
      <c r="BH504" s="58"/>
      <c r="BI504" s="58"/>
      <c r="BJ504" s="58"/>
      <c r="BK504" s="58"/>
      <c r="BL504" s="59"/>
      <c r="BM504" s="58"/>
      <c r="BN504" s="58"/>
      <c r="BO504" s="58"/>
      <c r="BP504" s="58"/>
      <c r="BQ504" s="58"/>
      <c r="BR504" s="58"/>
      <c r="BS504" s="58"/>
      <c r="BT504" s="58"/>
      <c r="BU504" s="58"/>
      <c r="BV504" s="58"/>
      <c r="BW504" s="58"/>
      <c r="BX504" s="58"/>
      <c r="BY504" s="58"/>
      <c r="BZ504" s="58"/>
      <c r="CA504" s="58"/>
      <c r="CB504" s="58"/>
      <c r="CC504" s="58"/>
      <c r="CD504" s="58"/>
      <c r="CE504" s="58"/>
      <c r="CF504" s="58"/>
      <c r="CG504" s="58"/>
      <c r="CH504" s="58"/>
      <c r="CI504" s="58"/>
      <c r="CJ504" s="58"/>
      <c r="CK504" s="58"/>
      <c r="CL504" s="58"/>
      <c r="CM504" s="58"/>
      <c r="CN504" s="58"/>
      <c r="CO504" s="58"/>
      <c r="CP504" s="58"/>
      <c r="CQ504" s="58"/>
      <c r="CR504" s="58"/>
      <c r="CS504" s="58"/>
      <c r="CT504" s="58"/>
      <c r="CU504" s="58"/>
    </row>
    <row r="505" spans="1:99" ht="15" thickBot="1" x14ac:dyDescent="0.4">
      <c r="A505" s="14"/>
      <c r="B505" s="14"/>
      <c r="C505" s="14"/>
      <c r="D505" s="14"/>
      <c r="E505" s="14"/>
      <c r="F505" s="14"/>
      <c r="G505" s="14"/>
      <c r="H505" s="14"/>
      <c r="I505" s="14"/>
      <c r="J505" s="41"/>
      <c r="L505" s="58"/>
      <c r="M505" s="58"/>
      <c r="N505" s="58"/>
      <c r="O505" s="58"/>
      <c r="P505" s="269"/>
      <c r="Q505" s="58"/>
      <c r="R505" s="58"/>
      <c r="S505" s="58"/>
      <c r="T505" s="58"/>
      <c r="U505" s="58"/>
      <c r="V505" s="269"/>
      <c r="W505" s="58"/>
      <c r="X505" s="58"/>
      <c r="Y505" s="58"/>
      <c r="Z505" s="58"/>
      <c r="AA505" s="58"/>
      <c r="AB505" s="269"/>
      <c r="AC505" s="58"/>
      <c r="AD505" s="58"/>
      <c r="AE505" s="58"/>
      <c r="AF505" s="58"/>
      <c r="AG505" s="58"/>
      <c r="AH505" s="269"/>
      <c r="AI505" s="58"/>
      <c r="AJ505" s="58"/>
      <c r="AK505" s="58"/>
      <c r="AL505" s="58"/>
      <c r="AM505" s="58"/>
      <c r="AN505" s="59"/>
      <c r="AO505" s="58"/>
      <c r="AP505" s="58"/>
      <c r="AQ505" s="58"/>
      <c r="AR505" s="58"/>
      <c r="AS505" s="58"/>
      <c r="AT505" s="59"/>
      <c r="AU505" s="58"/>
      <c r="AV505" s="58"/>
      <c r="AW505" s="58"/>
      <c r="AX505" s="58"/>
      <c r="AY505" s="58"/>
      <c r="AZ505" s="59"/>
      <c r="BA505" s="58"/>
      <c r="BB505" s="58"/>
      <c r="BC505" s="58"/>
      <c r="BD505" s="58"/>
      <c r="BE505" s="58"/>
      <c r="BF505" s="59"/>
      <c r="BG505" s="58"/>
      <c r="BH505" s="58"/>
      <c r="BI505" s="58"/>
      <c r="BJ505" s="58"/>
      <c r="BK505" s="58"/>
      <c r="BL505" s="59"/>
      <c r="BM505" s="58"/>
      <c r="BN505" s="58"/>
      <c r="BO505" s="58"/>
      <c r="BP505" s="58"/>
      <c r="BQ505" s="58"/>
      <c r="BR505" s="58"/>
      <c r="BS505" s="58"/>
      <c r="BT505" s="58"/>
      <c r="BU505" s="58"/>
      <c r="BV505" s="58"/>
      <c r="BW505" s="58"/>
      <c r="BX505" s="58"/>
      <c r="BY505" s="58"/>
      <c r="BZ505" s="58"/>
      <c r="CA505" s="58"/>
      <c r="CB505" s="58"/>
      <c r="CC505" s="58"/>
      <c r="CD505" s="58"/>
      <c r="CE505" s="58"/>
      <c r="CF505" s="58"/>
      <c r="CG505" s="58"/>
      <c r="CH505" s="58"/>
      <c r="CI505" s="58"/>
      <c r="CJ505" s="58"/>
      <c r="CK505" s="58"/>
      <c r="CL505" s="58"/>
      <c r="CM505" s="58"/>
      <c r="CN505" s="58"/>
      <c r="CO505" s="58"/>
      <c r="CP505" s="58"/>
      <c r="CQ505" s="58"/>
      <c r="CR505" s="58"/>
      <c r="CS505" s="58"/>
      <c r="CT505" s="58"/>
      <c r="CU505" s="58"/>
    </row>
    <row r="506" spans="1:99" ht="15" thickBot="1" x14ac:dyDescent="0.4">
      <c r="A506" s="14"/>
      <c r="B506" s="14"/>
      <c r="C506" s="14"/>
      <c r="D506" s="14"/>
      <c r="E506" s="14"/>
      <c r="F506" s="14"/>
      <c r="G506" s="14"/>
      <c r="H506" s="14"/>
      <c r="I506" s="14"/>
      <c r="J506" s="41"/>
      <c r="L506" s="58"/>
      <c r="M506" s="58"/>
      <c r="N506" s="58"/>
      <c r="O506" s="58"/>
      <c r="P506" s="269"/>
      <c r="Q506" s="58"/>
      <c r="R506" s="58"/>
      <c r="S506" s="58"/>
      <c r="T506" s="58"/>
      <c r="U506" s="58"/>
      <c r="V506" s="269"/>
      <c r="W506" s="58"/>
      <c r="X506" s="58"/>
      <c r="Y506" s="58"/>
      <c r="Z506" s="58"/>
      <c r="AA506" s="58"/>
      <c r="AB506" s="269"/>
      <c r="AC506" s="58"/>
      <c r="AD506" s="58"/>
      <c r="AE506" s="58"/>
      <c r="AF506" s="58"/>
      <c r="AG506" s="58"/>
      <c r="AH506" s="269"/>
      <c r="AI506" s="58"/>
      <c r="AJ506" s="58"/>
      <c r="AK506" s="58"/>
      <c r="AL506" s="58"/>
      <c r="AM506" s="58"/>
      <c r="AN506" s="59"/>
      <c r="AO506" s="58"/>
      <c r="AP506" s="58"/>
      <c r="AQ506" s="58"/>
      <c r="AR506" s="58"/>
      <c r="AS506" s="58"/>
      <c r="AT506" s="59"/>
      <c r="AU506" s="58"/>
      <c r="AV506" s="58"/>
      <c r="AW506" s="58"/>
      <c r="AX506" s="58"/>
      <c r="AY506" s="58"/>
      <c r="AZ506" s="59"/>
      <c r="BA506" s="58"/>
      <c r="BB506" s="58"/>
      <c r="BC506" s="58"/>
      <c r="BD506" s="58"/>
      <c r="BE506" s="58"/>
      <c r="BF506" s="59"/>
      <c r="BG506" s="58"/>
      <c r="BH506" s="58"/>
      <c r="BI506" s="58"/>
      <c r="BJ506" s="58"/>
      <c r="BK506" s="58"/>
      <c r="BL506" s="59"/>
      <c r="BM506" s="58"/>
      <c r="BN506" s="58"/>
      <c r="BO506" s="58"/>
      <c r="BP506" s="58"/>
      <c r="BQ506" s="58"/>
      <c r="BR506" s="58"/>
      <c r="BS506" s="58"/>
      <c r="BT506" s="58"/>
      <c r="BU506" s="58"/>
      <c r="BV506" s="58"/>
      <c r="BW506" s="58"/>
      <c r="BX506" s="58"/>
      <c r="BY506" s="58"/>
      <c r="BZ506" s="58"/>
      <c r="CA506" s="58"/>
      <c r="CB506" s="58"/>
      <c r="CC506" s="58"/>
      <c r="CD506" s="58"/>
      <c r="CE506" s="58"/>
      <c r="CF506" s="58"/>
      <c r="CG506" s="58"/>
      <c r="CH506" s="58"/>
      <c r="CI506" s="58"/>
      <c r="CJ506" s="58"/>
      <c r="CK506" s="58"/>
      <c r="CL506" s="58"/>
      <c r="CM506" s="58"/>
      <c r="CN506" s="58"/>
      <c r="CO506" s="58"/>
      <c r="CP506" s="58"/>
      <c r="CQ506" s="58"/>
      <c r="CR506" s="58"/>
      <c r="CS506" s="58"/>
      <c r="CT506" s="58"/>
      <c r="CU506" s="58"/>
    </row>
    <row r="507" spans="1:99" ht="15" thickBot="1" x14ac:dyDescent="0.4">
      <c r="A507" s="14"/>
      <c r="B507" s="14"/>
      <c r="C507" s="14"/>
      <c r="D507" s="14"/>
      <c r="E507" s="14"/>
      <c r="F507" s="14"/>
      <c r="G507" s="14"/>
      <c r="H507" s="14"/>
      <c r="I507" s="14"/>
      <c r="J507" s="41"/>
      <c r="L507" s="58"/>
      <c r="M507" s="58"/>
      <c r="N507" s="58"/>
      <c r="O507" s="58"/>
      <c r="P507" s="269"/>
      <c r="Q507" s="58"/>
      <c r="R507" s="58"/>
      <c r="S507" s="58"/>
      <c r="T507" s="58"/>
      <c r="U507" s="58"/>
      <c r="V507" s="269"/>
      <c r="W507" s="58"/>
      <c r="X507" s="58"/>
      <c r="Y507" s="58"/>
      <c r="Z507" s="58"/>
      <c r="AA507" s="58"/>
      <c r="AB507" s="269"/>
      <c r="AC507" s="58"/>
      <c r="AD507" s="58"/>
      <c r="AE507" s="58"/>
      <c r="AF507" s="58"/>
      <c r="AG507" s="58"/>
      <c r="AH507" s="269"/>
      <c r="AI507" s="58"/>
      <c r="AJ507" s="58"/>
      <c r="AK507" s="58"/>
      <c r="AL507" s="58"/>
      <c r="AM507" s="58"/>
      <c r="AN507" s="59"/>
      <c r="AO507" s="58"/>
      <c r="AP507" s="58"/>
      <c r="AQ507" s="58"/>
      <c r="AR507" s="58"/>
      <c r="AS507" s="58"/>
      <c r="AT507" s="59"/>
      <c r="AU507" s="58"/>
      <c r="AV507" s="58"/>
      <c r="AW507" s="58"/>
      <c r="AX507" s="58"/>
      <c r="AY507" s="58"/>
      <c r="AZ507" s="59"/>
      <c r="BA507" s="58"/>
      <c r="BB507" s="58"/>
      <c r="BC507" s="58"/>
      <c r="BD507" s="58"/>
      <c r="BE507" s="58"/>
      <c r="BF507" s="59"/>
      <c r="BG507" s="58"/>
      <c r="BH507" s="58"/>
      <c r="BI507" s="58"/>
      <c r="BJ507" s="58"/>
      <c r="BK507" s="58"/>
      <c r="BL507" s="59"/>
      <c r="BM507" s="58"/>
      <c r="BN507" s="58"/>
      <c r="BO507" s="58"/>
      <c r="BP507" s="58"/>
      <c r="BQ507" s="58"/>
      <c r="BR507" s="58"/>
      <c r="BS507" s="58"/>
      <c r="BT507" s="58"/>
      <c r="BU507" s="58"/>
      <c r="BV507" s="58"/>
      <c r="BW507" s="58"/>
      <c r="BX507" s="58"/>
      <c r="BY507" s="58"/>
      <c r="BZ507" s="58"/>
      <c r="CA507" s="58"/>
      <c r="CB507" s="58"/>
      <c r="CC507" s="58"/>
      <c r="CD507" s="58"/>
      <c r="CE507" s="58"/>
      <c r="CF507" s="58"/>
      <c r="CG507" s="58"/>
      <c r="CH507" s="58"/>
      <c r="CI507" s="58"/>
      <c r="CJ507" s="58"/>
      <c r="CK507" s="58"/>
      <c r="CL507" s="58"/>
      <c r="CM507" s="58"/>
      <c r="CN507" s="58"/>
      <c r="CO507" s="58"/>
      <c r="CP507" s="58"/>
      <c r="CQ507" s="58"/>
      <c r="CR507" s="58"/>
      <c r="CS507" s="58"/>
      <c r="CT507" s="58"/>
      <c r="CU507" s="58"/>
    </row>
    <row r="508" spans="1:99" ht="15" thickBot="1" x14ac:dyDescent="0.4">
      <c r="A508" s="14"/>
      <c r="B508" s="14"/>
      <c r="C508" s="14"/>
      <c r="D508" s="14"/>
      <c r="E508" s="14"/>
      <c r="F508" s="14"/>
      <c r="G508" s="14"/>
      <c r="H508" s="14"/>
      <c r="I508" s="14"/>
      <c r="J508" s="41"/>
      <c r="L508" s="58"/>
      <c r="M508" s="58"/>
      <c r="N508" s="58"/>
      <c r="O508" s="58"/>
      <c r="P508" s="269"/>
      <c r="Q508" s="58"/>
      <c r="R508" s="58"/>
      <c r="S508" s="58"/>
      <c r="T508" s="58"/>
      <c r="U508" s="58"/>
      <c r="V508" s="269"/>
      <c r="W508" s="58"/>
      <c r="X508" s="58"/>
      <c r="Y508" s="58"/>
      <c r="Z508" s="58"/>
      <c r="AA508" s="58"/>
      <c r="AB508" s="269"/>
      <c r="AC508" s="58"/>
      <c r="AD508" s="58"/>
      <c r="AE508" s="58"/>
      <c r="AF508" s="58"/>
      <c r="AG508" s="58"/>
      <c r="AH508" s="269"/>
      <c r="AI508" s="58"/>
      <c r="AJ508" s="58"/>
      <c r="AK508" s="58"/>
      <c r="AL508" s="58"/>
      <c r="AM508" s="58"/>
      <c r="AN508" s="59"/>
      <c r="AO508" s="58"/>
      <c r="AP508" s="58"/>
      <c r="AQ508" s="58"/>
      <c r="AR508" s="58"/>
      <c r="AS508" s="58"/>
      <c r="AT508" s="59"/>
      <c r="AU508" s="58"/>
      <c r="AV508" s="58"/>
      <c r="AW508" s="58"/>
      <c r="AX508" s="58"/>
      <c r="AY508" s="58"/>
      <c r="AZ508" s="59"/>
      <c r="BA508" s="58"/>
      <c r="BB508" s="58"/>
      <c r="BC508" s="58"/>
      <c r="BD508" s="58"/>
      <c r="BE508" s="58"/>
      <c r="BF508" s="59"/>
      <c r="BG508" s="58"/>
      <c r="BH508" s="58"/>
      <c r="BI508" s="58"/>
      <c r="BJ508" s="58"/>
      <c r="BK508" s="58"/>
      <c r="BL508" s="59"/>
      <c r="BM508" s="58"/>
      <c r="BN508" s="58"/>
      <c r="BO508" s="58"/>
      <c r="BP508" s="58"/>
      <c r="BQ508" s="58"/>
      <c r="BR508" s="58"/>
      <c r="BS508" s="58"/>
      <c r="BT508" s="58"/>
      <c r="BU508" s="58"/>
      <c r="BV508" s="58"/>
      <c r="BW508" s="58"/>
      <c r="BX508" s="58"/>
      <c r="BY508" s="58"/>
      <c r="BZ508" s="58"/>
      <c r="CA508" s="58"/>
      <c r="CB508" s="58"/>
      <c r="CC508" s="58"/>
      <c r="CD508" s="58"/>
      <c r="CE508" s="58"/>
      <c r="CF508" s="58"/>
      <c r="CG508" s="58"/>
      <c r="CH508" s="58"/>
      <c r="CI508" s="58"/>
      <c r="CJ508" s="58"/>
      <c r="CK508" s="58"/>
      <c r="CL508" s="58"/>
      <c r="CM508" s="58"/>
      <c r="CN508" s="58"/>
      <c r="CO508" s="58"/>
      <c r="CP508" s="58"/>
      <c r="CQ508" s="58"/>
      <c r="CR508" s="58"/>
      <c r="CS508" s="58"/>
      <c r="CT508" s="58"/>
      <c r="CU508" s="58"/>
    </row>
    <row r="509" spans="1:99" ht="15" thickBot="1" x14ac:dyDescent="0.4">
      <c r="A509" s="14"/>
      <c r="B509" s="14"/>
      <c r="C509" s="14"/>
      <c r="D509" s="14"/>
      <c r="E509" s="14"/>
      <c r="F509" s="14"/>
      <c r="G509" s="14"/>
      <c r="H509" s="14"/>
      <c r="I509" s="14"/>
      <c r="J509" s="41"/>
      <c r="L509" s="58"/>
      <c r="M509" s="58"/>
      <c r="N509" s="58"/>
      <c r="O509" s="58"/>
      <c r="P509" s="269"/>
      <c r="Q509" s="58"/>
      <c r="R509" s="58"/>
      <c r="S509" s="58"/>
      <c r="T509" s="58"/>
      <c r="U509" s="58"/>
      <c r="V509" s="269"/>
      <c r="W509" s="58"/>
      <c r="X509" s="58"/>
      <c r="Y509" s="58"/>
      <c r="Z509" s="58"/>
      <c r="AA509" s="58"/>
      <c r="AB509" s="269"/>
      <c r="AC509" s="58"/>
      <c r="AD509" s="58"/>
      <c r="AE509" s="58"/>
      <c r="AF509" s="58"/>
      <c r="AG509" s="58"/>
      <c r="AH509" s="269"/>
      <c r="AI509" s="58"/>
      <c r="AJ509" s="58"/>
      <c r="AK509" s="58"/>
      <c r="AL509" s="58"/>
      <c r="AM509" s="58"/>
      <c r="AN509" s="59"/>
      <c r="AO509" s="58"/>
      <c r="AP509" s="58"/>
      <c r="AQ509" s="58"/>
      <c r="AR509" s="58"/>
      <c r="AS509" s="58"/>
      <c r="AT509" s="59"/>
      <c r="AU509" s="58"/>
      <c r="AV509" s="58"/>
      <c r="AW509" s="58"/>
      <c r="AX509" s="58"/>
      <c r="AY509" s="58"/>
      <c r="AZ509" s="59"/>
      <c r="BA509" s="58"/>
      <c r="BB509" s="58"/>
      <c r="BC509" s="58"/>
      <c r="BD509" s="58"/>
      <c r="BE509" s="58"/>
      <c r="BF509" s="59"/>
      <c r="BG509" s="58"/>
      <c r="BH509" s="58"/>
      <c r="BI509" s="58"/>
      <c r="BJ509" s="58"/>
      <c r="BK509" s="58"/>
      <c r="BL509" s="59"/>
      <c r="BM509" s="58"/>
      <c r="BN509" s="58"/>
      <c r="BO509" s="58"/>
      <c r="BP509" s="58"/>
      <c r="BQ509" s="58"/>
      <c r="BR509" s="58"/>
      <c r="BS509" s="58"/>
      <c r="BT509" s="58"/>
      <c r="BU509" s="58"/>
      <c r="BV509" s="58"/>
      <c r="BW509" s="58"/>
      <c r="BX509" s="58"/>
      <c r="BY509" s="58"/>
      <c r="BZ509" s="58"/>
      <c r="CA509" s="58"/>
      <c r="CB509" s="58"/>
      <c r="CC509" s="58"/>
      <c r="CD509" s="58"/>
      <c r="CE509" s="58"/>
      <c r="CF509" s="58"/>
      <c r="CG509" s="58"/>
      <c r="CH509" s="58"/>
      <c r="CI509" s="58"/>
      <c r="CJ509" s="58"/>
      <c r="CK509" s="58"/>
      <c r="CL509" s="58"/>
      <c r="CM509" s="58"/>
      <c r="CN509" s="58"/>
      <c r="CO509" s="58"/>
      <c r="CP509" s="58"/>
      <c r="CQ509" s="58"/>
      <c r="CR509" s="58"/>
      <c r="CS509" s="58"/>
      <c r="CT509" s="58"/>
      <c r="CU509" s="58"/>
    </row>
    <row r="510" spans="1:99" ht="15" thickBot="1" x14ac:dyDescent="0.4">
      <c r="A510" s="14"/>
      <c r="B510" s="14"/>
      <c r="C510" s="14"/>
      <c r="D510" s="14"/>
      <c r="E510" s="14"/>
      <c r="F510" s="14"/>
      <c r="G510" s="14"/>
      <c r="H510" s="14"/>
      <c r="I510" s="14"/>
      <c r="J510" s="41"/>
      <c r="L510" s="58"/>
      <c r="M510" s="58"/>
      <c r="N510" s="58"/>
      <c r="O510" s="58"/>
      <c r="P510" s="269"/>
      <c r="Q510" s="58"/>
      <c r="R510" s="58"/>
      <c r="S510" s="58"/>
      <c r="T510" s="58"/>
      <c r="U510" s="58"/>
      <c r="V510" s="269"/>
      <c r="W510" s="58"/>
      <c r="X510" s="58"/>
      <c r="Y510" s="58"/>
      <c r="Z510" s="58"/>
      <c r="AA510" s="58"/>
      <c r="AB510" s="269"/>
      <c r="AC510" s="58"/>
      <c r="AD510" s="58"/>
      <c r="AE510" s="58"/>
      <c r="AF510" s="58"/>
      <c r="AG510" s="58"/>
      <c r="AH510" s="269"/>
      <c r="AI510" s="58"/>
      <c r="AJ510" s="58"/>
      <c r="AK510" s="58"/>
      <c r="AL510" s="58"/>
      <c r="AM510" s="58"/>
      <c r="AN510" s="59"/>
      <c r="AO510" s="58"/>
      <c r="AP510" s="58"/>
      <c r="AQ510" s="58"/>
      <c r="AR510" s="58"/>
      <c r="AS510" s="58"/>
      <c r="AT510" s="59"/>
      <c r="AU510" s="58"/>
      <c r="AV510" s="58"/>
      <c r="AW510" s="58"/>
      <c r="AX510" s="58"/>
      <c r="AY510" s="58"/>
      <c r="AZ510" s="59"/>
      <c r="BA510" s="58"/>
      <c r="BB510" s="58"/>
      <c r="BC510" s="58"/>
      <c r="BD510" s="58"/>
      <c r="BE510" s="58"/>
      <c r="BF510" s="59"/>
      <c r="BG510" s="58"/>
      <c r="BH510" s="58"/>
      <c r="BI510" s="58"/>
      <c r="BJ510" s="58"/>
      <c r="BK510" s="58"/>
      <c r="BL510" s="59"/>
      <c r="BM510" s="58"/>
      <c r="BN510" s="58"/>
      <c r="BO510" s="58"/>
      <c r="BP510" s="58"/>
      <c r="BQ510" s="58"/>
      <c r="BR510" s="58"/>
      <c r="BS510" s="58"/>
      <c r="BT510" s="58"/>
      <c r="BU510" s="58"/>
      <c r="BV510" s="58"/>
      <c r="BW510" s="58"/>
      <c r="BX510" s="58"/>
      <c r="BY510" s="58"/>
      <c r="BZ510" s="58"/>
      <c r="CA510" s="58"/>
      <c r="CB510" s="58"/>
      <c r="CC510" s="58"/>
      <c r="CD510" s="58"/>
      <c r="CE510" s="58"/>
      <c r="CF510" s="58"/>
      <c r="CG510" s="58"/>
      <c r="CH510" s="58"/>
      <c r="CI510" s="58"/>
      <c r="CJ510" s="58"/>
      <c r="CK510" s="58"/>
      <c r="CL510" s="58"/>
      <c r="CM510" s="58"/>
      <c r="CN510" s="58"/>
      <c r="CO510" s="58"/>
      <c r="CP510" s="58"/>
      <c r="CQ510" s="58"/>
      <c r="CR510" s="58"/>
      <c r="CS510" s="58"/>
      <c r="CT510" s="58"/>
      <c r="CU510" s="58"/>
    </row>
    <row r="511" spans="1:99" ht="15" thickBot="1" x14ac:dyDescent="0.4">
      <c r="A511" s="14"/>
      <c r="B511" s="14"/>
      <c r="C511" s="14"/>
      <c r="D511" s="14"/>
      <c r="E511" s="14"/>
      <c r="F511" s="14"/>
      <c r="G511" s="14"/>
      <c r="H511" s="14"/>
      <c r="I511" s="14"/>
      <c r="J511" s="41"/>
      <c r="L511" s="58"/>
      <c r="M511" s="58"/>
      <c r="N511" s="58"/>
      <c r="O511" s="58"/>
      <c r="P511" s="269"/>
      <c r="Q511" s="58"/>
      <c r="R511" s="58"/>
      <c r="S511" s="58"/>
      <c r="T511" s="58"/>
      <c r="U511" s="58"/>
      <c r="V511" s="269"/>
      <c r="W511" s="58"/>
      <c r="X511" s="58"/>
      <c r="Y511" s="58"/>
      <c r="Z511" s="58"/>
      <c r="AA511" s="58"/>
      <c r="AB511" s="269"/>
      <c r="AC511" s="58"/>
      <c r="AD511" s="58"/>
      <c r="AE511" s="58"/>
      <c r="AF511" s="58"/>
      <c r="AG511" s="58"/>
      <c r="AH511" s="269"/>
      <c r="AI511" s="58"/>
      <c r="AJ511" s="58"/>
      <c r="AK511" s="58"/>
      <c r="AL511" s="58"/>
      <c r="AM511" s="58"/>
      <c r="AN511" s="59"/>
      <c r="AO511" s="58"/>
      <c r="AP511" s="58"/>
      <c r="AQ511" s="58"/>
      <c r="AR511" s="58"/>
      <c r="AS511" s="58"/>
      <c r="AT511" s="59"/>
      <c r="AU511" s="58"/>
      <c r="AV511" s="58"/>
      <c r="AW511" s="58"/>
      <c r="AX511" s="58"/>
      <c r="AY511" s="58"/>
      <c r="AZ511" s="59"/>
      <c r="BA511" s="58"/>
      <c r="BB511" s="58"/>
      <c r="BC511" s="58"/>
      <c r="BD511" s="58"/>
      <c r="BE511" s="58"/>
      <c r="BF511" s="59"/>
      <c r="BG511" s="58"/>
      <c r="BH511" s="58"/>
      <c r="BI511" s="58"/>
      <c r="BJ511" s="58"/>
      <c r="BK511" s="58"/>
      <c r="BL511" s="59"/>
      <c r="BM511" s="58"/>
      <c r="BN511" s="58"/>
      <c r="BO511" s="58"/>
      <c r="BP511" s="58"/>
      <c r="BQ511" s="58"/>
      <c r="BR511" s="58"/>
      <c r="BS511" s="58"/>
      <c r="BT511" s="58"/>
      <c r="BU511" s="58"/>
      <c r="BV511" s="58"/>
      <c r="BW511" s="58"/>
      <c r="BX511" s="58"/>
      <c r="BY511" s="58"/>
      <c r="BZ511" s="58"/>
      <c r="CA511" s="58"/>
      <c r="CB511" s="58"/>
      <c r="CC511" s="58"/>
      <c r="CD511" s="58"/>
      <c r="CE511" s="58"/>
      <c r="CF511" s="58"/>
      <c r="CG511" s="58"/>
      <c r="CH511" s="58"/>
      <c r="CI511" s="58"/>
      <c r="CJ511" s="58"/>
      <c r="CK511" s="58"/>
      <c r="CL511" s="58"/>
      <c r="CM511" s="58"/>
      <c r="CN511" s="58"/>
      <c r="CO511" s="58"/>
      <c r="CP511" s="58"/>
      <c r="CQ511" s="58"/>
      <c r="CR511" s="58"/>
      <c r="CS511" s="58"/>
      <c r="CT511" s="58"/>
      <c r="CU511" s="58"/>
    </row>
    <row r="512" spans="1:99" ht="15" thickBot="1" x14ac:dyDescent="0.4">
      <c r="A512" s="14"/>
      <c r="B512" s="14"/>
      <c r="C512" s="14"/>
      <c r="D512" s="14"/>
      <c r="E512" s="14"/>
      <c r="F512" s="14"/>
      <c r="G512" s="14"/>
      <c r="H512" s="14"/>
      <c r="I512" s="14"/>
      <c r="J512" s="41"/>
      <c r="L512" s="58"/>
      <c r="M512" s="58"/>
      <c r="N512" s="58"/>
      <c r="O512" s="58"/>
      <c r="P512" s="269"/>
      <c r="Q512" s="58"/>
      <c r="R512" s="58"/>
      <c r="S512" s="58"/>
      <c r="T512" s="58"/>
      <c r="U512" s="58"/>
      <c r="V512" s="269"/>
      <c r="W512" s="58"/>
      <c r="X512" s="58"/>
      <c r="Y512" s="58"/>
      <c r="Z512" s="58"/>
      <c r="AA512" s="58"/>
      <c r="AB512" s="269"/>
      <c r="AC512" s="58"/>
      <c r="AD512" s="58"/>
      <c r="AE512" s="58"/>
      <c r="AF512" s="58"/>
      <c r="AG512" s="58"/>
      <c r="AH512" s="269"/>
      <c r="AI512" s="58"/>
      <c r="AJ512" s="58"/>
      <c r="AK512" s="58"/>
      <c r="AL512" s="58"/>
      <c r="AM512" s="58"/>
      <c r="AN512" s="59"/>
      <c r="AO512" s="58"/>
      <c r="AP512" s="58"/>
      <c r="AQ512" s="58"/>
      <c r="AR512" s="58"/>
      <c r="AS512" s="58"/>
      <c r="AT512" s="59"/>
      <c r="AU512" s="58"/>
      <c r="AV512" s="58"/>
      <c r="AW512" s="58"/>
      <c r="AX512" s="58"/>
      <c r="AY512" s="58"/>
      <c r="AZ512" s="59"/>
      <c r="BA512" s="58"/>
      <c r="BB512" s="58"/>
      <c r="BC512" s="58"/>
      <c r="BD512" s="58"/>
      <c r="BE512" s="58"/>
      <c r="BF512" s="59"/>
      <c r="BG512" s="58"/>
      <c r="BH512" s="58"/>
      <c r="BI512" s="58"/>
      <c r="BJ512" s="58"/>
      <c r="BK512" s="58"/>
      <c r="BL512" s="59"/>
      <c r="BM512" s="58"/>
      <c r="BN512" s="58"/>
      <c r="BO512" s="58"/>
      <c r="BP512" s="58"/>
      <c r="BQ512" s="58"/>
      <c r="BR512" s="58"/>
      <c r="BS512" s="58"/>
      <c r="BT512" s="58"/>
      <c r="BU512" s="58"/>
      <c r="BV512" s="58"/>
      <c r="BW512" s="58"/>
      <c r="BX512" s="58"/>
      <c r="BY512" s="58"/>
      <c r="BZ512" s="58"/>
      <c r="CA512" s="58"/>
      <c r="CB512" s="58"/>
      <c r="CC512" s="58"/>
      <c r="CD512" s="58"/>
      <c r="CE512" s="58"/>
      <c r="CF512" s="58"/>
      <c r="CG512" s="58"/>
      <c r="CH512" s="58"/>
      <c r="CI512" s="58"/>
      <c r="CJ512" s="58"/>
      <c r="CK512" s="58"/>
      <c r="CL512" s="58"/>
      <c r="CM512" s="58"/>
      <c r="CN512" s="58"/>
      <c r="CO512" s="58"/>
      <c r="CP512" s="58"/>
      <c r="CQ512" s="58"/>
      <c r="CR512" s="58"/>
      <c r="CS512" s="58"/>
      <c r="CT512" s="58"/>
      <c r="CU512" s="58"/>
    </row>
    <row r="513" spans="1:99" ht="15" thickBot="1" x14ac:dyDescent="0.4">
      <c r="A513" s="14"/>
      <c r="B513" s="14"/>
      <c r="C513" s="14"/>
      <c r="D513" s="14"/>
      <c r="E513" s="14"/>
      <c r="F513" s="14"/>
      <c r="G513" s="14"/>
      <c r="H513" s="14"/>
      <c r="I513" s="14"/>
      <c r="J513" s="41"/>
      <c r="L513" s="58"/>
      <c r="M513" s="58"/>
      <c r="N513" s="58"/>
      <c r="O513" s="58"/>
      <c r="P513" s="269"/>
      <c r="Q513" s="58"/>
      <c r="R513" s="58"/>
      <c r="S513" s="58"/>
      <c r="T513" s="58"/>
      <c r="U513" s="58"/>
      <c r="V513" s="269"/>
      <c r="W513" s="58"/>
      <c r="X513" s="58"/>
      <c r="Y513" s="58"/>
      <c r="Z513" s="58"/>
      <c r="AA513" s="58"/>
      <c r="AB513" s="269"/>
      <c r="AC513" s="58"/>
      <c r="AD513" s="58"/>
      <c r="AE513" s="58"/>
      <c r="AF513" s="58"/>
      <c r="AG513" s="58"/>
      <c r="AH513" s="269"/>
      <c r="AI513" s="58"/>
      <c r="AJ513" s="58"/>
      <c r="AK513" s="58"/>
      <c r="AL513" s="58"/>
      <c r="AM513" s="58"/>
      <c r="AN513" s="59"/>
      <c r="AO513" s="58"/>
      <c r="AP513" s="58"/>
      <c r="AQ513" s="58"/>
      <c r="AR513" s="58"/>
      <c r="AS513" s="58"/>
      <c r="AT513" s="59"/>
      <c r="AU513" s="58"/>
      <c r="AV513" s="58"/>
      <c r="AW513" s="58"/>
      <c r="AX513" s="58"/>
      <c r="AY513" s="58"/>
      <c r="AZ513" s="59"/>
      <c r="BA513" s="58"/>
      <c r="BB513" s="58"/>
      <c r="BC513" s="58"/>
      <c r="BD513" s="58"/>
      <c r="BE513" s="58"/>
      <c r="BF513" s="59"/>
      <c r="BG513" s="58"/>
      <c r="BH513" s="58"/>
      <c r="BI513" s="58"/>
      <c r="BJ513" s="58"/>
      <c r="BK513" s="58"/>
      <c r="BL513" s="59"/>
      <c r="BM513" s="58"/>
      <c r="BN513" s="58"/>
      <c r="BO513" s="58"/>
      <c r="BP513" s="58"/>
      <c r="BQ513" s="58"/>
      <c r="BR513" s="58"/>
      <c r="BS513" s="58"/>
      <c r="BT513" s="58"/>
      <c r="BU513" s="58"/>
      <c r="BV513" s="58"/>
      <c r="BW513" s="58"/>
      <c r="BX513" s="58"/>
      <c r="BY513" s="58"/>
      <c r="BZ513" s="58"/>
      <c r="CA513" s="58"/>
      <c r="CB513" s="58"/>
      <c r="CC513" s="58"/>
      <c r="CD513" s="58"/>
      <c r="CE513" s="58"/>
      <c r="CF513" s="58"/>
      <c r="CG513" s="58"/>
      <c r="CH513" s="58"/>
      <c r="CI513" s="58"/>
      <c r="CJ513" s="58"/>
      <c r="CK513" s="58"/>
      <c r="CL513" s="58"/>
      <c r="CM513" s="58"/>
      <c r="CN513" s="58"/>
      <c r="CO513" s="58"/>
      <c r="CP513" s="58"/>
      <c r="CQ513" s="58"/>
      <c r="CR513" s="58"/>
      <c r="CS513" s="58"/>
      <c r="CT513" s="58"/>
      <c r="CU513" s="58"/>
    </row>
    <row r="514" spans="1:99" ht="15" thickBot="1" x14ac:dyDescent="0.4">
      <c r="A514" s="14"/>
      <c r="B514" s="14"/>
      <c r="C514" s="14"/>
      <c r="D514" s="14"/>
      <c r="E514" s="14"/>
      <c r="F514" s="14"/>
      <c r="G514" s="14"/>
      <c r="H514" s="14"/>
      <c r="I514" s="14"/>
      <c r="J514" s="41"/>
      <c r="L514" s="58"/>
      <c r="M514" s="58"/>
      <c r="N514" s="58"/>
      <c r="O514" s="58"/>
      <c r="P514" s="269"/>
      <c r="Q514" s="58"/>
      <c r="R514" s="58"/>
      <c r="S514" s="58"/>
      <c r="T514" s="58"/>
      <c r="U514" s="58"/>
      <c r="V514" s="269"/>
      <c r="W514" s="58"/>
      <c r="X514" s="58"/>
      <c r="Y514" s="58"/>
      <c r="Z514" s="58"/>
      <c r="AA514" s="58"/>
      <c r="AB514" s="269"/>
      <c r="AC514" s="58"/>
      <c r="AD514" s="58"/>
      <c r="AE514" s="58"/>
      <c r="AF514" s="58"/>
      <c r="AG514" s="58"/>
      <c r="AH514" s="269"/>
      <c r="AI514" s="58"/>
      <c r="AJ514" s="58"/>
      <c r="AK514" s="58"/>
      <c r="AL514" s="58"/>
      <c r="AM514" s="58"/>
      <c r="AN514" s="59"/>
      <c r="AO514" s="58"/>
      <c r="AP514" s="58"/>
      <c r="AQ514" s="58"/>
      <c r="AR514" s="58"/>
      <c r="AS514" s="58"/>
      <c r="AT514" s="59"/>
      <c r="AU514" s="58"/>
      <c r="AV514" s="58"/>
      <c r="AW514" s="58"/>
      <c r="AX514" s="58"/>
      <c r="AY514" s="58"/>
      <c r="AZ514" s="59"/>
      <c r="BA514" s="58"/>
      <c r="BB514" s="58"/>
      <c r="BC514" s="58"/>
      <c r="BD514" s="58"/>
      <c r="BE514" s="58"/>
      <c r="BF514" s="59"/>
      <c r="BG514" s="58"/>
      <c r="BH514" s="58"/>
      <c r="BI514" s="58"/>
      <c r="BJ514" s="58"/>
      <c r="BK514" s="58"/>
      <c r="BL514" s="59"/>
      <c r="BM514" s="58"/>
      <c r="BN514" s="58"/>
      <c r="BO514" s="58"/>
      <c r="BP514" s="58"/>
      <c r="BQ514" s="58"/>
      <c r="BR514" s="58"/>
      <c r="BS514" s="58"/>
      <c r="BT514" s="58"/>
      <c r="BU514" s="58"/>
      <c r="BV514" s="58"/>
      <c r="BW514" s="58"/>
      <c r="BX514" s="58"/>
      <c r="BY514" s="58"/>
      <c r="BZ514" s="58"/>
      <c r="CA514" s="58"/>
      <c r="CB514" s="58"/>
      <c r="CC514" s="58"/>
      <c r="CD514" s="58"/>
      <c r="CE514" s="58"/>
      <c r="CF514" s="58"/>
      <c r="CG514" s="58"/>
      <c r="CH514" s="58"/>
      <c r="CI514" s="58"/>
      <c r="CJ514" s="58"/>
      <c r="CK514" s="58"/>
      <c r="CL514" s="58"/>
      <c r="CM514" s="58"/>
      <c r="CN514" s="58"/>
      <c r="CO514" s="58"/>
      <c r="CP514" s="58"/>
      <c r="CQ514" s="58"/>
      <c r="CR514" s="58"/>
      <c r="CS514" s="58"/>
      <c r="CT514" s="58"/>
      <c r="CU514" s="58"/>
    </row>
    <row r="515" spans="1:99" ht="15" thickBot="1" x14ac:dyDescent="0.4">
      <c r="A515" s="14"/>
      <c r="B515" s="14"/>
      <c r="C515" s="14"/>
      <c r="D515" s="14"/>
      <c r="E515" s="14"/>
      <c r="F515" s="14"/>
      <c r="G515" s="14"/>
      <c r="H515" s="14"/>
      <c r="I515" s="14"/>
      <c r="J515" s="41"/>
      <c r="L515" s="58"/>
      <c r="M515" s="58"/>
      <c r="N515" s="58"/>
      <c r="O515" s="58"/>
      <c r="P515" s="269"/>
      <c r="Q515" s="58"/>
      <c r="R515" s="58"/>
      <c r="S515" s="58"/>
      <c r="T515" s="58"/>
      <c r="U515" s="58"/>
      <c r="V515" s="269"/>
      <c r="W515" s="58"/>
      <c r="X515" s="58"/>
      <c r="Y515" s="58"/>
      <c r="Z515" s="58"/>
      <c r="AA515" s="58"/>
      <c r="AB515" s="269"/>
      <c r="AC515" s="58"/>
      <c r="AD515" s="58"/>
      <c r="AE515" s="58"/>
      <c r="AF515" s="58"/>
      <c r="AG515" s="58"/>
      <c r="AH515" s="269"/>
      <c r="AI515" s="58"/>
      <c r="AJ515" s="58"/>
      <c r="AK515" s="58"/>
      <c r="AL515" s="58"/>
      <c r="AM515" s="58"/>
      <c r="AN515" s="59"/>
      <c r="AO515" s="58"/>
      <c r="AP515" s="58"/>
      <c r="AQ515" s="58"/>
      <c r="AR515" s="58"/>
      <c r="AS515" s="58"/>
      <c r="AT515" s="59"/>
      <c r="AU515" s="58"/>
      <c r="AV515" s="58"/>
      <c r="AW515" s="58"/>
      <c r="AX515" s="58"/>
      <c r="AY515" s="58"/>
      <c r="AZ515" s="59"/>
      <c r="BA515" s="58"/>
      <c r="BB515" s="58"/>
      <c r="BC515" s="58"/>
      <c r="BD515" s="58"/>
      <c r="BE515" s="58"/>
      <c r="BF515" s="59"/>
      <c r="BG515" s="58"/>
      <c r="BH515" s="58"/>
      <c r="BI515" s="58"/>
      <c r="BJ515" s="58"/>
      <c r="BK515" s="58"/>
      <c r="BL515" s="59"/>
      <c r="BM515" s="58"/>
      <c r="BN515" s="58"/>
      <c r="BO515" s="58"/>
      <c r="BP515" s="58"/>
      <c r="BQ515" s="58"/>
      <c r="BR515" s="58"/>
      <c r="BS515" s="58"/>
      <c r="BT515" s="58"/>
      <c r="BU515" s="58"/>
      <c r="BV515" s="58"/>
      <c r="BW515" s="58"/>
      <c r="BX515" s="58"/>
      <c r="BY515" s="58"/>
      <c r="BZ515" s="58"/>
      <c r="CA515" s="58"/>
      <c r="CB515" s="58"/>
      <c r="CC515" s="58"/>
      <c r="CD515" s="58"/>
      <c r="CE515" s="58"/>
      <c r="CF515" s="58"/>
      <c r="CG515" s="58"/>
      <c r="CH515" s="58"/>
      <c r="CI515" s="58"/>
      <c r="CJ515" s="58"/>
      <c r="CK515" s="58"/>
      <c r="CL515" s="58"/>
      <c r="CM515" s="58"/>
      <c r="CN515" s="58"/>
      <c r="CO515" s="58"/>
      <c r="CP515" s="58"/>
      <c r="CQ515" s="58"/>
      <c r="CR515" s="58"/>
      <c r="CS515" s="58"/>
      <c r="CT515" s="58"/>
      <c r="CU515" s="58"/>
    </row>
    <row r="516" spans="1:99" ht="15" thickBot="1" x14ac:dyDescent="0.4">
      <c r="A516" s="14"/>
      <c r="B516" s="14"/>
      <c r="C516" s="14"/>
      <c r="D516" s="14"/>
      <c r="E516" s="14"/>
      <c r="F516" s="14"/>
      <c r="G516" s="14"/>
      <c r="H516" s="14"/>
      <c r="I516" s="14"/>
      <c r="J516" s="41"/>
      <c r="L516" s="58"/>
      <c r="M516" s="58"/>
      <c r="N516" s="58"/>
      <c r="O516" s="58"/>
      <c r="P516" s="269"/>
      <c r="Q516" s="58"/>
      <c r="R516" s="58"/>
      <c r="S516" s="58"/>
      <c r="T516" s="58"/>
      <c r="U516" s="58"/>
      <c r="V516" s="269"/>
      <c r="W516" s="58"/>
      <c r="X516" s="58"/>
      <c r="Y516" s="58"/>
      <c r="Z516" s="58"/>
      <c r="AA516" s="58"/>
      <c r="AB516" s="269"/>
      <c r="AC516" s="58"/>
      <c r="AD516" s="58"/>
      <c r="AE516" s="58"/>
      <c r="AF516" s="58"/>
      <c r="AG516" s="58"/>
      <c r="AH516" s="269"/>
      <c r="AI516" s="58"/>
      <c r="AJ516" s="58"/>
      <c r="AK516" s="58"/>
      <c r="AL516" s="58"/>
      <c r="AM516" s="58"/>
      <c r="AN516" s="59"/>
      <c r="AO516" s="58"/>
      <c r="AP516" s="58"/>
      <c r="AQ516" s="58"/>
      <c r="AR516" s="58"/>
      <c r="AS516" s="58"/>
      <c r="AT516" s="59"/>
      <c r="AU516" s="58"/>
      <c r="AV516" s="58"/>
      <c r="AW516" s="58"/>
      <c r="AX516" s="58"/>
      <c r="AY516" s="58"/>
      <c r="AZ516" s="59"/>
      <c r="BA516" s="58"/>
      <c r="BB516" s="58"/>
      <c r="BC516" s="58"/>
      <c r="BD516" s="58"/>
      <c r="BE516" s="58"/>
      <c r="BF516" s="59"/>
      <c r="BG516" s="58"/>
      <c r="BH516" s="58"/>
      <c r="BI516" s="58"/>
      <c r="BJ516" s="58"/>
      <c r="BK516" s="58"/>
      <c r="BL516" s="59"/>
      <c r="BM516" s="58"/>
      <c r="BN516" s="58"/>
      <c r="BO516" s="58"/>
      <c r="BP516" s="58"/>
      <c r="BQ516" s="58"/>
      <c r="BR516" s="58"/>
      <c r="BS516" s="58"/>
      <c r="BT516" s="58"/>
      <c r="BU516" s="58"/>
      <c r="BV516" s="58"/>
      <c r="BW516" s="58"/>
      <c r="BX516" s="58"/>
      <c r="BY516" s="58"/>
      <c r="BZ516" s="58"/>
      <c r="CA516" s="58"/>
      <c r="CB516" s="58"/>
      <c r="CC516" s="58"/>
      <c r="CD516" s="58"/>
      <c r="CE516" s="58"/>
      <c r="CF516" s="58"/>
      <c r="CG516" s="58"/>
      <c r="CH516" s="58"/>
      <c r="CI516" s="58"/>
      <c r="CJ516" s="58"/>
      <c r="CK516" s="58"/>
      <c r="CL516" s="58"/>
      <c r="CM516" s="58"/>
      <c r="CN516" s="58"/>
      <c r="CO516" s="58"/>
      <c r="CP516" s="58"/>
      <c r="CQ516" s="58"/>
      <c r="CR516" s="58"/>
      <c r="CS516" s="58"/>
      <c r="CT516" s="58"/>
      <c r="CU516" s="58"/>
    </row>
    <row r="517" spans="1:99" ht="15" thickBot="1" x14ac:dyDescent="0.4">
      <c r="A517" s="14"/>
      <c r="B517" s="14"/>
      <c r="C517" s="14"/>
      <c r="D517" s="14"/>
      <c r="E517" s="14"/>
      <c r="F517" s="14"/>
      <c r="G517" s="14"/>
      <c r="H517" s="14"/>
      <c r="I517" s="14"/>
      <c r="J517" s="41"/>
      <c r="L517" s="58"/>
      <c r="M517" s="58"/>
      <c r="N517" s="58"/>
      <c r="O517" s="58"/>
      <c r="P517" s="269"/>
      <c r="Q517" s="58"/>
      <c r="R517" s="58"/>
      <c r="S517" s="58"/>
      <c r="T517" s="58"/>
      <c r="U517" s="58"/>
      <c r="V517" s="269"/>
      <c r="W517" s="58"/>
      <c r="X517" s="58"/>
      <c r="Y517" s="58"/>
      <c r="Z517" s="58"/>
      <c r="AA517" s="58"/>
      <c r="AB517" s="269"/>
      <c r="AC517" s="58"/>
      <c r="AD517" s="58"/>
      <c r="AE517" s="58"/>
      <c r="AF517" s="58"/>
      <c r="AG517" s="58"/>
      <c r="AH517" s="269"/>
      <c r="AI517" s="58"/>
      <c r="AJ517" s="58"/>
      <c r="AK517" s="58"/>
      <c r="AL517" s="58"/>
      <c r="AM517" s="58"/>
      <c r="AN517" s="59"/>
      <c r="AO517" s="58"/>
      <c r="AP517" s="58"/>
      <c r="AQ517" s="58"/>
      <c r="AR517" s="58"/>
      <c r="AS517" s="58"/>
      <c r="AT517" s="59"/>
      <c r="AU517" s="58"/>
      <c r="AV517" s="58"/>
      <c r="AW517" s="58"/>
      <c r="AX517" s="58"/>
      <c r="AY517" s="58"/>
      <c r="AZ517" s="59"/>
      <c r="BA517" s="58"/>
      <c r="BB517" s="58"/>
      <c r="BC517" s="58"/>
      <c r="BD517" s="58"/>
      <c r="BE517" s="58"/>
      <c r="BF517" s="59"/>
      <c r="BG517" s="58"/>
      <c r="BH517" s="58"/>
      <c r="BI517" s="58"/>
      <c r="BJ517" s="58"/>
      <c r="BK517" s="58"/>
      <c r="BL517" s="59"/>
      <c r="BM517" s="58"/>
      <c r="BN517" s="58"/>
      <c r="BO517" s="58"/>
      <c r="BP517" s="58"/>
      <c r="BQ517" s="58"/>
      <c r="BR517" s="58"/>
      <c r="BS517" s="58"/>
      <c r="BT517" s="58"/>
      <c r="BU517" s="58"/>
      <c r="BV517" s="58"/>
      <c r="BW517" s="58"/>
      <c r="BX517" s="58"/>
      <c r="BY517" s="58"/>
      <c r="BZ517" s="58"/>
      <c r="CA517" s="58"/>
      <c r="CB517" s="58"/>
      <c r="CC517" s="58"/>
      <c r="CD517" s="58"/>
      <c r="CE517" s="58"/>
      <c r="CF517" s="58"/>
      <c r="CG517" s="58"/>
      <c r="CH517" s="58"/>
      <c r="CI517" s="58"/>
      <c r="CJ517" s="58"/>
      <c r="CK517" s="58"/>
      <c r="CL517" s="58"/>
      <c r="CM517" s="58"/>
      <c r="CN517" s="58"/>
      <c r="CO517" s="58"/>
      <c r="CP517" s="58"/>
      <c r="CQ517" s="58"/>
      <c r="CR517" s="58"/>
      <c r="CS517" s="58"/>
      <c r="CT517" s="58"/>
      <c r="CU517" s="58"/>
    </row>
    <row r="518" spans="1:99" ht="15" thickBot="1" x14ac:dyDescent="0.4">
      <c r="A518" s="14"/>
      <c r="B518" s="14"/>
      <c r="C518" s="14"/>
      <c r="D518" s="14"/>
      <c r="E518" s="14"/>
      <c r="F518" s="14"/>
      <c r="G518" s="14"/>
      <c r="H518" s="14"/>
      <c r="I518" s="14"/>
      <c r="J518" s="41"/>
      <c r="L518" s="58"/>
      <c r="M518" s="58"/>
      <c r="N518" s="58"/>
      <c r="O518" s="58"/>
      <c r="P518" s="269"/>
      <c r="Q518" s="58"/>
      <c r="R518" s="58"/>
      <c r="S518" s="58"/>
      <c r="T518" s="58"/>
      <c r="U518" s="58"/>
      <c r="V518" s="269"/>
      <c r="W518" s="58"/>
      <c r="X518" s="58"/>
      <c r="Y518" s="58"/>
      <c r="Z518" s="58"/>
      <c r="AA518" s="58"/>
      <c r="AB518" s="269"/>
      <c r="AC518" s="58"/>
      <c r="AD518" s="58"/>
      <c r="AE518" s="58"/>
      <c r="AF518" s="58"/>
      <c r="AG518" s="58"/>
      <c r="AH518" s="269"/>
      <c r="AI518" s="58"/>
      <c r="AJ518" s="58"/>
      <c r="AK518" s="58"/>
      <c r="AL518" s="58"/>
      <c r="AM518" s="58"/>
      <c r="AN518" s="59"/>
      <c r="AO518" s="58"/>
      <c r="AP518" s="58"/>
      <c r="AQ518" s="58"/>
      <c r="AR518" s="58"/>
      <c r="AS518" s="58"/>
      <c r="AT518" s="59"/>
      <c r="AU518" s="58"/>
      <c r="AV518" s="58"/>
      <c r="AW518" s="58"/>
      <c r="AX518" s="58"/>
      <c r="AY518" s="58"/>
      <c r="AZ518" s="59"/>
      <c r="BA518" s="58"/>
      <c r="BB518" s="58"/>
      <c r="BC518" s="58"/>
      <c r="BD518" s="58"/>
      <c r="BE518" s="58"/>
      <c r="BF518" s="59"/>
      <c r="BG518" s="58"/>
      <c r="BH518" s="58"/>
      <c r="BI518" s="58"/>
      <c r="BJ518" s="58"/>
      <c r="BK518" s="58"/>
      <c r="BL518" s="59"/>
      <c r="BM518" s="58"/>
      <c r="BN518" s="58"/>
      <c r="BO518" s="58"/>
      <c r="BP518" s="58"/>
      <c r="BQ518" s="58"/>
      <c r="BR518" s="58"/>
      <c r="BS518" s="58"/>
      <c r="BT518" s="58"/>
      <c r="BU518" s="58"/>
      <c r="BV518" s="58"/>
      <c r="BW518" s="58"/>
      <c r="BX518" s="58"/>
      <c r="BY518" s="58"/>
      <c r="BZ518" s="58"/>
      <c r="CA518" s="58"/>
      <c r="CB518" s="58"/>
      <c r="CC518" s="58"/>
      <c r="CD518" s="58"/>
      <c r="CE518" s="58"/>
      <c r="CF518" s="58"/>
      <c r="CG518" s="58"/>
      <c r="CH518" s="58"/>
      <c r="CI518" s="58"/>
      <c r="CJ518" s="58"/>
      <c r="CK518" s="58"/>
      <c r="CL518" s="58"/>
      <c r="CM518" s="58"/>
      <c r="CN518" s="58"/>
      <c r="CO518" s="58"/>
      <c r="CP518" s="58"/>
      <c r="CQ518" s="58"/>
      <c r="CR518" s="58"/>
      <c r="CS518" s="58"/>
      <c r="CT518" s="58"/>
      <c r="CU518" s="58"/>
    </row>
    <row r="519" spans="1:99" ht="15" thickBot="1" x14ac:dyDescent="0.4">
      <c r="A519" s="14"/>
      <c r="B519" s="14"/>
      <c r="C519" s="14"/>
      <c r="D519" s="14"/>
      <c r="E519" s="14"/>
      <c r="F519" s="14"/>
      <c r="G519" s="14"/>
      <c r="H519" s="14"/>
      <c r="I519" s="14"/>
      <c r="J519" s="41"/>
      <c r="L519" s="58"/>
      <c r="M519" s="58"/>
      <c r="N519" s="58"/>
      <c r="O519" s="58"/>
      <c r="P519" s="269"/>
      <c r="Q519" s="58"/>
      <c r="R519" s="58"/>
      <c r="S519" s="58"/>
      <c r="T519" s="58"/>
      <c r="U519" s="58"/>
      <c r="V519" s="269"/>
      <c r="W519" s="58"/>
      <c r="X519" s="58"/>
      <c r="Y519" s="58"/>
      <c r="Z519" s="58"/>
      <c r="AA519" s="58"/>
      <c r="AB519" s="269"/>
      <c r="AC519" s="58"/>
      <c r="AD519" s="58"/>
      <c r="AE519" s="58"/>
      <c r="AF519" s="58"/>
      <c r="AG519" s="58"/>
      <c r="AH519" s="269"/>
      <c r="AI519" s="58"/>
      <c r="AJ519" s="58"/>
      <c r="AK519" s="58"/>
      <c r="AL519" s="58"/>
      <c r="AM519" s="58"/>
      <c r="AN519" s="59"/>
      <c r="AO519" s="58"/>
      <c r="AP519" s="58"/>
      <c r="AQ519" s="58"/>
      <c r="AR519" s="58"/>
      <c r="AS519" s="58"/>
      <c r="AT519" s="59"/>
      <c r="AU519" s="58"/>
      <c r="AV519" s="58"/>
      <c r="AW519" s="58"/>
      <c r="AX519" s="58"/>
      <c r="AY519" s="58"/>
      <c r="AZ519" s="59"/>
      <c r="BA519" s="58"/>
      <c r="BB519" s="58"/>
      <c r="BC519" s="58"/>
      <c r="BD519" s="58"/>
      <c r="BE519" s="58"/>
      <c r="BF519" s="59"/>
      <c r="BG519" s="58"/>
      <c r="BH519" s="58"/>
      <c r="BI519" s="58"/>
      <c r="BJ519" s="58"/>
      <c r="BK519" s="58"/>
      <c r="BL519" s="59"/>
      <c r="BM519" s="58"/>
      <c r="BN519" s="58"/>
      <c r="BO519" s="58"/>
      <c r="BP519" s="58"/>
      <c r="BQ519" s="58"/>
      <c r="BR519" s="58"/>
      <c r="BS519" s="58"/>
      <c r="BT519" s="58"/>
      <c r="BU519" s="58"/>
      <c r="BV519" s="58"/>
      <c r="BW519" s="58"/>
      <c r="BX519" s="58"/>
      <c r="BY519" s="58"/>
      <c r="BZ519" s="58"/>
      <c r="CA519" s="58"/>
      <c r="CB519" s="58"/>
      <c r="CC519" s="58"/>
      <c r="CD519" s="58"/>
      <c r="CE519" s="58"/>
      <c r="CF519" s="58"/>
      <c r="CG519" s="58"/>
      <c r="CH519" s="58"/>
      <c r="CI519" s="58"/>
      <c r="CJ519" s="58"/>
      <c r="CK519" s="58"/>
      <c r="CL519" s="58"/>
      <c r="CM519" s="58"/>
      <c r="CN519" s="58"/>
      <c r="CO519" s="58"/>
      <c r="CP519" s="58"/>
      <c r="CQ519" s="58"/>
      <c r="CR519" s="58"/>
      <c r="CS519" s="58"/>
      <c r="CT519" s="58"/>
      <c r="CU519" s="58"/>
    </row>
    <row r="520" spans="1:99" ht="15" thickBot="1" x14ac:dyDescent="0.4">
      <c r="A520" s="14"/>
      <c r="B520" s="14"/>
      <c r="C520" s="14"/>
      <c r="D520" s="14"/>
      <c r="E520" s="14"/>
      <c r="F520" s="14"/>
      <c r="G520" s="14"/>
      <c r="H520" s="14"/>
      <c r="I520" s="14"/>
      <c r="J520" s="41"/>
      <c r="L520" s="58"/>
      <c r="M520" s="58"/>
      <c r="N520" s="58"/>
      <c r="O520" s="58"/>
      <c r="P520" s="269"/>
      <c r="Q520" s="58"/>
      <c r="R520" s="58"/>
      <c r="S520" s="58"/>
      <c r="T520" s="58"/>
      <c r="U520" s="58"/>
      <c r="V520" s="269"/>
      <c r="W520" s="58"/>
      <c r="X520" s="58"/>
      <c r="Y520" s="58"/>
      <c r="Z520" s="58"/>
      <c r="AA520" s="58"/>
      <c r="AB520" s="269"/>
      <c r="AC520" s="58"/>
      <c r="AD520" s="58"/>
      <c r="AE520" s="58"/>
      <c r="AF520" s="58"/>
      <c r="AG520" s="58"/>
      <c r="AH520" s="269"/>
      <c r="AI520" s="58"/>
      <c r="AJ520" s="58"/>
      <c r="AK520" s="58"/>
      <c r="AL520" s="58"/>
      <c r="AM520" s="58"/>
      <c r="AN520" s="59"/>
      <c r="AO520" s="58"/>
      <c r="AP520" s="58"/>
      <c r="AQ520" s="58"/>
      <c r="AR520" s="58"/>
      <c r="AS520" s="58"/>
      <c r="AT520" s="59"/>
      <c r="AU520" s="58"/>
      <c r="AV520" s="58"/>
      <c r="AW520" s="58"/>
      <c r="AX520" s="58"/>
      <c r="AY520" s="58"/>
      <c r="AZ520" s="59"/>
      <c r="BA520" s="58"/>
      <c r="BB520" s="58"/>
      <c r="BC520" s="58"/>
      <c r="BD520" s="58"/>
      <c r="BE520" s="58"/>
      <c r="BF520" s="59"/>
      <c r="BG520" s="58"/>
      <c r="BH520" s="58"/>
      <c r="BI520" s="58"/>
      <c r="BJ520" s="58"/>
      <c r="BK520" s="58"/>
      <c r="BL520" s="59"/>
      <c r="BM520" s="58"/>
      <c r="BN520" s="58"/>
      <c r="BO520" s="58"/>
      <c r="BP520" s="58"/>
      <c r="BQ520" s="58"/>
      <c r="BR520" s="58"/>
      <c r="BS520" s="58"/>
      <c r="BT520" s="58"/>
      <c r="BU520" s="58"/>
      <c r="BV520" s="58"/>
      <c r="BW520" s="58"/>
      <c r="BX520" s="58"/>
      <c r="BY520" s="58"/>
      <c r="BZ520" s="58"/>
      <c r="CA520" s="58"/>
      <c r="CB520" s="58"/>
      <c r="CC520" s="58"/>
      <c r="CD520" s="58"/>
      <c r="CE520" s="58"/>
      <c r="CF520" s="58"/>
      <c r="CG520" s="58"/>
      <c r="CH520" s="58"/>
      <c r="CI520" s="58"/>
      <c r="CJ520" s="58"/>
      <c r="CK520" s="58"/>
      <c r="CL520" s="58"/>
      <c r="CM520" s="58"/>
      <c r="CN520" s="58"/>
      <c r="CO520" s="58"/>
      <c r="CP520" s="58"/>
      <c r="CQ520" s="58"/>
      <c r="CR520" s="58"/>
      <c r="CS520" s="58"/>
      <c r="CT520" s="58"/>
      <c r="CU520" s="58"/>
    </row>
    <row r="521" spans="1:99" ht="15" thickBot="1" x14ac:dyDescent="0.4">
      <c r="A521" s="14"/>
      <c r="B521" s="14"/>
      <c r="C521" s="14"/>
      <c r="D521" s="14"/>
      <c r="E521" s="14"/>
      <c r="F521" s="14"/>
      <c r="G521" s="14"/>
      <c r="H521" s="14"/>
      <c r="I521" s="14"/>
      <c r="J521" s="41"/>
      <c r="L521" s="58"/>
      <c r="M521" s="58"/>
      <c r="N521" s="58"/>
      <c r="O521" s="58"/>
      <c r="P521" s="269"/>
      <c r="Q521" s="58"/>
      <c r="R521" s="58"/>
      <c r="S521" s="58"/>
      <c r="T521" s="58"/>
      <c r="U521" s="58"/>
      <c r="V521" s="269"/>
      <c r="W521" s="58"/>
      <c r="X521" s="58"/>
      <c r="Y521" s="58"/>
      <c r="Z521" s="58"/>
      <c r="AA521" s="58"/>
      <c r="AB521" s="269"/>
      <c r="AC521" s="58"/>
      <c r="AD521" s="58"/>
      <c r="AE521" s="58"/>
      <c r="AF521" s="58"/>
      <c r="AG521" s="58"/>
      <c r="AH521" s="269"/>
      <c r="AI521" s="58"/>
      <c r="AJ521" s="58"/>
      <c r="AK521" s="58"/>
      <c r="AL521" s="58"/>
      <c r="AM521" s="58"/>
      <c r="AN521" s="59"/>
      <c r="AO521" s="58"/>
      <c r="AP521" s="58"/>
      <c r="AQ521" s="58"/>
      <c r="AR521" s="58"/>
      <c r="AS521" s="58"/>
      <c r="AT521" s="59"/>
      <c r="AU521" s="58"/>
      <c r="AV521" s="58"/>
      <c r="AW521" s="58"/>
      <c r="AX521" s="58"/>
      <c r="AY521" s="58"/>
      <c r="AZ521" s="59"/>
      <c r="BA521" s="58"/>
      <c r="BB521" s="58"/>
      <c r="BC521" s="58"/>
      <c r="BD521" s="58"/>
      <c r="BE521" s="58"/>
      <c r="BF521" s="59"/>
      <c r="BG521" s="58"/>
      <c r="BH521" s="58"/>
      <c r="BI521" s="58"/>
      <c r="BJ521" s="58"/>
      <c r="BK521" s="58"/>
      <c r="BL521" s="59"/>
      <c r="BM521" s="58"/>
      <c r="BN521" s="58"/>
      <c r="BO521" s="58"/>
      <c r="BP521" s="58"/>
      <c r="BQ521" s="58"/>
      <c r="BR521" s="58"/>
      <c r="BS521" s="58"/>
      <c r="BT521" s="58"/>
      <c r="BU521" s="58"/>
      <c r="BV521" s="58"/>
      <c r="BW521" s="58"/>
      <c r="BX521" s="58"/>
      <c r="BY521" s="58"/>
      <c r="BZ521" s="58"/>
      <c r="CA521" s="58"/>
      <c r="CB521" s="58"/>
      <c r="CC521" s="58"/>
      <c r="CD521" s="58"/>
      <c r="CE521" s="58"/>
      <c r="CF521" s="58"/>
      <c r="CG521" s="58"/>
      <c r="CH521" s="58"/>
      <c r="CI521" s="58"/>
      <c r="CJ521" s="58"/>
      <c r="CK521" s="58"/>
      <c r="CL521" s="58"/>
      <c r="CM521" s="58"/>
      <c r="CN521" s="58"/>
      <c r="CO521" s="58"/>
      <c r="CP521" s="58"/>
      <c r="CQ521" s="58"/>
      <c r="CR521" s="58"/>
      <c r="CS521" s="58"/>
      <c r="CT521" s="58"/>
      <c r="CU521" s="58"/>
    </row>
    <row r="522" spans="1:99" ht="15" thickBot="1" x14ac:dyDescent="0.4">
      <c r="A522" s="14"/>
      <c r="B522" s="14"/>
      <c r="C522" s="14"/>
      <c r="D522" s="14"/>
      <c r="E522" s="14"/>
      <c r="F522" s="14"/>
      <c r="G522" s="14"/>
      <c r="H522" s="14"/>
      <c r="I522" s="14"/>
      <c r="J522" s="41"/>
      <c r="L522" s="58"/>
      <c r="M522" s="58"/>
      <c r="N522" s="58"/>
      <c r="O522" s="58"/>
      <c r="P522" s="269"/>
      <c r="Q522" s="58"/>
      <c r="R522" s="58"/>
      <c r="S522" s="58"/>
      <c r="T522" s="58"/>
      <c r="U522" s="58"/>
      <c r="V522" s="269"/>
      <c r="W522" s="58"/>
      <c r="X522" s="58"/>
      <c r="Y522" s="58"/>
      <c r="Z522" s="58"/>
      <c r="AA522" s="58"/>
      <c r="AB522" s="269"/>
      <c r="AC522" s="58"/>
      <c r="AD522" s="58"/>
      <c r="AE522" s="58"/>
      <c r="AF522" s="58"/>
      <c r="AG522" s="58"/>
      <c r="AH522" s="269"/>
      <c r="AI522" s="58"/>
      <c r="AJ522" s="58"/>
      <c r="AK522" s="58"/>
      <c r="AL522" s="58"/>
      <c r="AM522" s="58"/>
      <c r="AN522" s="59"/>
      <c r="AO522" s="58"/>
      <c r="AP522" s="58"/>
      <c r="AQ522" s="58"/>
      <c r="AR522" s="58"/>
      <c r="AS522" s="58"/>
      <c r="AT522" s="59"/>
      <c r="AU522" s="58"/>
      <c r="AV522" s="58"/>
      <c r="AW522" s="58"/>
      <c r="AX522" s="58"/>
      <c r="AY522" s="58"/>
      <c r="AZ522" s="59"/>
      <c r="BA522" s="58"/>
      <c r="BB522" s="58"/>
      <c r="BC522" s="58"/>
      <c r="BD522" s="58"/>
      <c r="BE522" s="58"/>
      <c r="BF522" s="59"/>
      <c r="BG522" s="58"/>
      <c r="BH522" s="58"/>
      <c r="BI522" s="58"/>
      <c r="BJ522" s="58"/>
      <c r="BK522" s="58"/>
      <c r="BL522" s="59"/>
      <c r="BM522" s="58"/>
      <c r="BN522" s="58"/>
      <c r="BO522" s="58"/>
      <c r="BP522" s="58"/>
      <c r="BQ522" s="58"/>
      <c r="BR522" s="58"/>
      <c r="BS522" s="58"/>
      <c r="BT522" s="58"/>
      <c r="BU522" s="58"/>
      <c r="BV522" s="58"/>
      <c r="BW522" s="58"/>
      <c r="BX522" s="58"/>
      <c r="BY522" s="58"/>
      <c r="BZ522" s="58"/>
      <c r="CA522" s="58"/>
      <c r="CB522" s="58"/>
      <c r="CC522" s="58"/>
      <c r="CD522" s="58"/>
      <c r="CE522" s="58"/>
      <c r="CF522" s="58"/>
      <c r="CG522" s="58"/>
      <c r="CH522" s="58"/>
      <c r="CI522" s="58"/>
      <c r="CJ522" s="58"/>
      <c r="CK522" s="58"/>
      <c r="CL522" s="58"/>
      <c r="CM522" s="58"/>
      <c r="CN522" s="58"/>
      <c r="CO522" s="58"/>
      <c r="CP522" s="58"/>
      <c r="CQ522" s="58"/>
      <c r="CR522" s="58"/>
      <c r="CS522" s="58"/>
      <c r="CT522" s="58"/>
      <c r="CU522" s="58"/>
    </row>
    <row r="523" spans="1:99" ht="15" thickBot="1" x14ac:dyDescent="0.4">
      <c r="A523" s="14"/>
      <c r="B523" s="14"/>
      <c r="C523" s="14"/>
      <c r="D523" s="14"/>
      <c r="E523" s="14"/>
      <c r="F523" s="14"/>
      <c r="G523" s="14"/>
      <c r="H523" s="14"/>
      <c r="I523" s="14"/>
      <c r="J523" s="41"/>
      <c r="L523" s="58"/>
      <c r="M523" s="58"/>
      <c r="N523" s="58"/>
      <c r="O523" s="58"/>
      <c r="P523" s="269"/>
      <c r="Q523" s="58"/>
      <c r="R523" s="58"/>
      <c r="S523" s="58"/>
      <c r="T523" s="58"/>
      <c r="U523" s="58"/>
      <c r="V523" s="269"/>
      <c r="W523" s="58"/>
      <c r="X523" s="58"/>
      <c r="Y523" s="58"/>
      <c r="Z523" s="58"/>
      <c r="AA523" s="58"/>
      <c r="AB523" s="269"/>
      <c r="AC523" s="58"/>
      <c r="AD523" s="58"/>
      <c r="AE523" s="58"/>
      <c r="AF523" s="58"/>
      <c r="AG523" s="58"/>
      <c r="AH523" s="269"/>
      <c r="AI523" s="58"/>
      <c r="AJ523" s="58"/>
      <c r="AK523" s="58"/>
      <c r="AL523" s="58"/>
      <c r="AM523" s="58"/>
      <c r="AN523" s="59"/>
      <c r="AO523" s="58"/>
      <c r="AP523" s="58"/>
      <c r="AQ523" s="58"/>
      <c r="AR523" s="58"/>
      <c r="AS523" s="58"/>
      <c r="AT523" s="59"/>
      <c r="AU523" s="58"/>
      <c r="AV523" s="58"/>
      <c r="AW523" s="58"/>
      <c r="AX523" s="58"/>
      <c r="AY523" s="58"/>
      <c r="AZ523" s="59"/>
      <c r="BA523" s="58"/>
      <c r="BB523" s="58"/>
      <c r="BC523" s="58"/>
      <c r="BD523" s="58"/>
      <c r="BE523" s="58"/>
      <c r="BF523" s="59"/>
      <c r="BG523" s="58"/>
      <c r="BH523" s="58"/>
      <c r="BI523" s="58"/>
      <c r="BJ523" s="58"/>
      <c r="BK523" s="58"/>
      <c r="BL523" s="59"/>
      <c r="BM523" s="58"/>
      <c r="BN523" s="58"/>
      <c r="BO523" s="58"/>
      <c r="BP523" s="58"/>
      <c r="BQ523" s="58"/>
      <c r="BR523" s="58"/>
      <c r="BS523" s="58"/>
      <c r="BT523" s="58"/>
      <c r="BU523" s="58"/>
      <c r="BV523" s="58"/>
      <c r="BW523" s="58"/>
      <c r="BX523" s="58"/>
      <c r="BY523" s="58"/>
      <c r="BZ523" s="58"/>
      <c r="CA523" s="58"/>
      <c r="CB523" s="58"/>
      <c r="CC523" s="58"/>
      <c r="CD523" s="58"/>
      <c r="CE523" s="58"/>
      <c r="CF523" s="58"/>
      <c r="CG523" s="58"/>
      <c r="CH523" s="58"/>
      <c r="CI523" s="58"/>
      <c r="CJ523" s="58"/>
      <c r="CK523" s="58"/>
      <c r="CL523" s="58"/>
      <c r="CM523" s="58"/>
      <c r="CN523" s="58"/>
      <c r="CO523" s="58"/>
      <c r="CP523" s="58"/>
      <c r="CQ523" s="58"/>
      <c r="CR523" s="58"/>
      <c r="CS523" s="58"/>
      <c r="CT523" s="58"/>
      <c r="CU523" s="58"/>
    </row>
    <row r="524" spans="1:99" ht="15" thickBot="1" x14ac:dyDescent="0.4">
      <c r="A524" s="14"/>
      <c r="B524" s="14"/>
      <c r="C524" s="14"/>
      <c r="D524" s="14"/>
      <c r="E524" s="14"/>
      <c r="F524" s="14"/>
      <c r="G524" s="14"/>
      <c r="H524" s="14"/>
      <c r="I524" s="14"/>
      <c r="J524" s="41"/>
      <c r="L524" s="58"/>
      <c r="M524" s="58"/>
      <c r="N524" s="58"/>
      <c r="O524" s="58"/>
      <c r="P524" s="269"/>
      <c r="Q524" s="58"/>
      <c r="R524" s="58"/>
      <c r="S524" s="58"/>
      <c r="T524" s="58"/>
      <c r="U524" s="58"/>
      <c r="V524" s="269"/>
      <c r="W524" s="58"/>
      <c r="X524" s="58"/>
      <c r="Y524" s="58"/>
      <c r="Z524" s="58"/>
      <c r="AA524" s="58"/>
      <c r="AB524" s="269"/>
      <c r="AC524" s="58"/>
      <c r="AD524" s="58"/>
      <c r="AE524" s="58"/>
      <c r="AF524" s="58"/>
      <c r="AG524" s="58"/>
      <c r="AH524" s="269"/>
      <c r="AI524" s="58"/>
      <c r="AJ524" s="58"/>
      <c r="AK524" s="58"/>
      <c r="AL524" s="58"/>
      <c r="AM524" s="58"/>
      <c r="AN524" s="59"/>
      <c r="AO524" s="58"/>
      <c r="AP524" s="58"/>
      <c r="AQ524" s="58"/>
      <c r="AR524" s="58"/>
      <c r="AS524" s="58"/>
      <c r="AT524" s="59"/>
      <c r="AU524" s="58"/>
      <c r="AV524" s="58"/>
      <c r="AW524" s="58"/>
      <c r="AX524" s="58"/>
      <c r="AY524" s="58"/>
      <c r="AZ524" s="59"/>
      <c r="BA524" s="58"/>
      <c r="BB524" s="58"/>
      <c r="BC524" s="58"/>
      <c r="BD524" s="58"/>
      <c r="BE524" s="58"/>
      <c r="BF524" s="59"/>
      <c r="BG524" s="58"/>
      <c r="BH524" s="58"/>
      <c r="BI524" s="58"/>
      <c r="BJ524" s="58"/>
      <c r="BK524" s="58"/>
      <c r="BL524" s="59"/>
      <c r="BM524" s="58"/>
      <c r="BN524" s="58"/>
      <c r="BO524" s="58"/>
      <c r="BP524" s="58"/>
      <c r="BQ524" s="58"/>
      <c r="BR524" s="58"/>
      <c r="BS524" s="58"/>
      <c r="BT524" s="58"/>
      <c r="BU524" s="58"/>
      <c r="BV524" s="58"/>
      <c r="BW524" s="58"/>
      <c r="BX524" s="58"/>
      <c r="BY524" s="58"/>
      <c r="BZ524" s="58"/>
      <c r="CA524" s="58"/>
      <c r="CB524" s="58"/>
      <c r="CC524" s="58"/>
      <c r="CD524" s="58"/>
      <c r="CE524" s="58"/>
      <c r="CF524" s="58"/>
      <c r="CG524" s="58"/>
      <c r="CH524" s="58"/>
      <c r="CI524" s="58"/>
      <c r="CJ524" s="58"/>
      <c r="CK524" s="58"/>
      <c r="CL524" s="58"/>
      <c r="CM524" s="58"/>
      <c r="CN524" s="58"/>
      <c r="CO524" s="58"/>
      <c r="CP524" s="58"/>
      <c r="CQ524" s="58"/>
      <c r="CR524" s="58"/>
      <c r="CS524" s="58"/>
      <c r="CT524" s="58"/>
      <c r="CU524" s="58"/>
    </row>
    <row r="525" spans="1:99" ht="15" thickBot="1" x14ac:dyDescent="0.4">
      <c r="A525" s="14"/>
      <c r="B525" s="14"/>
      <c r="C525" s="14"/>
      <c r="D525" s="14"/>
      <c r="E525" s="14"/>
      <c r="F525" s="14"/>
      <c r="G525" s="14"/>
      <c r="H525" s="14"/>
      <c r="I525" s="14"/>
      <c r="J525" s="41"/>
      <c r="L525" s="58"/>
      <c r="M525" s="58"/>
      <c r="N525" s="58"/>
      <c r="O525" s="58"/>
      <c r="P525" s="269"/>
      <c r="Q525" s="58"/>
      <c r="R525" s="58"/>
      <c r="S525" s="58"/>
      <c r="T525" s="58"/>
      <c r="U525" s="58"/>
      <c r="V525" s="269"/>
      <c r="W525" s="58"/>
      <c r="X525" s="58"/>
      <c r="Y525" s="58"/>
      <c r="Z525" s="58"/>
      <c r="AA525" s="58"/>
      <c r="AB525" s="269"/>
      <c r="AC525" s="58"/>
      <c r="AD525" s="58"/>
      <c r="AE525" s="58"/>
      <c r="AF525" s="58"/>
      <c r="AG525" s="58"/>
      <c r="AH525" s="269"/>
      <c r="AI525" s="58"/>
      <c r="AJ525" s="58"/>
      <c r="AK525" s="58"/>
      <c r="AL525" s="58"/>
      <c r="AM525" s="58"/>
      <c r="AN525" s="59"/>
      <c r="AO525" s="58"/>
      <c r="AP525" s="58"/>
      <c r="AQ525" s="58"/>
      <c r="AR525" s="58"/>
      <c r="AS525" s="58"/>
      <c r="AT525" s="59"/>
      <c r="AU525" s="58"/>
      <c r="AV525" s="58"/>
      <c r="AW525" s="58"/>
      <c r="AX525" s="58"/>
      <c r="AY525" s="58"/>
      <c r="AZ525" s="59"/>
      <c r="BA525" s="58"/>
      <c r="BB525" s="58"/>
      <c r="BC525" s="58"/>
      <c r="BD525" s="58"/>
      <c r="BE525" s="58"/>
      <c r="BF525" s="59"/>
      <c r="BG525" s="58"/>
      <c r="BH525" s="58"/>
      <c r="BI525" s="58"/>
      <c r="BJ525" s="58"/>
      <c r="BK525" s="58"/>
      <c r="BL525" s="59"/>
      <c r="BM525" s="58"/>
      <c r="BN525" s="58"/>
      <c r="BO525" s="58"/>
      <c r="BP525" s="58"/>
      <c r="BQ525" s="58"/>
      <c r="BR525" s="58"/>
      <c r="BS525" s="58"/>
      <c r="BT525" s="58"/>
      <c r="BU525" s="58"/>
      <c r="BV525" s="58"/>
      <c r="BW525" s="58"/>
      <c r="BX525" s="58"/>
      <c r="BY525" s="58"/>
      <c r="BZ525" s="58"/>
      <c r="CA525" s="58"/>
      <c r="CB525" s="58"/>
      <c r="CC525" s="58"/>
      <c r="CD525" s="58"/>
      <c r="CE525" s="58"/>
      <c r="CF525" s="58"/>
      <c r="CG525" s="58"/>
      <c r="CH525" s="58"/>
      <c r="CI525" s="58"/>
      <c r="CJ525" s="58"/>
      <c r="CK525" s="58"/>
      <c r="CL525" s="58"/>
      <c r="CM525" s="58"/>
      <c r="CN525" s="58"/>
      <c r="CO525" s="58"/>
      <c r="CP525" s="58"/>
      <c r="CQ525" s="58"/>
      <c r="CR525" s="58"/>
      <c r="CS525" s="58"/>
      <c r="CT525" s="58"/>
      <c r="CU525" s="58"/>
    </row>
    <row r="526" spans="1:99" ht="15" thickBot="1" x14ac:dyDescent="0.4">
      <c r="A526" s="14"/>
      <c r="B526" s="14"/>
      <c r="C526" s="14"/>
      <c r="D526" s="14"/>
      <c r="E526" s="14"/>
      <c r="F526" s="14"/>
      <c r="G526" s="14"/>
      <c r="H526" s="14"/>
      <c r="I526" s="14"/>
      <c r="J526" s="41"/>
      <c r="L526" s="58"/>
      <c r="M526" s="58"/>
      <c r="N526" s="58"/>
      <c r="O526" s="58"/>
      <c r="P526" s="269"/>
      <c r="Q526" s="58"/>
      <c r="R526" s="58"/>
      <c r="S526" s="58"/>
      <c r="T526" s="58"/>
      <c r="U526" s="58"/>
      <c r="V526" s="269"/>
      <c r="W526" s="58"/>
      <c r="X526" s="58"/>
      <c r="Y526" s="58"/>
      <c r="Z526" s="58"/>
      <c r="AA526" s="58"/>
      <c r="AB526" s="269"/>
      <c r="AC526" s="58"/>
      <c r="AD526" s="58"/>
      <c r="AE526" s="58"/>
      <c r="AF526" s="58"/>
      <c r="AG526" s="58"/>
      <c r="AH526" s="269"/>
      <c r="AI526" s="58"/>
      <c r="AJ526" s="58"/>
      <c r="AK526" s="58"/>
      <c r="AL526" s="58"/>
      <c r="AM526" s="58"/>
      <c r="AN526" s="59"/>
      <c r="AO526" s="58"/>
      <c r="AP526" s="58"/>
      <c r="AQ526" s="58"/>
      <c r="AR526" s="58"/>
      <c r="AS526" s="58"/>
      <c r="AT526" s="59"/>
      <c r="AU526" s="58"/>
      <c r="AV526" s="58"/>
      <c r="AW526" s="58"/>
      <c r="AX526" s="58"/>
      <c r="AY526" s="58"/>
      <c r="AZ526" s="59"/>
      <c r="BA526" s="58"/>
      <c r="BB526" s="58"/>
      <c r="BC526" s="58"/>
      <c r="BD526" s="58"/>
      <c r="BE526" s="58"/>
      <c r="BF526" s="59"/>
      <c r="BG526" s="58"/>
      <c r="BH526" s="58"/>
      <c r="BI526" s="58"/>
      <c r="BJ526" s="58"/>
      <c r="BK526" s="58"/>
      <c r="BL526" s="59"/>
      <c r="BM526" s="58"/>
      <c r="BN526" s="58"/>
      <c r="BO526" s="58"/>
      <c r="BP526" s="58"/>
      <c r="BQ526" s="58"/>
      <c r="BR526" s="58"/>
      <c r="BS526" s="58"/>
      <c r="BT526" s="58"/>
      <c r="BU526" s="58"/>
      <c r="BV526" s="58"/>
      <c r="BW526" s="58"/>
      <c r="BX526" s="58"/>
      <c r="BY526" s="58"/>
      <c r="BZ526" s="58"/>
      <c r="CA526" s="58"/>
      <c r="CB526" s="58"/>
      <c r="CC526" s="58"/>
      <c r="CD526" s="58"/>
      <c r="CE526" s="58"/>
      <c r="CF526" s="58"/>
      <c r="CG526" s="58"/>
      <c r="CH526" s="58"/>
      <c r="CI526" s="58"/>
      <c r="CJ526" s="58"/>
      <c r="CK526" s="58"/>
      <c r="CL526" s="58"/>
      <c r="CM526" s="58"/>
      <c r="CN526" s="58"/>
      <c r="CO526" s="58"/>
      <c r="CP526" s="58"/>
      <c r="CQ526" s="58"/>
      <c r="CR526" s="58"/>
      <c r="CS526" s="58"/>
      <c r="CT526" s="58"/>
      <c r="CU526" s="58"/>
    </row>
    <row r="527" spans="1:99" ht="15" thickBot="1" x14ac:dyDescent="0.4">
      <c r="A527" s="14"/>
      <c r="B527" s="14"/>
      <c r="C527" s="14"/>
      <c r="D527" s="14"/>
      <c r="E527" s="14"/>
      <c r="F527" s="14"/>
      <c r="G527" s="14"/>
      <c r="H527" s="14"/>
      <c r="I527" s="14"/>
      <c r="J527" s="41"/>
      <c r="L527" s="58"/>
      <c r="M527" s="58"/>
      <c r="N527" s="58"/>
      <c r="O527" s="58"/>
      <c r="P527" s="269"/>
      <c r="Q527" s="58"/>
      <c r="R527" s="58"/>
      <c r="S527" s="58"/>
      <c r="T527" s="58"/>
      <c r="U527" s="58"/>
      <c r="V527" s="269"/>
      <c r="W527" s="58"/>
      <c r="X527" s="58"/>
      <c r="Y527" s="58"/>
      <c r="Z527" s="58"/>
      <c r="AA527" s="58"/>
      <c r="AB527" s="269"/>
      <c r="AC527" s="58"/>
      <c r="AD527" s="58"/>
      <c r="AE527" s="58"/>
      <c r="AF527" s="58"/>
      <c r="AG527" s="58"/>
      <c r="AH527" s="269"/>
      <c r="AI527" s="58"/>
      <c r="AJ527" s="58"/>
      <c r="AK527" s="58"/>
      <c r="AL527" s="58"/>
      <c r="AM527" s="58"/>
      <c r="AN527" s="59"/>
      <c r="AO527" s="58"/>
      <c r="AP527" s="58"/>
      <c r="AQ527" s="58"/>
      <c r="AR527" s="58"/>
      <c r="AS527" s="58"/>
      <c r="AT527" s="59"/>
      <c r="AU527" s="58"/>
      <c r="AV527" s="58"/>
      <c r="AW527" s="58"/>
      <c r="AX527" s="58"/>
      <c r="AY527" s="58"/>
      <c r="AZ527" s="59"/>
      <c r="BA527" s="58"/>
      <c r="BB527" s="58"/>
      <c r="BC527" s="58"/>
      <c r="BD527" s="58"/>
      <c r="BE527" s="58"/>
      <c r="BF527" s="59"/>
      <c r="BG527" s="58"/>
      <c r="BH527" s="58"/>
      <c r="BI527" s="58"/>
      <c r="BJ527" s="58"/>
      <c r="BK527" s="58"/>
      <c r="BL527" s="59"/>
      <c r="BM527" s="58"/>
      <c r="BN527" s="58"/>
      <c r="BO527" s="58"/>
      <c r="BP527" s="58"/>
      <c r="BQ527" s="58"/>
      <c r="BR527" s="58"/>
      <c r="BS527" s="58"/>
      <c r="BT527" s="58"/>
      <c r="BU527" s="58"/>
      <c r="BV527" s="58"/>
      <c r="BW527" s="58"/>
      <c r="BX527" s="58"/>
      <c r="BY527" s="58"/>
      <c r="BZ527" s="58"/>
      <c r="CA527" s="58"/>
      <c r="CB527" s="58"/>
      <c r="CC527" s="58"/>
      <c r="CD527" s="58"/>
      <c r="CE527" s="58"/>
      <c r="CF527" s="58"/>
      <c r="CG527" s="58"/>
      <c r="CH527" s="58"/>
      <c r="CI527" s="58"/>
      <c r="CJ527" s="58"/>
      <c r="CK527" s="58"/>
      <c r="CL527" s="58"/>
      <c r="CM527" s="58"/>
      <c r="CN527" s="58"/>
      <c r="CO527" s="58"/>
      <c r="CP527" s="58"/>
      <c r="CQ527" s="58"/>
      <c r="CR527" s="58"/>
      <c r="CS527" s="58"/>
      <c r="CT527" s="58"/>
      <c r="CU527" s="58"/>
    </row>
    <row r="528" spans="1:99" ht="15" thickBot="1" x14ac:dyDescent="0.4">
      <c r="A528" s="14"/>
      <c r="B528" s="14"/>
      <c r="C528" s="14"/>
      <c r="D528" s="14"/>
      <c r="E528" s="14"/>
      <c r="F528" s="14"/>
      <c r="G528" s="14"/>
      <c r="H528" s="14"/>
      <c r="I528" s="14"/>
      <c r="J528" s="41"/>
      <c r="L528" s="58"/>
      <c r="M528" s="58"/>
      <c r="N528" s="58"/>
      <c r="O528" s="58"/>
      <c r="P528" s="269"/>
      <c r="Q528" s="58"/>
      <c r="R528" s="58"/>
      <c r="S528" s="58"/>
      <c r="T528" s="58"/>
      <c r="U528" s="58"/>
      <c r="V528" s="269"/>
      <c r="W528" s="58"/>
      <c r="X528" s="58"/>
      <c r="Y528" s="58"/>
      <c r="Z528" s="58"/>
      <c r="AA528" s="58"/>
      <c r="AB528" s="269"/>
      <c r="AC528" s="58"/>
      <c r="AD528" s="58"/>
      <c r="AE528" s="58"/>
      <c r="AF528" s="58"/>
      <c r="AG528" s="58"/>
      <c r="AH528" s="269"/>
      <c r="AI528" s="58"/>
      <c r="AJ528" s="58"/>
      <c r="AK528" s="58"/>
      <c r="AL528" s="58"/>
      <c r="AM528" s="58"/>
      <c r="AN528" s="59"/>
      <c r="AO528" s="58"/>
      <c r="AP528" s="58"/>
      <c r="AQ528" s="58"/>
      <c r="AR528" s="58"/>
      <c r="AS528" s="58"/>
      <c r="AT528" s="59"/>
      <c r="AU528" s="58"/>
      <c r="AV528" s="58"/>
      <c r="AW528" s="58"/>
      <c r="AX528" s="58"/>
      <c r="AY528" s="58"/>
      <c r="AZ528" s="59"/>
      <c r="BA528" s="58"/>
      <c r="BB528" s="58"/>
      <c r="BC528" s="58"/>
      <c r="BD528" s="58"/>
      <c r="BE528" s="58"/>
      <c r="BF528" s="59"/>
      <c r="BG528" s="58"/>
      <c r="BH528" s="58"/>
      <c r="BI528" s="58"/>
      <c r="BJ528" s="58"/>
      <c r="BK528" s="58"/>
      <c r="BL528" s="59"/>
      <c r="BM528" s="58"/>
      <c r="BN528" s="58"/>
      <c r="BO528" s="58"/>
      <c r="BP528" s="58"/>
      <c r="BQ528" s="58"/>
      <c r="BR528" s="58"/>
      <c r="BS528" s="58"/>
      <c r="BT528" s="58"/>
      <c r="BU528" s="58"/>
      <c r="BV528" s="58"/>
      <c r="BW528" s="58"/>
      <c r="BX528" s="58"/>
      <c r="BY528" s="58"/>
      <c r="BZ528" s="58"/>
      <c r="CA528" s="58"/>
      <c r="CB528" s="58"/>
      <c r="CC528" s="58"/>
      <c r="CD528" s="58"/>
      <c r="CE528" s="58"/>
      <c r="CF528" s="58"/>
      <c r="CG528" s="58"/>
      <c r="CH528" s="58"/>
      <c r="CI528" s="58"/>
      <c r="CJ528" s="58"/>
      <c r="CK528" s="58"/>
      <c r="CL528" s="58"/>
      <c r="CM528" s="58"/>
      <c r="CN528" s="58"/>
      <c r="CO528" s="58"/>
      <c r="CP528" s="58"/>
      <c r="CQ528" s="58"/>
      <c r="CR528" s="58"/>
      <c r="CS528" s="58"/>
      <c r="CT528" s="58"/>
      <c r="CU528" s="58"/>
    </row>
    <row r="529" spans="1:99" ht="15" thickBot="1" x14ac:dyDescent="0.4">
      <c r="A529" s="14"/>
      <c r="B529" s="14"/>
      <c r="C529" s="14"/>
      <c r="D529" s="14"/>
      <c r="E529" s="14"/>
      <c r="F529" s="14"/>
      <c r="G529" s="14"/>
      <c r="H529" s="14"/>
      <c r="I529" s="14"/>
      <c r="J529" s="41"/>
      <c r="L529" s="58"/>
      <c r="M529" s="58"/>
      <c r="N529" s="58"/>
      <c r="O529" s="58"/>
      <c r="P529" s="269"/>
      <c r="Q529" s="58"/>
      <c r="R529" s="58"/>
      <c r="S529" s="58"/>
      <c r="T529" s="58"/>
      <c r="U529" s="58"/>
      <c r="V529" s="269"/>
      <c r="W529" s="58"/>
      <c r="X529" s="58"/>
      <c r="Y529" s="58"/>
      <c r="Z529" s="58"/>
      <c r="AA529" s="58"/>
      <c r="AB529" s="269"/>
      <c r="AC529" s="58"/>
      <c r="AD529" s="58"/>
      <c r="AE529" s="58"/>
      <c r="AF529" s="58"/>
      <c r="AG529" s="58"/>
      <c r="AH529" s="269"/>
      <c r="AI529" s="58"/>
      <c r="AJ529" s="58"/>
      <c r="AK529" s="58"/>
      <c r="AL529" s="58"/>
      <c r="AM529" s="58"/>
      <c r="AN529" s="59"/>
      <c r="AO529" s="58"/>
      <c r="AP529" s="58"/>
      <c r="AQ529" s="58"/>
      <c r="AR529" s="58"/>
      <c r="AS529" s="58"/>
      <c r="AT529" s="59"/>
      <c r="AU529" s="58"/>
      <c r="AV529" s="58"/>
      <c r="AW529" s="58"/>
      <c r="AX529" s="58"/>
      <c r="AY529" s="58"/>
      <c r="AZ529" s="59"/>
      <c r="BA529" s="58"/>
      <c r="BB529" s="58"/>
      <c r="BC529" s="58"/>
      <c r="BD529" s="58"/>
      <c r="BE529" s="58"/>
      <c r="BF529" s="59"/>
      <c r="BG529" s="58"/>
      <c r="BH529" s="58"/>
      <c r="BI529" s="58"/>
      <c r="BJ529" s="58"/>
      <c r="BK529" s="58"/>
      <c r="BL529" s="59"/>
      <c r="BM529" s="58"/>
      <c r="BN529" s="58"/>
      <c r="BO529" s="58"/>
      <c r="BP529" s="58"/>
      <c r="BQ529" s="58"/>
      <c r="BR529" s="58"/>
      <c r="BS529" s="58"/>
      <c r="BT529" s="58"/>
      <c r="BU529" s="58"/>
      <c r="BV529" s="58"/>
      <c r="BW529" s="58"/>
      <c r="BX529" s="58"/>
      <c r="BY529" s="58"/>
      <c r="BZ529" s="58"/>
      <c r="CA529" s="58"/>
      <c r="CB529" s="58"/>
      <c r="CC529" s="58"/>
      <c r="CD529" s="58"/>
      <c r="CE529" s="58"/>
      <c r="CF529" s="58"/>
      <c r="CG529" s="58"/>
      <c r="CH529" s="58"/>
      <c r="CI529" s="58"/>
      <c r="CJ529" s="58"/>
      <c r="CK529" s="58"/>
      <c r="CL529" s="58"/>
      <c r="CM529" s="58"/>
      <c r="CN529" s="58"/>
      <c r="CO529" s="58"/>
      <c r="CP529" s="58"/>
      <c r="CQ529" s="58"/>
      <c r="CR529" s="58"/>
      <c r="CS529" s="58"/>
      <c r="CT529" s="58"/>
      <c r="CU529" s="58"/>
    </row>
    <row r="530" spans="1:99" ht="15" thickBot="1" x14ac:dyDescent="0.4">
      <c r="A530" s="14"/>
      <c r="B530" s="14"/>
      <c r="C530" s="14"/>
      <c r="D530" s="14"/>
      <c r="E530" s="14"/>
      <c r="F530" s="14"/>
      <c r="G530" s="14"/>
      <c r="H530" s="14"/>
      <c r="I530" s="14"/>
      <c r="J530" s="41"/>
      <c r="L530" s="58"/>
      <c r="M530" s="58"/>
      <c r="N530" s="58"/>
      <c r="O530" s="58"/>
      <c r="P530" s="269"/>
      <c r="Q530" s="58"/>
      <c r="R530" s="58"/>
      <c r="S530" s="58"/>
      <c r="T530" s="58"/>
      <c r="U530" s="58"/>
      <c r="V530" s="269"/>
      <c r="W530" s="58"/>
      <c r="X530" s="58"/>
      <c r="Y530" s="58"/>
      <c r="Z530" s="58"/>
      <c r="AA530" s="58"/>
      <c r="AB530" s="269"/>
      <c r="AC530" s="58"/>
      <c r="AD530" s="58"/>
      <c r="AE530" s="58"/>
      <c r="AF530" s="58"/>
      <c r="AG530" s="58"/>
      <c r="AH530" s="269"/>
      <c r="AI530" s="58"/>
      <c r="AJ530" s="58"/>
      <c r="AK530" s="58"/>
      <c r="AL530" s="58"/>
      <c r="AM530" s="58"/>
      <c r="AN530" s="59"/>
      <c r="AO530" s="58"/>
      <c r="AP530" s="58"/>
      <c r="AQ530" s="58"/>
      <c r="AR530" s="58"/>
      <c r="AS530" s="58"/>
      <c r="AT530" s="59"/>
      <c r="AU530" s="58"/>
      <c r="AV530" s="58"/>
      <c r="AW530" s="58"/>
      <c r="AX530" s="58"/>
      <c r="AY530" s="58"/>
      <c r="AZ530" s="59"/>
      <c r="BA530" s="58"/>
      <c r="BB530" s="58"/>
      <c r="BC530" s="58"/>
      <c r="BD530" s="58"/>
      <c r="BE530" s="58"/>
      <c r="BF530" s="59"/>
      <c r="BG530" s="58"/>
      <c r="BH530" s="58"/>
      <c r="BI530" s="58"/>
      <c r="BJ530" s="58"/>
      <c r="BK530" s="58"/>
      <c r="BL530" s="59"/>
      <c r="BM530" s="58"/>
      <c r="BN530" s="58"/>
      <c r="BO530" s="58"/>
      <c r="BP530" s="58"/>
      <c r="BQ530" s="58"/>
      <c r="BR530" s="58"/>
      <c r="BS530" s="58"/>
      <c r="BT530" s="58"/>
      <c r="BU530" s="58"/>
      <c r="BV530" s="58"/>
      <c r="BW530" s="58"/>
      <c r="BX530" s="58"/>
      <c r="BY530" s="58"/>
      <c r="BZ530" s="58"/>
      <c r="CA530" s="58"/>
      <c r="CB530" s="58"/>
      <c r="CC530" s="58"/>
      <c r="CD530" s="58"/>
      <c r="CE530" s="58"/>
      <c r="CF530" s="58"/>
      <c r="CG530" s="58"/>
      <c r="CH530" s="58"/>
      <c r="CI530" s="58"/>
      <c r="CJ530" s="58"/>
      <c r="CK530" s="58"/>
      <c r="CL530" s="58"/>
      <c r="CM530" s="58"/>
      <c r="CN530" s="58"/>
      <c r="CO530" s="58"/>
      <c r="CP530" s="58"/>
      <c r="CQ530" s="58"/>
      <c r="CR530" s="58"/>
      <c r="CS530" s="58"/>
      <c r="CT530" s="58"/>
      <c r="CU530" s="58"/>
    </row>
    <row r="531" spans="1:99" ht="15" thickBot="1" x14ac:dyDescent="0.4">
      <c r="A531" s="14"/>
      <c r="B531" s="14"/>
      <c r="C531" s="14"/>
      <c r="D531" s="14"/>
      <c r="E531" s="14"/>
      <c r="F531" s="14"/>
      <c r="G531" s="14"/>
      <c r="H531" s="14"/>
      <c r="I531" s="14"/>
      <c r="J531" s="41"/>
      <c r="L531" s="58"/>
      <c r="M531" s="58"/>
      <c r="N531" s="58"/>
      <c r="O531" s="58"/>
      <c r="P531" s="269"/>
      <c r="Q531" s="58"/>
      <c r="R531" s="58"/>
      <c r="S531" s="58"/>
      <c r="T531" s="58"/>
      <c r="U531" s="58"/>
      <c r="V531" s="269"/>
      <c r="W531" s="58"/>
      <c r="X531" s="58"/>
      <c r="Y531" s="58"/>
      <c r="Z531" s="58"/>
      <c r="AA531" s="58"/>
      <c r="AB531" s="269"/>
      <c r="AC531" s="58"/>
      <c r="AD531" s="58"/>
      <c r="AE531" s="58"/>
      <c r="AF531" s="58"/>
      <c r="AG531" s="58"/>
      <c r="AH531" s="269"/>
      <c r="AI531" s="58"/>
      <c r="AJ531" s="58"/>
      <c r="AK531" s="58"/>
      <c r="AL531" s="58"/>
      <c r="AM531" s="58"/>
      <c r="AN531" s="59"/>
      <c r="AO531" s="58"/>
      <c r="AP531" s="58"/>
      <c r="AQ531" s="58"/>
      <c r="AR531" s="58"/>
      <c r="AS531" s="58"/>
      <c r="AT531" s="59"/>
      <c r="AU531" s="58"/>
      <c r="AV531" s="58"/>
      <c r="AW531" s="58"/>
      <c r="AX531" s="58"/>
      <c r="AY531" s="58"/>
      <c r="AZ531" s="59"/>
      <c r="BA531" s="58"/>
      <c r="BB531" s="58"/>
      <c r="BC531" s="58"/>
      <c r="BD531" s="58"/>
      <c r="BE531" s="58"/>
      <c r="BF531" s="59"/>
      <c r="BG531" s="58"/>
      <c r="BH531" s="58"/>
      <c r="BI531" s="58"/>
      <c r="BJ531" s="58"/>
      <c r="BK531" s="58"/>
      <c r="BL531" s="59"/>
      <c r="BM531" s="58"/>
      <c r="BN531" s="58"/>
      <c r="BO531" s="58"/>
      <c r="BP531" s="58"/>
      <c r="BQ531" s="58"/>
      <c r="BR531" s="58"/>
      <c r="BS531" s="58"/>
      <c r="BT531" s="58"/>
      <c r="BU531" s="58"/>
      <c r="BV531" s="58"/>
      <c r="BW531" s="58"/>
      <c r="BX531" s="58"/>
      <c r="BY531" s="58"/>
      <c r="BZ531" s="58"/>
      <c r="CA531" s="58"/>
      <c r="CB531" s="58"/>
      <c r="CC531" s="58"/>
      <c r="CD531" s="58"/>
      <c r="CE531" s="58"/>
      <c r="CF531" s="58"/>
      <c r="CG531" s="58"/>
      <c r="CH531" s="58"/>
      <c r="CI531" s="58"/>
      <c r="CJ531" s="58"/>
      <c r="CK531" s="58"/>
      <c r="CL531" s="58"/>
      <c r="CM531" s="58"/>
      <c r="CN531" s="58"/>
      <c r="CO531" s="58"/>
      <c r="CP531" s="58"/>
      <c r="CQ531" s="58"/>
      <c r="CR531" s="58"/>
      <c r="CS531" s="58"/>
      <c r="CT531" s="58"/>
      <c r="CU531" s="58"/>
    </row>
    <row r="532" spans="1:99" ht="15" thickBot="1" x14ac:dyDescent="0.4">
      <c r="A532" s="14"/>
      <c r="B532" s="14"/>
      <c r="C532" s="14"/>
      <c r="D532" s="14"/>
      <c r="E532" s="14"/>
      <c r="F532" s="14"/>
      <c r="G532" s="14"/>
      <c r="H532" s="14"/>
      <c r="I532" s="14"/>
      <c r="J532" s="41"/>
      <c r="L532" s="58"/>
      <c r="M532" s="58"/>
      <c r="N532" s="58"/>
      <c r="O532" s="58"/>
      <c r="P532" s="269"/>
      <c r="Q532" s="58"/>
      <c r="R532" s="58"/>
      <c r="S532" s="58"/>
      <c r="T532" s="58"/>
      <c r="U532" s="58"/>
      <c r="V532" s="269"/>
      <c r="W532" s="58"/>
      <c r="X532" s="58"/>
      <c r="Y532" s="58"/>
      <c r="Z532" s="58"/>
      <c r="AA532" s="58"/>
      <c r="AB532" s="269"/>
      <c r="AC532" s="58"/>
      <c r="AD532" s="58"/>
      <c r="AE532" s="58"/>
      <c r="AF532" s="58"/>
      <c r="AG532" s="58"/>
      <c r="AH532" s="269"/>
      <c r="AI532" s="58"/>
      <c r="AJ532" s="58"/>
      <c r="AK532" s="58"/>
      <c r="AL532" s="58"/>
      <c r="AM532" s="58"/>
      <c r="AN532" s="59"/>
      <c r="AO532" s="58"/>
      <c r="AP532" s="58"/>
      <c r="AQ532" s="58"/>
      <c r="AR532" s="58"/>
      <c r="AS532" s="58"/>
      <c r="AT532" s="59"/>
      <c r="AU532" s="58"/>
      <c r="AV532" s="58"/>
      <c r="AW532" s="58"/>
      <c r="AX532" s="58"/>
      <c r="AY532" s="58"/>
      <c r="AZ532" s="59"/>
      <c r="BA532" s="58"/>
      <c r="BB532" s="58"/>
      <c r="BC532" s="58"/>
      <c r="BD532" s="58"/>
      <c r="BE532" s="58"/>
      <c r="BF532" s="59"/>
      <c r="BG532" s="58"/>
      <c r="BH532" s="58"/>
      <c r="BI532" s="58"/>
      <c r="BJ532" s="58"/>
      <c r="BK532" s="58"/>
      <c r="BL532" s="59"/>
      <c r="BM532" s="58"/>
      <c r="BN532" s="58"/>
      <c r="BO532" s="58"/>
      <c r="BP532" s="58"/>
      <c r="BQ532" s="58"/>
      <c r="BR532" s="58"/>
      <c r="BS532" s="58"/>
      <c r="BT532" s="58"/>
      <c r="BU532" s="58"/>
      <c r="BV532" s="58"/>
      <c r="BW532" s="58"/>
      <c r="BX532" s="58"/>
      <c r="BY532" s="58"/>
      <c r="BZ532" s="58"/>
      <c r="CA532" s="58"/>
      <c r="CB532" s="58"/>
      <c r="CC532" s="58"/>
      <c r="CD532" s="58"/>
      <c r="CE532" s="58"/>
      <c r="CF532" s="58"/>
      <c r="CG532" s="58"/>
      <c r="CH532" s="58"/>
      <c r="CI532" s="58"/>
      <c r="CJ532" s="58"/>
      <c r="CK532" s="58"/>
      <c r="CL532" s="58"/>
      <c r="CM532" s="58"/>
      <c r="CN532" s="58"/>
      <c r="CO532" s="58"/>
      <c r="CP532" s="58"/>
      <c r="CQ532" s="58"/>
      <c r="CR532" s="58"/>
      <c r="CS532" s="58"/>
      <c r="CT532" s="58"/>
      <c r="CU532" s="58"/>
    </row>
    <row r="533" spans="1:99" ht="15" thickBot="1" x14ac:dyDescent="0.4">
      <c r="A533" s="14"/>
      <c r="B533" s="14"/>
      <c r="C533" s="14"/>
      <c r="D533" s="14"/>
      <c r="E533" s="14"/>
      <c r="F533" s="14"/>
      <c r="G533" s="14"/>
      <c r="H533" s="14"/>
      <c r="I533" s="14"/>
      <c r="J533" s="41"/>
      <c r="L533" s="58"/>
      <c r="M533" s="58"/>
      <c r="N533" s="58"/>
      <c r="O533" s="58"/>
      <c r="P533" s="269"/>
      <c r="Q533" s="58"/>
      <c r="R533" s="58"/>
      <c r="S533" s="58"/>
      <c r="T533" s="58"/>
      <c r="U533" s="58"/>
      <c r="V533" s="269"/>
      <c r="W533" s="58"/>
      <c r="X533" s="58"/>
      <c r="Y533" s="58"/>
      <c r="Z533" s="58"/>
      <c r="AA533" s="58"/>
      <c r="AB533" s="269"/>
      <c r="AC533" s="58"/>
      <c r="AD533" s="58"/>
      <c r="AE533" s="58"/>
      <c r="AF533" s="58"/>
      <c r="AG533" s="58"/>
      <c r="AH533" s="269"/>
      <c r="AI533" s="58"/>
      <c r="AJ533" s="58"/>
      <c r="AK533" s="58"/>
      <c r="AL533" s="58"/>
      <c r="AM533" s="58"/>
      <c r="AN533" s="59"/>
      <c r="AO533" s="58"/>
      <c r="AP533" s="58"/>
      <c r="AQ533" s="58"/>
      <c r="AR533" s="58"/>
      <c r="AS533" s="58"/>
      <c r="AT533" s="59"/>
      <c r="AU533" s="58"/>
      <c r="AV533" s="58"/>
      <c r="AW533" s="58"/>
      <c r="AX533" s="58"/>
      <c r="AY533" s="58"/>
      <c r="AZ533" s="59"/>
      <c r="BA533" s="58"/>
      <c r="BB533" s="58"/>
      <c r="BC533" s="58"/>
      <c r="BD533" s="58"/>
      <c r="BE533" s="58"/>
      <c r="BF533" s="59"/>
      <c r="BG533" s="58"/>
      <c r="BH533" s="58"/>
      <c r="BI533" s="58"/>
      <c r="BJ533" s="58"/>
      <c r="BK533" s="58"/>
      <c r="BL533" s="59"/>
      <c r="BM533" s="58"/>
      <c r="BN533" s="58"/>
      <c r="BO533" s="58"/>
      <c r="BP533" s="58"/>
      <c r="BQ533" s="58"/>
      <c r="BR533" s="58"/>
      <c r="BS533" s="58"/>
      <c r="BT533" s="58"/>
      <c r="BU533" s="58"/>
      <c r="BV533" s="58"/>
      <c r="BW533" s="58"/>
      <c r="BX533" s="58"/>
      <c r="BY533" s="58"/>
      <c r="BZ533" s="58"/>
      <c r="CA533" s="58"/>
      <c r="CB533" s="58"/>
      <c r="CC533" s="58"/>
      <c r="CD533" s="58"/>
      <c r="CE533" s="58"/>
      <c r="CF533" s="58"/>
      <c r="CG533" s="58"/>
      <c r="CH533" s="58"/>
      <c r="CI533" s="58"/>
      <c r="CJ533" s="58"/>
      <c r="CK533" s="58"/>
      <c r="CL533" s="58"/>
      <c r="CM533" s="58"/>
      <c r="CN533" s="58"/>
      <c r="CO533" s="58"/>
      <c r="CP533" s="58"/>
      <c r="CQ533" s="58"/>
      <c r="CR533" s="58"/>
      <c r="CS533" s="58"/>
      <c r="CT533" s="58"/>
      <c r="CU533" s="58"/>
    </row>
    <row r="534" spans="1:99" ht="15" thickBot="1" x14ac:dyDescent="0.4">
      <c r="A534" s="14"/>
      <c r="B534" s="14"/>
      <c r="C534" s="14"/>
      <c r="D534" s="14"/>
      <c r="E534" s="14"/>
      <c r="F534" s="14"/>
      <c r="G534" s="14"/>
      <c r="H534" s="14"/>
      <c r="I534" s="14"/>
      <c r="J534" s="41"/>
      <c r="L534" s="58"/>
      <c r="M534" s="58"/>
      <c r="N534" s="58"/>
      <c r="O534" s="58"/>
      <c r="P534" s="269"/>
      <c r="Q534" s="58"/>
      <c r="R534" s="58"/>
      <c r="S534" s="58"/>
      <c r="T534" s="58"/>
      <c r="U534" s="58"/>
      <c r="V534" s="269"/>
      <c r="W534" s="58"/>
      <c r="X534" s="58"/>
      <c r="Y534" s="58"/>
      <c r="Z534" s="58"/>
      <c r="AA534" s="58"/>
      <c r="AB534" s="269"/>
      <c r="AC534" s="58"/>
      <c r="AD534" s="58"/>
      <c r="AE534" s="58"/>
      <c r="AF534" s="58"/>
      <c r="AG534" s="58"/>
      <c r="AH534" s="269"/>
      <c r="AI534" s="58"/>
      <c r="AJ534" s="58"/>
      <c r="AK534" s="58"/>
      <c r="AL534" s="58"/>
      <c r="AM534" s="58"/>
      <c r="AN534" s="59"/>
      <c r="AO534" s="58"/>
      <c r="AP534" s="58"/>
      <c r="AQ534" s="58"/>
      <c r="AR534" s="58"/>
      <c r="AS534" s="58"/>
      <c r="AT534" s="59"/>
      <c r="AU534" s="58"/>
      <c r="AV534" s="58"/>
      <c r="AW534" s="58"/>
      <c r="AX534" s="58"/>
      <c r="AY534" s="58"/>
      <c r="AZ534" s="59"/>
      <c r="BA534" s="58"/>
      <c r="BB534" s="58"/>
      <c r="BC534" s="58"/>
      <c r="BD534" s="58"/>
      <c r="BE534" s="58"/>
      <c r="BF534" s="59"/>
      <c r="BG534" s="58"/>
      <c r="BH534" s="58"/>
      <c r="BI534" s="58"/>
      <c r="BJ534" s="58"/>
      <c r="BK534" s="58"/>
      <c r="BL534" s="59"/>
      <c r="BM534" s="58"/>
      <c r="BN534" s="58"/>
      <c r="BO534" s="58"/>
      <c r="BP534" s="58"/>
      <c r="BQ534" s="58"/>
      <c r="BR534" s="58"/>
      <c r="BS534" s="58"/>
      <c r="BT534" s="58"/>
      <c r="BU534" s="58"/>
      <c r="BV534" s="58"/>
      <c r="BW534" s="58"/>
      <c r="BX534" s="58"/>
      <c r="BY534" s="58"/>
      <c r="BZ534" s="58"/>
      <c r="CA534" s="58"/>
      <c r="CB534" s="58"/>
      <c r="CC534" s="58"/>
      <c r="CD534" s="58"/>
      <c r="CE534" s="58"/>
      <c r="CF534" s="58"/>
      <c r="CG534" s="58"/>
      <c r="CH534" s="58"/>
      <c r="CI534" s="58"/>
      <c r="CJ534" s="58"/>
      <c r="CK534" s="58"/>
      <c r="CL534" s="58"/>
      <c r="CM534" s="58"/>
      <c r="CN534" s="58"/>
      <c r="CO534" s="58"/>
      <c r="CP534" s="58"/>
      <c r="CQ534" s="58"/>
      <c r="CR534" s="58"/>
      <c r="CS534" s="58"/>
      <c r="CT534" s="58"/>
      <c r="CU534" s="58"/>
    </row>
    <row r="535" spans="1:99" ht="15" thickBot="1" x14ac:dyDescent="0.4">
      <c r="A535" s="14"/>
      <c r="B535" s="14"/>
      <c r="C535" s="14"/>
      <c r="D535" s="14"/>
      <c r="E535" s="14"/>
      <c r="F535" s="14"/>
      <c r="G535" s="14"/>
      <c r="H535" s="14"/>
      <c r="I535" s="14"/>
      <c r="J535" s="41"/>
      <c r="L535" s="58"/>
      <c r="M535" s="58"/>
      <c r="N535" s="58"/>
      <c r="O535" s="58"/>
      <c r="P535" s="269"/>
      <c r="Q535" s="58"/>
      <c r="R535" s="58"/>
      <c r="S535" s="58"/>
      <c r="T535" s="58"/>
      <c r="U535" s="58"/>
      <c r="V535" s="269"/>
      <c r="W535" s="58"/>
      <c r="X535" s="58"/>
      <c r="Y535" s="58"/>
      <c r="Z535" s="58"/>
      <c r="AA535" s="58"/>
      <c r="AB535" s="269"/>
      <c r="AC535" s="58"/>
      <c r="AD535" s="58"/>
      <c r="AE535" s="58"/>
      <c r="AF535" s="58"/>
      <c r="AG535" s="58"/>
      <c r="AH535" s="269"/>
      <c r="AI535" s="58"/>
      <c r="AJ535" s="58"/>
      <c r="AK535" s="58"/>
      <c r="AL535" s="58"/>
      <c r="AM535" s="58"/>
      <c r="AN535" s="59"/>
      <c r="AO535" s="58"/>
      <c r="AP535" s="58"/>
      <c r="AQ535" s="58"/>
      <c r="AR535" s="58"/>
      <c r="AS535" s="58"/>
      <c r="AT535" s="59"/>
      <c r="AU535" s="58"/>
      <c r="AV535" s="58"/>
      <c r="AW535" s="58"/>
      <c r="AX535" s="58"/>
      <c r="AY535" s="58"/>
      <c r="AZ535" s="59"/>
      <c r="BA535" s="58"/>
      <c r="BB535" s="58"/>
      <c r="BC535" s="58"/>
      <c r="BD535" s="58"/>
      <c r="BE535" s="58"/>
      <c r="BF535" s="59"/>
      <c r="BG535" s="58"/>
      <c r="BH535" s="58"/>
      <c r="BI535" s="58"/>
      <c r="BJ535" s="58"/>
      <c r="BK535" s="58"/>
      <c r="BL535" s="59"/>
      <c r="BM535" s="58"/>
      <c r="BN535" s="58"/>
      <c r="BO535" s="58"/>
      <c r="BP535" s="58"/>
      <c r="BQ535" s="58"/>
      <c r="BR535" s="58"/>
      <c r="BS535" s="58"/>
      <c r="BT535" s="58"/>
      <c r="BU535" s="58"/>
      <c r="BV535" s="58"/>
      <c r="BW535" s="58"/>
      <c r="BX535" s="58"/>
      <c r="BY535" s="58"/>
      <c r="BZ535" s="58"/>
      <c r="CA535" s="58"/>
      <c r="CB535" s="58"/>
      <c r="CC535" s="58"/>
      <c r="CD535" s="58"/>
      <c r="CE535" s="58"/>
      <c r="CF535" s="58"/>
      <c r="CG535" s="58"/>
      <c r="CH535" s="58"/>
      <c r="CI535" s="58"/>
      <c r="CJ535" s="58"/>
      <c r="CK535" s="58"/>
      <c r="CL535" s="58"/>
      <c r="CM535" s="58"/>
      <c r="CN535" s="58"/>
      <c r="CO535" s="58"/>
      <c r="CP535" s="58"/>
      <c r="CQ535" s="58"/>
      <c r="CR535" s="58"/>
      <c r="CS535" s="58"/>
      <c r="CT535" s="58"/>
      <c r="CU535" s="58"/>
    </row>
    <row r="536" spans="1:99" ht="15" thickBot="1" x14ac:dyDescent="0.4">
      <c r="A536" s="14"/>
      <c r="B536" s="14"/>
      <c r="C536" s="14"/>
      <c r="D536" s="14"/>
      <c r="E536" s="14"/>
      <c r="F536" s="14"/>
      <c r="G536" s="14"/>
      <c r="H536" s="14"/>
      <c r="I536" s="14"/>
      <c r="J536" s="41"/>
      <c r="L536" s="58"/>
      <c r="M536" s="58"/>
      <c r="N536" s="58"/>
      <c r="O536" s="58"/>
      <c r="P536" s="269"/>
      <c r="Q536" s="58"/>
      <c r="R536" s="58"/>
      <c r="S536" s="58"/>
      <c r="T536" s="58"/>
      <c r="U536" s="58"/>
      <c r="V536" s="269"/>
      <c r="W536" s="58"/>
      <c r="X536" s="58"/>
      <c r="Y536" s="58"/>
      <c r="Z536" s="58"/>
      <c r="AA536" s="58"/>
      <c r="AB536" s="269"/>
      <c r="AC536" s="58"/>
      <c r="AD536" s="58"/>
      <c r="AE536" s="58"/>
      <c r="AF536" s="58"/>
      <c r="AG536" s="58"/>
      <c r="AH536" s="269"/>
      <c r="AI536" s="58"/>
      <c r="AJ536" s="58"/>
      <c r="AK536" s="58"/>
      <c r="AL536" s="58"/>
      <c r="AM536" s="58"/>
      <c r="AN536" s="59"/>
      <c r="AO536" s="58"/>
      <c r="AP536" s="58"/>
      <c r="AQ536" s="58"/>
      <c r="AR536" s="58"/>
      <c r="AS536" s="58"/>
      <c r="AT536" s="59"/>
      <c r="AU536" s="58"/>
      <c r="AV536" s="58"/>
      <c r="AW536" s="58"/>
      <c r="AX536" s="58"/>
      <c r="AY536" s="58"/>
      <c r="AZ536" s="59"/>
      <c r="BA536" s="58"/>
      <c r="BB536" s="58"/>
      <c r="BC536" s="58"/>
      <c r="BD536" s="58"/>
      <c r="BE536" s="58"/>
      <c r="BF536" s="59"/>
      <c r="BG536" s="58"/>
      <c r="BH536" s="58"/>
      <c r="BI536" s="58"/>
      <c r="BJ536" s="58"/>
      <c r="BK536" s="58"/>
      <c r="BL536" s="59"/>
      <c r="BM536" s="58"/>
      <c r="BN536" s="58"/>
      <c r="BO536" s="58"/>
      <c r="BP536" s="58"/>
      <c r="BQ536" s="58"/>
      <c r="BR536" s="58"/>
      <c r="BS536" s="58"/>
      <c r="BT536" s="58"/>
      <c r="BU536" s="58"/>
      <c r="BV536" s="58"/>
      <c r="BW536" s="58"/>
      <c r="BX536" s="58"/>
      <c r="BY536" s="58"/>
      <c r="BZ536" s="58"/>
      <c r="CA536" s="58"/>
      <c r="CB536" s="58"/>
      <c r="CC536" s="58"/>
      <c r="CD536" s="58"/>
      <c r="CE536" s="58"/>
      <c r="CF536" s="58"/>
      <c r="CG536" s="58"/>
      <c r="CH536" s="58"/>
      <c r="CI536" s="58"/>
      <c r="CJ536" s="58"/>
      <c r="CK536" s="58"/>
      <c r="CL536" s="58"/>
      <c r="CM536" s="58"/>
      <c r="CN536" s="58"/>
      <c r="CO536" s="58"/>
      <c r="CP536" s="58"/>
      <c r="CQ536" s="58"/>
      <c r="CR536" s="58"/>
      <c r="CS536" s="58"/>
      <c r="CT536" s="58"/>
      <c r="CU536" s="58"/>
    </row>
    <row r="537" spans="1:99" ht="15" thickBot="1" x14ac:dyDescent="0.4">
      <c r="A537" s="14"/>
      <c r="B537" s="14"/>
      <c r="C537" s="14"/>
      <c r="D537" s="14"/>
      <c r="E537" s="14"/>
      <c r="F537" s="14"/>
      <c r="G537" s="14"/>
      <c r="H537" s="14"/>
      <c r="I537" s="14"/>
      <c r="J537" s="41"/>
      <c r="L537" s="58"/>
      <c r="M537" s="58"/>
      <c r="N537" s="58"/>
      <c r="O537" s="58"/>
      <c r="P537" s="269"/>
      <c r="Q537" s="58"/>
      <c r="R537" s="58"/>
      <c r="S537" s="58"/>
      <c r="T537" s="58"/>
      <c r="U537" s="58"/>
      <c r="V537" s="269"/>
      <c r="W537" s="58"/>
      <c r="X537" s="58"/>
      <c r="Y537" s="58"/>
      <c r="Z537" s="58"/>
      <c r="AA537" s="58"/>
      <c r="AB537" s="269"/>
      <c r="AC537" s="58"/>
      <c r="AD537" s="58"/>
      <c r="AE537" s="58"/>
      <c r="AF537" s="58"/>
      <c r="AG537" s="58"/>
      <c r="AH537" s="269"/>
      <c r="AI537" s="58"/>
      <c r="AJ537" s="58"/>
      <c r="AK537" s="58"/>
      <c r="AL537" s="58"/>
      <c r="AM537" s="58"/>
      <c r="AN537" s="59"/>
      <c r="AO537" s="58"/>
      <c r="AP537" s="58"/>
      <c r="AQ537" s="58"/>
      <c r="AR537" s="58"/>
      <c r="AS537" s="58"/>
      <c r="AT537" s="59"/>
      <c r="AU537" s="58"/>
      <c r="AV537" s="58"/>
      <c r="AW537" s="58"/>
      <c r="AX537" s="58"/>
      <c r="AY537" s="58"/>
      <c r="AZ537" s="59"/>
      <c r="BA537" s="58"/>
      <c r="BB537" s="58"/>
      <c r="BC537" s="58"/>
      <c r="BD537" s="58"/>
      <c r="BE537" s="58"/>
      <c r="BF537" s="59"/>
      <c r="BG537" s="58"/>
      <c r="BH537" s="58"/>
      <c r="BI537" s="58"/>
      <c r="BJ537" s="58"/>
      <c r="BK537" s="58"/>
      <c r="BL537" s="59"/>
      <c r="BM537" s="58"/>
      <c r="BN537" s="58"/>
      <c r="BO537" s="58"/>
      <c r="BP537" s="58"/>
      <c r="BQ537" s="58"/>
      <c r="BR537" s="58"/>
      <c r="BS537" s="58"/>
      <c r="BT537" s="58"/>
      <c r="BU537" s="58"/>
      <c r="BV537" s="58"/>
      <c r="BW537" s="58"/>
      <c r="BX537" s="58"/>
      <c r="BY537" s="58"/>
      <c r="BZ537" s="58"/>
      <c r="CA537" s="58"/>
      <c r="CB537" s="58"/>
      <c r="CC537" s="58"/>
      <c r="CD537" s="58"/>
      <c r="CE537" s="58"/>
      <c r="CF537" s="58"/>
      <c r="CG537" s="58"/>
      <c r="CH537" s="58"/>
      <c r="CI537" s="58"/>
      <c r="CJ537" s="58"/>
      <c r="CK537" s="58"/>
      <c r="CL537" s="58"/>
      <c r="CM537" s="58"/>
      <c r="CN537" s="58"/>
      <c r="CO537" s="58"/>
      <c r="CP537" s="58"/>
      <c r="CQ537" s="58"/>
      <c r="CR537" s="58"/>
      <c r="CS537" s="58"/>
      <c r="CT537" s="58"/>
      <c r="CU537" s="58"/>
    </row>
    <row r="538" spans="1:99" ht="15" thickBot="1" x14ac:dyDescent="0.4">
      <c r="A538" s="14"/>
      <c r="B538" s="14"/>
      <c r="C538" s="14"/>
      <c r="D538" s="14"/>
      <c r="E538" s="14"/>
      <c r="F538" s="14"/>
      <c r="G538" s="14"/>
      <c r="H538" s="14"/>
      <c r="I538" s="14"/>
      <c r="J538" s="41"/>
      <c r="L538" s="58"/>
      <c r="M538" s="58"/>
      <c r="N538" s="58"/>
      <c r="O538" s="58"/>
      <c r="P538" s="269"/>
      <c r="Q538" s="58"/>
      <c r="R538" s="58"/>
      <c r="S538" s="58"/>
      <c r="T538" s="58"/>
      <c r="U538" s="58"/>
      <c r="V538" s="269"/>
      <c r="W538" s="58"/>
      <c r="X538" s="58"/>
      <c r="Y538" s="58"/>
      <c r="Z538" s="58"/>
      <c r="AA538" s="58"/>
      <c r="AB538" s="269"/>
      <c r="AC538" s="58"/>
      <c r="AD538" s="58"/>
      <c r="AE538" s="58"/>
      <c r="AF538" s="58"/>
      <c r="AG538" s="58"/>
      <c r="AH538" s="269"/>
      <c r="AI538" s="58"/>
      <c r="AJ538" s="58"/>
      <c r="AK538" s="58"/>
      <c r="AL538" s="58"/>
      <c r="AM538" s="58"/>
      <c r="AN538" s="59"/>
      <c r="AO538" s="58"/>
      <c r="AP538" s="58"/>
      <c r="AQ538" s="58"/>
      <c r="AR538" s="58"/>
      <c r="AS538" s="58"/>
      <c r="AT538" s="59"/>
      <c r="AU538" s="58"/>
      <c r="AV538" s="58"/>
      <c r="AW538" s="58"/>
      <c r="AX538" s="58"/>
      <c r="AY538" s="58"/>
      <c r="AZ538" s="59"/>
      <c r="BA538" s="58"/>
      <c r="BB538" s="58"/>
      <c r="BC538" s="58"/>
      <c r="BD538" s="58"/>
      <c r="BE538" s="58"/>
      <c r="BF538" s="59"/>
      <c r="BG538" s="58"/>
      <c r="BH538" s="58"/>
      <c r="BI538" s="58"/>
      <c r="BJ538" s="58"/>
      <c r="BK538" s="58"/>
      <c r="BL538" s="59"/>
      <c r="BM538" s="58"/>
      <c r="BN538" s="58"/>
      <c r="BO538" s="58"/>
      <c r="BP538" s="58"/>
      <c r="BQ538" s="58"/>
      <c r="BR538" s="58"/>
      <c r="BS538" s="58"/>
      <c r="BT538" s="58"/>
      <c r="BU538" s="58"/>
      <c r="BV538" s="58"/>
      <c r="BW538" s="58"/>
      <c r="BX538" s="58"/>
      <c r="BY538" s="58"/>
      <c r="BZ538" s="58"/>
      <c r="CA538" s="58"/>
      <c r="CB538" s="58"/>
      <c r="CC538" s="58"/>
      <c r="CD538" s="58"/>
      <c r="CE538" s="58"/>
      <c r="CF538" s="58"/>
      <c r="CG538" s="58"/>
      <c r="CH538" s="58"/>
      <c r="CI538" s="58"/>
      <c r="CJ538" s="58"/>
      <c r="CK538" s="58"/>
      <c r="CL538" s="58"/>
      <c r="CM538" s="58"/>
      <c r="CN538" s="58"/>
      <c r="CO538" s="58"/>
      <c r="CP538" s="58"/>
      <c r="CQ538" s="58"/>
      <c r="CR538" s="58"/>
      <c r="CS538" s="58"/>
      <c r="CT538" s="58"/>
      <c r="CU538" s="58"/>
    </row>
    <row r="539" spans="1:99" ht="15" thickBot="1" x14ac:dyDescent="0.4">
      <c r="A539" s="14"/>
      <c r="B539" s="14"/>
      <c r="C539" s="14"/>
      <c r="D539" s="14"/>
      <c r="E539" s="14"/>
      <c r="F539" s="14"/>
      <c r="G539" s="14"/>
      <c r="H539" s="14"/>
      <c r="I539" s="14"/>
      <c r="J539" s="41"/>
      <c r="L539" s="58"/>
      <c r="M539" s="58"/>
      <c r="N539" s="58"/>
      <c r="O539" s="58"/>
      <c r="P539" s="269"/>
      <c r="Q539" s="58"/>
      <c r="R539" s="58"/>
      <c r="S539" s="58"/>
      <c r="T539" s="58"/>
      <c r="U539" s="58"/>
      <c r="V539" s="269"/>
      <c r="W539" s="58"/>
      <c r="X539" s="58"/>
      <c r="Y539" s="58"/>
      <c r="Z539" s="58"/>
      <c r="AA539" s="58"/>
      <c r="AB539" s="269"/>
      <c r="AC539" s="58"/>
      <c r="AD539" s="58"/>
      <c r="AE539" s="58"/>
      <c r="AF539" s="58"/>
      <c r="AG539" s="58"/>
      <c r="AH539" s="269"/>
      <c r="AI539" s="58"/>
      <c r="AJ539" s="58"/>
      <c r="AK539" s="58"/>
      <c r="AL539" s="58"/>
      <c r="AM539" s="58"/>
      <c r="AN539" s="59"/>
      <c r="AO539" s="58"/>
      <c r="AP539" s="58"/>
      <c r="AQ539" s="58"/>
      <c r="AR539" s="58"/>
      <c r="AS539" s="58"/>
      <c r="AT539" s="59"/>
      <c r="AU539" s="58"/>
      <c r="AV539" s="58"/>
      <c r="AW539" s="58"/>
      <c r="AX539" s="58"/>
      <c r="AY539" s="58"/>
      <c r="AZ539" s="59"/>
      <c r="BA539" s="58"/>
      <c r="BB539" s="58"/>
      <c r="BC539" s="58"/>
      <c r="BD539" s="58"/>
      <c r="BE539" s="58"/>
      <c r="BF539" s="59"/>
      <c r="BG539" s="58"/>
      <c r="BH539" s="58"/>
      <c r="BI539" s="58"/>
      <c r="BJ539" s="58"/>
      <c r="BK539" s="58"/>
      <c r="BL539" s="59"/>
      <c r="BM539" s="58"/>
      <c r="BN539" s="58"/>
      <c r="BO539" s="58"/>
      <c r="BP539" s="58"/>
      <c r="BQ539" s="58"/>
      <c r="BR539" s="58"/>
      <c r="BS539" s="58"/>
      <c r="BT539" s="58"/>
      <c r="BU539" s="58"/>
      <c r="BV539" s="58"/>
      <c r="BW539" s="58"/>
      <c r="BX539" s="58"/>
      <c r="BY539" s="58"/>
      <c r="BZ539" s="58"/>
      <c r="CA539" s="58"/>
      <c r="CB539" s="58"/>
      <c r="CC539" s="58"/>
      <c r="CD539" s="58"/>
      <c r="CE539" s="58"/>
      <c r="CF539" s="58"/>
      <c r="CG539" s="58"/>
      <c r="CH539" s="58"/>
      <c r="CI539" s="58"/>
      <c r="CJ539" s="58"/>
      <c r="CK539" s="58"/>
      <c r="CL539" s="58"/>
      <c r="CM539" s="58"/>
      <c r="CN539" s="58"/>
      <c r="CO539" s="58"/>
      <c r="CP539" s="58"/>
      <c r="CQ539" s="58"/>
      <c r="CR539" s="58"/>
      <c r="CS539" s="58"/>
      <c r="CT539" s="58"/>
      <c r="CU539" s="58"/>
    </row>
    <row r="540" spans="1:99" ht="15" thickBot="1" x14ac:dyDescent="0.4">
      <c r="A540" s="14"/>
      <c r="B540" s="14"/>
      <c r="C540" s="14"/>
      <c r="D540" s="14"/>
      <c r="E540" s="14"/>
      <c r="F540" s="14"/>
      <c r="G540" s="14"/>
      <c r="H540" s="14"/>
      <c r="I540" s="14"/>
      <c r="J540" s="41"/>
      <c r="L540" s="58"/>
      <c r="M540" s="58"/>
      <c r="N540" s="58"/>
      <c r="O540" s="58"/>
      <c r="P540" s="269"/>
      <c r="Q540" s="58"/>
      <c r="R540" s="58"/>
      <c r="S540" s="58"/>
      <c r="T540" s="58"/>
      <c r="U540" s="58"/>
      <c r="V540" s="269"/>
      <c r="W540" s="58"/>
      <c r="X540" s="58"/>
      <c r="Y540" s="58"/>
      <c r="Z540" s="58"/>
      <c r="AA540" s="58"/>
      <c r="AB540" s="269"/>
      <c r="AC540" s="58"/>
      <c r="AD540" s="58"/>
      <c r="AE540" s="58"/>
      <c r="AF540" s="58"/>
      <c r="AG540" s="58"/>
      <c r="AH540" s="269"/>
      <c r="AI540" s="58"/>
      <c r="AJ540" s="58"/>
      <c r="AK540" s="58"/>
      <c r="AL540" s="58"/>
      <c r="AM540" s="58"/>
      <c r="AN540" s="59"/>
      <c r="AO540" s="58"/>
      <c r="AP540" s="58"/>
      <c r="AQ540" s="58"/>
      <c r="AR540" s="58"/>
      <c r="AS540" s="58"/>
      <c r="AT540" s="59"/>
      <c r="AU540" s="58"/>
      <c r="AV540" s="58"/>
      <c r="AW540" s="58"/>
      <c r="AX540" s="58"/>
      <c r="AY540" s="58"/>
      <c r="AZ540" s="59"/>
      <c r="BA540" s="58"/>
      <c r="BB540" s="58"/>
      <c r="BC540" s="58"/>
      <c r="BD540" s="58"/>
      <c r="BE540" s="58"/>
      <c r="BF540" s="59"/>
      <c r="BG540" s="58"/>
      <c r="BH540" s="58"/>
      <c r="BI540" s="58"/>
      <c r="BJ540" s="58"/>
      <c r="BK540" s="58"/>
      <c r="BL540" s="59"/>
      <c r="BM540" s="58"/>
      <c r="BN540" s="58"/>
      <c r="BO540" s="58"/>
      <c r="BP540" s="58"/>
      <c r="BQ540" s="58"/>
      <c r="BR540" s="58"/>
      <c r="BS540" s="58"/>
      <c r="BT540" s="58"/>
      <c r="BU540" s="58"/>
      <c r="BV540" s="58"/>
      <c r="BW540" s="58"/>
      <c r="BX540" s="58"/>
      <c r="BY540" s="58"/>
      <c r="BZ540" s="58"/>
      <c r="CA540" s="58"/>
      <c r="CB540" s="58"/>
      <c r="CC540" s="58"/>
      <c r="CD540" s="58"/>
      <c r="CE540" s="58"/>
      <c r="CF540" s="58"/>
      <c r="CG540" s="58"/>
      <c r="CH540" s="58"/>
      <c r="CI540" s="58"/>
      <c r="CJ540" s="58"/>
      <c r="CK540" s="58"/>
      <c r="CL540" s="58"/>
      <c r="CM540" s="58"/>
      <c r="CN540" s="58"/>
      <c r="CO540" s="58"/>
      <c r="CP540" s="58"/>
      <c r="CQ540" s="58"/>
      <c r="CR540" s="58"/>
      <c r="CS540" s="58"/>
      <c r="CT540" s="58"/>
      <c r="CU540" s="58"/>
    </row>
    <row r="541" spans="1:99" ht="15" thickBot="1" x14ac:dyDescent="0.4">
      <c r="A541" s="14"/>
      <c r="B541" s="14"/>
      <c r="C541" s="14"/>
      <c r="D541" s="14"/>
      <c r="E541" s="14"/>
      <c r="F541" s="14"/>
      <c r="G541" s="14"/>
      <c r="H541" s="14"/>
      <c r="I541" s="14"/>
      <c r="J541" s="41"/>
      <c r="L541" s="58"/>
      <c r="M541" s="58"/>
      <c r="N541" s="58"/>
      <c r="O541" s="58"/>
      <c r="P541" s="269"/>
      <c r="Q541" s="58"/>
      <c r="R541" s="58"/>
      <c r="S541" s="58"/>
      <c r="T541" s="58"/>
      <c r="U541" s="58"/>
      <c r="V541" s="269"/>
      <c r="W541" s="58"/>
      <c r="X541" s="58"/>
      <c r="Y541" s="58"/>
      <c r="Z541" s="58"/>
      <c r="AA541" s="58"/>
      <c r="AB541" s="269"/>
      <c r="AC541" s="58"/>
      <c r="AD541" s="58"/>
      <c r="AE541" s="58"/>
      <c r="AF541" s="58"/>
      <c r="AG541" s="58"/>
      <c r="AH541" s="269"/>
      <c r="AI541" s="58"/>
      <c r="AJ541" s="58"/>
      <c r="AK541" s="58"/>
      <c r="AL541" s="58"/>
      <c r="AM541" s="58"/>
      <c r="AN541" s="59"/>
      <c r="AO541" s="58"/>
      <c r="AP541" s="58"/>
      <c r="AQ541" s="58"/>
      <c r="AR541" s="58"/>
      <c r="AS541" s="58"/>
      <c r="AT541" s="59"/>
      <c r="AU541" s="58"/>
      <c r="AV541" s="58"/>
      <c r="AW541" s="58"/>
      <c r="AX541" s="58"/>
      <c r="AY541" s="58"/>
      <c r="AZ541" s="59"/>
      <c r="BA541" s="58"/>
      <c r="BB541" s="58"/>
      <c r="BC541" s="58"/>
      <c r="BD541" s="58"/>
      <c r="BE541" s="58"/>
      <c r="BF541" s="59"/>
      <c r="BG541" s="58"/>
      <c r="BH541" s="58"/>
      <c r="BI541" s="58"/>
      <c r="BJ541" s="58"/>
      <c r="BK541" s="58"/>
      <c r="BL541" s="59"/>
      <c r="BM541" s="58"/>
      <c r="BN541" s="58"/>
      <c r="BO541" s="58"/>
      <c r="BP541" s="58"/>
      <c r="BQ541" s="58"/>
      <c r="BR541" s="58"/>
      <c r="BS541" s="58"/>
      <c r="BT541" s="58"/>
      <c r="BU541" s="58"/>
      <c r="BV541" s="58"/>
      <c r="BW541" s="58"/>
      <c r="BX541" s="58"/>
      <c r="BY541" s="58"/>
      <c r="BZ541" s="58"/>
      <c r="CA541" s="58"/>
      <c r="CB541" s="58"/>
      <c r="CC541" s="58"/>
      <c r="CD541" s="58"/>
      <c r="CE541" s="58"/>
      <c r="CF541" s="58"/>
      <c r="CG541" s="58"/>
      <c r="CH541" s="58"/>
      <c r="CI541" s="58"/>
      <c r="CJ541" s="58"/>
      <c r="CK541" s="58"/>
      <c r="CL541" s="58"/>
      <c r="CM541" s="58"/>
      <c r="CN541" s="58"/>
      <c r="CO541" s="58"/>
      <c r="CP541" s="58"/>
      <c r="CQ541" s="58"/>
      <c r="CR541" s="58"/>
      <c r="CS541" s="58"/>
      <c r="CT541" s="58"/>
      <c r="CU541" s="58"/>
    </row>
    <row r="542" spans="1:99" ht="15" thickBot="1" x14ac:dyDescent="0.4">
      <c r="A542" s="14"/>
      <c r="B542" s="14"/>
      <c r="C542" s="14"/>
      <c r="D542" s="14"/>
      <c r="E542" s="14"/>
      <c r="F542" s="14"/>
      <c r="G542" s="14"/>
      <c r="H542" s="14"/>
      <c r="I542" s="14"/>
      <c r="J542" s="41"/>
      <c r="L542" s="58"/>
      <c r="M542" s="58"/>
      <c r="N542" s="58"/>
      <c r="O542" s="58"/>
      <c r="P542" s="269"/>
      <c r="Q542" s="58"/>
      <c r="R542" s="58"/>
      <c r="S542" s="58"/>
      <c r="T542" s="58"/>
      <c r="U542" s="58"/>
      <c r="V542" s="269"/>
      <c r="W542" s="58"/>
      <c r="X542" s="58"/>
      <c r="Y542" s="58"/>
      <c r="Z542" s="58"/>
      <c r="AA542" s="58"/>
      <c r="AB542" s="269"/>
      <c r="AC542" s="58"/>
      <c r="AD542" s="58"/>
      <c r="AE542" s="58"/>
      <c r="AF542" s="58"/>
      <c r="AG542" s="58"/>
      <c r="AH542" s="269"/>
      <c r="AI542" s="58"/>
      <c r="AJ542" s="58"/>
      <c r="AK542" s="58"/>
      <c r="AL542" s="58"/>
      <c r="AM542" s="58"/>
      <c r="AN542" s="59"/>
      <c r="AO542" s="58"/>
      <c r="AP542" s="58"/>
      <c r="AQ542" s="58"/>
      <c r="AR542" s="58"/>
      <c r="AS542" s="58"/>
      <c r="AT542" s="59"/>
      <c r="AU542" s="58"/>
      <c r="AV542" s="58"/>
      <c r="AW542" s="58"/>
      <c r="AX542" s="58"/>
      <c r="AY542" s="58"/>
      <c r="AZ542" s="59"/>
      <c r="BA542" s="58"/>
      <c r="BB542" s="58"/>
      <c r="BC542" s="58"/>
      <c r="BD542" s="58"/>
      <c r="BE542" s="58"/>
      <c r="BF542" s="59"/>
      <c r="BG542" s="58"/>
      <c r="BH542" s="58"/>
      <c r="BI542" s="58"/>
      <c r="BJ542" s="58"/>
      <c r="BK542" s="58"/>
      <c r="BL542" s="59"/>
      <c r="BM542" s="58"/>
      <c r="BN542" s="58"/>
      <c r="BO542" s="58"/>
      <c r="BP542" s="58"/>
      <c r="BQ542" s="58"/>
      <c r="BR542" s="58"/>
      <c r="BS542" s="58"/>
      <c r="BT542" s="58"/>
      <c r="BU542" s="58"/>
      <c r="BV542" s="58"/>
      <c r="BW542" s="58"/>
      <c r="BX542" s="58"/>
      <c r="BY542" s="58"/>
      <c r="BZ542" s="58"/>
      <c r="CA542" s="58"/>
      <c r="CB542" s="58"/>
      <c r="CC542" s="58"/>
      <c r="CD542" s="58"/>
      <c r="CE542" s="58"/>
      <c r="CF542" s="58"/>
      <c r="CG542" s="58"/>
      <c r="CH542" s="58"/>
      <c r="CI542" s="58"/>
      <c r="CJ542" s="58"/>
      <c r="CK542" s="58"/>
      <c r="CL542" s="58"/>
      <c r="CM542" s="58"/>
      <c r="CN542" s="58"/>
      <c r="CO542" s="58"/>
      <c r="CP542" s="58"/>
      <c r="CQ542" s="58"/>
      <c r="CR542" s="58"/>
      <c r="CS542" s="58"/>
      <c r="CT542" s="58"/>
      <c r="CU542" s="58"/>
    </row>
    <row r="543" spans="1:99" ht="15" thickBot="1" x14ac:dyDescent="0.4">
      <c r="A543" s="14"/>
      <c r="B543" s="14"/>
      <c r="C543" s="14"/>
      <c r="D543" s="14"/>
      <c r="E543" s="14"/>
      <c r="F543" s="14"/>
      <c r="G543" s="14"/>
      <c r="H543" s="14"/>
      <c r="I543" s="14"/>
      <c r="J543" s="41"/>
      <c r="L543" s="58"/>
      <c r="M543" s="58"/>
      <c r="N543" s="58"/>
      <c r="O543" s="58"/>
      <c r="P543" s="269"/>
      <c r="Q543" s="58"/>
      <c r="R543" s="58"/>
      <c r="S543" s="58"/>
      <c r="T543" s="58"/>
      <c r="U543" s="58"/>
      <c r="V543" s="269"/>
      <c r="W543" s="58"/>
      <c r="X543" s="58"/>
      <c r="Y543" s="58"/>
      <c r="Z543" s="58"/>
      <c r="AA543" s="58"/>
      <c r="AB543" s="269"/>
      <c r="AC543" s="58"/>
      <c r="AD543" s="58"/>
      <c r="AE543" s="58"/>
      <c r="AF543" s="58"/>
      <c r="AG543" s="58"/>
      <c r="AH543" s="269"/>
      <c r="AI543" s="58"/>
      <c r="AJ543" s="58"/>
      <c r="AK543" s="58"/>
      <c r="AL543" s="58"/>
      <c r="AM543" s="58"/>
      <c r="AN543" s="59"/>
      <c r="AO543" s="58"/>
      <c r="AP543" s="58"/>
      <c r="AQ543" s="58"/>
      <c r="AR543" s="58"/>
      <c r="AS543" s="58"/>
      <c r="AT543" s="59"/>
      <c r="AU543" s="58"/>
      <c r="AV543" s="58"/>
      <c r="AW543" s="58"/>
      <c r="AX543" s="58"/>
      <c r="AY543" s="58"/>
      <c r="AZ543" s="59"/>
      <c r="BA543" s="58"/>
      <c r="BB543" s="58"/>
      <c r="BC543" s="58"/>
      <c r="BD543" s="58"/>
      <c r="BE543" s="58"/>
      <c r="BF543" s="59"/>
      <c r="BG543" s="58"/>
      <c r="BH543" s="58"/>
      <c r="BI543" s="58"/>
      <c r="BJ543" s="58"/>
      <c r="BK543" s="58"/>
      <c r="BL543" s="59"/>
      <c r="BM543" s="58"/>
      <c r="BN543" s="58"/>
      <c r="BO543" s="58"/>
      <c r="BP543" s="58"/>
      <c r="BQ543" s="58"/>
      <c r="BR543" s="58"/>
      <c r="BS543" s="58"/>
      <c r="BT543" s="58"/>
      <c r="BU543" s="58"/>
      <c r="BV543" s="58"/>
      <c r="BW543" s="58"/>
      <c r="BX543" s="58"/>
      <c r="BY543" s="58"/>
      <c r="BZ543" s="58"/>
      <c r="CA543" s="58"/>
      <c r="CB543" s="58"/>
      <c r="CC543" s="58"/>
      <c r="CD543" s="58"/>
      <c r="CE543" s="58"/>
      <c r="CF543" s="58"/>
      <c r="CG543" s="58"/>
      <c r="CH543" s="58"/>
      <c r="CI543" s="58"/>
      <c r="CJ543" s="58"/>
      <c r="CK543" s="58"/>
      <c r="CL543" s="58"/>
      <c r="CM543" s="58"/>
      <c r="CN543" s="58"/>
      <c r="CO543" s="58"/>
      <c r="CP543" s="58"/>
      <c r="CQ543" s="58"/>
      <c r="CR543" s="58"/>
      <c r="CS543" s="58"/>
      <c r="CT543" s="58"/>
      <c r="CU543" s="58"/>
    </row>
    <row r="544" spans="1:99" ht="15" thickBot="1" x14ac:dyDescent="0.4">
      <c r="A544" s="14"/>
      <c r="B544" s="14"/>
      <c r="C544" s="14"/>
      <c r="D544" s="14"/>
      <c r="E544" s="14"/>
      <c r="F544" s="14"/>
      <c r="G544" s="14"/>
      <c r="H544" s="14"/>
      <c r="I544" s="14"/>
      <c r="J544" s="41"/>
      <c r="L544" s="58"/>
      <c r="M544" s="58"/>
      <c r="N544" s="58"/>
      <c r="O544" s="58"/>
      <c r="P544" s="269"/>
      <c r="Q544" s="58"/>
      <c r="R544" s="58"/>
      <c r="S544" s="58"/>
      <c r="T544" s="58"/>
      <c r="U544" s="58"/>
      <c r="V544" s="269"/>
      <c r="W544" s="58"/>
      <c r="X544" s="58"/>
      <c r="Y544" s="58"/>
      <c r="Z544" s="58"/>
      <c r="AA544" s="58"/>
      <c r="AB544" s="269"/>
      <c r="AC544" s="58"/>
      <c r="AD544" s="58"/>
      <c r="AE544" s="58"/>
      <c r="AF544" s="58"/>
      <c r="AG544" s="58"/>
      <c r="AH544" s="269"/>
      <c r="AI544" s="58"/>
      <c r="AJ544" s="58"/>
      <c r="AK544" s="58"/>
      <c r="AL544" s="58"/>
      <c r="AM544" s="58"/>
      <c r="AN544" s="59"/>
      <c r="AO544" s="58"/>
      <c r="AP544" s="58"/>
      <c r="AQ544" s="58"/>
      <c r="AR544" s="58"/>
      <c r="AS544" s="58"/>
      <c r="AT544" s="59"/>
      <c r="AU544" s="58"/>
      <c r="AV544" s="58"/>
      <c r="AW544" s="58"/>
      <c r="AX544" s="58"/>
      <c r="AY544" s="58"/>
      <c r="AZ544" s="59"/>
      <c r="BA544" s="58"/>
      <c r="BB544" s="58"/>
      <c r="BC544" s="58"/>
      <c r="BD544" s="58"/>
      <c r="BE544" s="58"/>
      <c r="BF544" s="59"/>
      <c r="BG544" s="58"/>
      <c r="BH544" s="58"/>
      <c r="BI544" s="58"/>
      <c r="BJ544" s="58"/>
      <c r="BK544" s="58"/>
      <c r="BL544" s="59"/>
      <c r="BM544" s="58"/>
      <c r="BN544" s="58"/>
      <c r="BO544" s="58"/>
      <c r="BP544" s="58"/>
      <c r="BQ544" s="58"/>
      <c r="BR544" s="58"/>
      <c r="BS544" s="58"/>
      <c r="BT544" s="58"/>
      <c r="BU544" s="58"/>
      <c r="BV544" s="58"/>
      <c r="BW544" s="58"/>
      <c r="BX544" s="58"/>
      <c r="BY544" s="58"/>
      <c r="BZ544" s="58"/>
      <c r="CA544" s="58"/>
      <c r="CB544" s="58"/>
      <c r="CC544" s="58"/>
      <c r="CD544" s="58"/>
      <c r="CE544" s="58"/>
      <c r="CF544" s="58"/>
      <c r="CG544" s="58"/>
      <c r="CH544" s="58"/>
      <c r="CI544" s="58"/>
      <c r="CJ544" s="58"/>
      <c r="CK544" s="58"/>
      <c r="CL544" s="58"/>
      <c r="CM544" s="58"/>
      <c r="CN544" s="58"/>
      <c r="CO544" s="58"/>
      <c r="CP544" s="58"/>
      <c r="CQ544" s="58"/>
      <c r="CR544" s="58"/>
      <c r="CS544" s="58"/>
      <c r="CT544" s="58"/>
      <c r="CU544" s="58"/>
    </row>
    <row r="545" spans="1:99" ht="15" thickBot="1" x14ac:dyDescent="0.4">
      <c r="A545" s="14"/>
      <c r="B545" s="14"/>
      <c r="C545" s="14"/>
      <c r="D545" s="14"/>
      <c r="E545" s="14"/>
      <c r="F545" s="14"/>
      <c r="G545" s="14"/>
      <c r="H545" s="14"/>
      <c r="I545" s="14"/>
      <c r="J545" s="41"/>
      <c r="L545" s="58"/>
      <c r="M545" s="58"/>
      <c r="N545" s="58"/>
      <c r="O545" s="58"/>
      <c r="P545" s="269"/>
      <c r="Q545" s="58"/>
      <c r="R545" s="58"/>
      <c r="S545" s="58"/>
      <c r="T545" s="58"/>
      <c r="U545" s="58"/>
      <c r="V545" s="269"/>
      <c r="W545" s="58"/>
      <c r="X545" s="58"/>
      <c r="Y545" s="58"/>
      <c r="Z545" s="58"/>
      <c r="AA545" s="58"/>
      <c r="AB545" s="269"/>
      <c r="AC545" s="58"/>
      <c r="AD545" s="58"/>
      <c r="AE545" s="58"/>
      <c r="AF545" s="58"/>
      <c r="AG545" s="58"/>
      <c r="AH545" s="269"/>
      <c r="AI545" s="58"/>
      <c r="AJ545" s="58"/>
      <c r="AK545" s="58"/>
      <c r="AL545" s="58"/>
      <c r="AM545" s="58"/>
      <c r="AN545" s="59"/>
      <c r="AO545" s="58"/>
      <c r="AP545" s="58"/>
      <c r="AQ545" s="58"/>
      <c r="AR545" s="58"/>
      <c r="AS545" s="58"/>
      <c r="AT545" s="59"/>
      <c r="AU545" s="58"/>
      <c r="AV545" s="58"/>
      <c r="AW545" s="58"/>
      <c r="AX545" s="58"/>
      <c r="AY545" s="58"/>
      <c r="AZ545" s="59"/>
      <c r="BA545" s="58"/>
      <c r="BB545" s="58"/>
      <c r="BC545" s="58"/>
      <c r="BD545" s="58"/>
      <c r="BE545" s="58"/>
      <c r="BF545" s="59"/>
      <c r="BG545" s="58"/>
      <c r="BH545" s="58"/>
      <c r="BI545" s="58"/>
      <c r="BJ545" s="58"/>
      <c r="BK545" s="58"/>
      <c r="BL545" s="59"/>
      <c r="BM545" s="58"/>
      <c r="BN545" s="58"/>
      <c r="BO545" s="58"/>
      <c r="BP545" s="58"/>
      <c r="BQ545" s="58"/>
      <c r="BR545" s="58"/>
      <c r="BS545" s="58"/>
      <c r="BT545" s="58"/>
      <c r="BU545" s="58"/>
      <c r="BV545" s="58"/>
      <c r="BW545" s="58"/>
      <c r="BX545" s="58"/>
      <c r="BY545" s="58"/>
      <c r="BZ545" s="58"/>
      <c r="CA545" s="58"/>
      <c r="CB545" s="58"/>
      <c r="CC545" s="58"/>
      <c r="CD545" s="58"/>
      <c r="CE545" s="58"/>
      <c r="CF545" s="58"/>
      <c r="CG545" s="58"/>
      <c r="CH545" s="58"/>
      <c r="CI545" s="58"/>
      <c r="CJ545" s="58"/>
      <c r="CK545" s="58"/>
      <c r="CL545" s="58"/>
      <c r="CM545" s="58"/>
      <c r="CN545" s="58"/>
      <c r="CO545" s="58"/>
      <c r="CP545" s="58"/>
      <c r="CQ545" s="58"/>
      <c r="CR545" s="58"/>
      <c r="CS545" s="58"/>
      <c r="CT545" s="58"/>
      <c r="CU545" s="58"/>
    </row>
    <row r="546" spans="1:99" ht="15" thickBot="1" x14ac:dyDescent="0.4">
      <c r="A546" s="14"/>
      <c r="B546" s="14"/>
      <c r="C546" s="14"/>
      <c r="D546" s="14"/>
      <c r="E546" s="14"/>
      <c r="F546" s="14"/>
      <c r="G546" s="14"/>
      <c r="H546" s="14"/>
      <c r="I546" s="14"/>
      <c r="J546" s="41"/>
      <c r="L546" s="58"/>
      <c r="M546" s="58"/>
      <c r="N546" s="58"/>
      <c r="O546" s="58"/>
      <c r="P546" s="269"/>
      <c r="Q546" s="58"/>
      <c r="R546" s="58"/>
      <c r="S546" s="58"/>
      <c r="T546" s="58"/>
      <c r="U546" s="58"/>
      <c r="V546" s="269"/>
      <c r="W546" s="58"/>
      <c r="X546" s="58"/>
      <c r="Y546" s="58"/>
      <c r="Z546" s="58"/>
      <c r="AA546" s="58"/>
      <c r="AB546" s="269"/>
      <c r="AC546" s="58"/>
      <c r="AD546" s="58"/>
      <c r="AE546" s="58"/>
      <c r="AF546" s="58"/>
      <c r="AG546" s="58"/>
      <c r="AH546" s="269"/>
      <c r="AI546" s="58"/>
      <c r="AJ546" s="58"/>
      <c r="AK546" s="58"/>
      <c r="AL546" s="58"/>
      <c r="AM546" s="58"/>
      <c r="AN546" s="59"/>
      <c r="AO546" s="58"/>
      <c r="AP546" s="58"/>
      <c r="AQ546" s="58"/>
      <c r="AR546" s="58"/>
      <c r="AS546" s="58"/>
      <c r="AT546" s="59"/>
      <c r="AU546" s="58"/>
      <c r="AV546" s="58"/>
      <c r="AW546" s="58"/>
      <c r="AX546" s="58"/>
      <c r="AY546" s="58"/>
      <c r="AZ546" s="59"/>
      <c r="BA546" s="58"/>
      <c r="BB546" s="58"/>
      <c r="BC546" s="58"/>
      <c r="BD546" s="58"/>
      <c r="BE546" s="58"/>
      <c r="BF546" s="59"/>
      <c r="BG546" s="58"/>
      <c r="BH546" s="58"/>
      <c r="BI546" s="58"/>
      <c r="BJ546" s="58"/>
      <c r="BK546" s="58"/>
      <c r="BL546" s="59"/>
      <c r="BM546" s="58"/>
      <c r="BN546" s="58"/>
      <c r="BO546" s="58"/>
      <c r="BP546" s="58"/>
      <c r="BQ546" s="58"/>
      <c r="BR546" s="58"/>
      <c r="BS546" s="58"/>
      <c r="BT546" s="58"/>
      <c r="BU546" s="58"/>
      <c r="BV546" s="58"/>
      <c r="BW546" s="58"/>
      <c r="BX546" s="58"/>
      <c r="BY546" s="58"/>
      <c r="BZ546" s="58"/>
      <c r="CA546" s="58"/>
      <c r="CB546" s="58"/>
      <c r="CC546" s="58"/>
      <c r="CD546" s="58"/>
      <c r="CE546" s="58"/>
      <c r="CF546" s="58"/>
      <c r="CG546" s="58"/>
      <c r="CH546" s="58"/>
      <c r="CI546" s="58"/>
      <c r="CJ546" s="58"/>
      <c r="CK546" s="58"/>
      <c r="CL546" s="58"/>
      <c r="CM546" s="58"/>
      <c r="CN546" s="58"/>
      <c r="CO546" s="58"/>
      <c r="CP546" s="58"/>
      <c r="CQ546" s="58"/>
      <c r="CR546" s="58"/>
      <c r="CS546" s="58"/>
      <c r="CT546" s="58"/>
      <c r="CU546" s="58"/>
    </row>
    <row r="547" spans="1:99" ht="15" thickBot="1" x14ac:dyDescent="0.4">
      <c r="A547" s="14"/>
      <c r="B547" s="14"/>
      <c r="C547" s="14"/>
      <c r="D547" s="14"/>
      <c r="E547" s="14"/>
      <c r="F547" s="14"/>
      <c r="G547" s="14"/>
      <c r="H547" s="14"/>
      <c r="I547" s="14"/>
      <c r="J547" s="41"/>
      <c r="L547" s="58"/>
      <c r="M547" s="58"/>
      <c r="N547" s="58"/>
      <c r="O547" s="58"/>
      <c r="P547" s="269"/>
      <c r="Q547" s="58"/>
      <c r="R547" s="58"/>
      <c r="S547" s="58"/>
      <c r="T547" s="58"/>
      <c r="U547" s="58"/>
      <c r="V547" s="269"/>
      <c r="W547" s="58"/>
      <c r="X547" s="58"/>
      <c r="Y547" s="58"/>
      <c r="Z547" s="58"/>
      <c r="AA547" s="58"/>
      <c r="AB547" s="269"/>
      <c r="AC547" s="58"/>
      <c r="AD547" s="58"/>
      <c r="AE547" s="58"/>
      <c r="AF547" s="58"/>
      <c r="AG547" s="58"/>
      <c r="AH547" s="269"/>
      <c r="AI547" s="58"/>
      <c r="AJ547" s="58"/>
      <c r="AK547" s="58"/>
      <c r="AL547" s="58"/>
      <c r="AM547" s="58"/>
      <c r="AN547" s="59"/>
      <c r="AO547" s="58"/>
      <c r="AP547" s="58"/>
      <c r="AQ547" s="58"/>
      <c r="AR547" s="58"/>
      <c r="AS547" s="58"/>
      <c r="AT547" s="59"/>
      <c r="AU547" s="58"/>
      <c r="AV547" s="58"/>
      <c r="AW547" s="58"/>
      <c r="AX547" s="58"/>
      <c r="AY547" s="58"/>
      <c r="AZ547" s="59"/>
      <c r="BA547" s="58"/>
      <c r="BB547" s="58"/>
      <c r="BC547" s="58"/>
      <c r="BD547" s="58"/>
      <c r="BE547" s="58"/>
      <c r="BF547" s="59"/>
      <c r="BG547" s="58"/>
      <c r="BH547" s="58"/>
      <c r="BI547" s="58"/>
      <c r="BJ547" s="58"/>
      <c r="BK547" s="58"/>
      <c r="BL547" s="59"/>
      <c r="BM547" s="58"/>
      <c r="BN547" s="58"/>
      <c r="BO547" s="58"/>
      <c r="BP547" s="58"/>
      <c r="BQ547" s="58"/>
      <c r="BR547" s="58"/>
      <c r="BS547" s="58"/>
      <c r="BT547" s="58"/>
      <c r="BU547" s="58"/>
      <c r="BV547" s="58"/>
      <c r="BW547" s="58"/>
      <c r="BX547" s="58"/>
      <c r="BY547" s="58"/>
      <c r="BZ547" s="58"/>
      <c r="CA547" s="58"/>
      <c r="CB547" s="58"/>
      <c r="CC547" s="58"/>
      <c r="CD547" s="58"/>
      <c r="CE547" s="58"/>
      <c r="CF547" s="58"/>
      <c r="CG547" s="58"/>
      <c r="CH547" s="58"/>
      <c r="CI547" s="58"/>
      <c r="CJ547" s="58"/>
      <c r="CK547" s="58"/>
      <c r="CL547" s="58"/>
      <c r="CM547" s="58"/>
      <c r="CN547" s="58"/>
      <c r="CO547" s="58"/>
      <c r="CP547" s="58"/>
      <c r="CQ547" s="58"/>
      <c r="CR547" s="58"/>
      <c r="CS547" s="58"/>
      <c r="CT547" s="58"/>
      <c r="CU547" s="58"/>
    </row>
    <row r="548" spans="1:99" ht="15" thickBot="1" x14ac:dyDescent="0.4">
      <c r="A548" s="14"/>
      <c r="B548" s="14"/>
      <c r="C548" s="14"/>
      <c r="D548" s="14"/>
      <c r="E548" s="14"/>
      <c r="F548" s="14"/>
      <c r="G548" s="14"/>
      <c r="H548" s="14"/>
      <c r="I548" s="14"/>
      <c r="J548" s="41"/>
      <c r="L548" s="58"/>
      <c r="M548" s="58"/>
      <c r="N548" s="58"/>
      <c r="O548" s="58"/>
      <c r="P548" s="269"/>
      <c r="Q548" s="58"/>
      <c r="R548" s="58"/>
      <c r="S548" s="58"/>
      <c r="T548" s="58"/>
      <c r="U548" s="58"/>
      <c r="V548" s="269"/>
      <c r="W548" s="58"/>
      <c r="X548" s="58"/>
      <c r="Y548" s="58"/>
      <c r="Z548" s="58"/>
      <c r="AA548" s="58"/>
      <c r="AB548" s="269"/>
      <c r="AC548" s="58"/>
      <c r="AD548" s="58"/>
      <c r="AE548" s="58"/>
      <c r="AF548" s="58"/>
      <c r="AG548" s="58"/>
      <c r="AH548" s="269"/>
      <c r="AI548" s="58"/>
      <c r="AJ548" s="58"/>
      <c r="AK548" s="58"/>
      <c r="AL548" s="58"/>
      <c r="AM548" s="58"/>
      <c r="AN548" s="59"/>
      <c r="AO548" s="58"/>
      <c r="AP548" s="58"/>
      <c r="AQ548" s="58"/>
      <c r="AR548" s="58"/>
      <c r="AS548" s="58"/>
      <c r="AT548" s="59"/>
      <c r="AU548" s="58"/>
      <c r="AV548" s="58"/>
      <c r="AW548" s="58"/>
      <c r="AX548" s="58"/>
      <c r="AY548" s="58"/>
      <c r="AZ548" s="59"/>
      <c r="BA548" s="58"/>
      <c r="BB548" s="58"/>
      <c r="BC548" s="58"/>
      <c r="BD548" s="58"/>
      <c r="BE548" s="58"/>
      <c r="BF548" s="59"/>
      <c r="BG548" s="58"/>
      <c r="BH548" s="58"/>
      <c r="BI548" s="58"/>
      <c r="BJ548" s="58"/>
      <c r="BK548" s="58"/>
      <c r="BL548" s="59"/>
      <c r="BM548" s="58"/>
      <c r="BN548" s="58"/>
      <c r="BO548" s="58"/>
      <c r="BP548" s="58"/>
      <c r="BQ548" s="58"/>
      <c r="BR548" s="58"/>
      <c r="BS548" s="58"/>
      <c r="BT548" s="58"/>
      <c r="BU548" s="58"/>
      <c r="BV548" s="58"/>
      <c r="BW548" s="58"/>
      <c r="BX548" s="58"/>
      <c r="BY548" s="58"/>
      <c r="BZ548" s="58"/>
      <c r="CA548" s="58"/>
      <c r="CB548" s="58"/>
      <c r="CC548" s="58"/>
      <c r="CD548" s="58"/>
      <c r="CE548" s="58"/>
      <c r="CF548" s="58"/>
      <c r="CG548" s="58"/>
      <c r="CH548" s="58"/>
      <c r="CI548" s="58"/>
      <c r="CJ548" s="58"/>
      <c r="CK548" s="58"/>
      <c r="CL548" s="58"/>
      <c r="CM548" s="58"/>
      <c r="CN548" s="58"/>
      <c r="CO548" s="58"/>
      <c r="CP548" s="58"/>
      <c r="CQ548" s="58"/>
      <c r="CR548" s="58"/>
      <c r="CS548" s="58"/>
      <c r="CT548" s="58"/>
      <c r="CU548" s="58"/>
    </row>
    <row r="549" spans="1:99" ht="15" thickBot="1" x14ac:dyDescent="0.4">
      <c r="A549" s="14"/>
      <c r="B549" s="14"/>
      <c r="C549" s="14"/>
      <c r="D549" s="14"/>
      <c r="E549" s="14"/>
      <c r="F549" s="14"/>
      <c r="G549" s="14"/>
      <c r="H549" s="14"/>
      <c r="I549" s="14"/>
      <c r="J549" s="41"/>
      <c r="L549" s="58"/>
      <c r="M549" s="58"/>
      <c r="N549" s="58"/>
      <c r="O549" s="58"/>
      <c r="P549" s="269"/>
      <c r="Q549" s="58"/>
      <c r="R549" s="58"/>
      <c r="S549" s="58"/>
      <c r="T549" s="58"/>
      <c r="U549" s="58"/>
      <c r="V549" s="269"/>
      <c r="W549" s="58"/>
      <c r="X549" s="58"/>
      <c r="Y549" s="58"/>
      <c r="Z549" s="58"/>
      <c r="AA549" s="58"/>
      <c r="AB549" s="269"/>
      <c r="AC549" s="58"/>
      <c r="AD549" s="58"/>
      <c r="AE549" s="58"/>
      <c r="AF549" s="58"/>
      <c r="AG549" s="58"/>
      <c r="AH549" s="269"/>
      <c r="AI549" s="58"/>
      <c r="AJ549" s="58"/>
      <c r="AK549" s="58"/>
      <c r="AL549" s="58"/>
      <c r="AM549" s="58"/>
      <c r="AN549" s="59"/>
      <c r="AO549" s="58"/>
      <c r="AP549" s="58"/>
      <c r="AQ549" s="58"/>
      <c r="AR549" s="58"/>
      <c r="AS549" s="58"/>
      <c r="AT549" s="59"/>
      <c r="AU549" s="58"/>
      <c r="AV549" s="58"/>
      <c r="AW549" s="58"/>
      <c r="AX549" s="58"/>
      <c r="AY549" s="58"/>
      <c r="AZ549" s="59"/>
      <c r="BA549" s="58"/>
      <c r="BB549" s="58"/>
      <c r="BC549" s="58"/>
      <c r="BD549" s="58"/>
      <c r="BE549" s="58"/>
      <c r="BF549" s="59"/>
      <c r="BG549" s="58"/>
      <c r="BH549" s="58"/>
      <c r="BI549" s="58"/>
      <c r="BJ549" s="58"/>
      <c r="BK549" s="58"/>
      <c r="BL549" s="59"/>
      <c r="BM549" s="58"/>
      <c r="BN549" s="58"/>
      <c r="BO549" s="58"/>
      <c r="BP549" s="58"/>
      <c r="BQ549" s="58"/>
      <c r="BR549" s="58"/>
      <c r="BS549" s="58"/>
      <c r="BT549" s="58"/>
      <c r="BU549" s="58"/>
      <c r="BV549" s="58"/>
      <c r="BW549" s="58"/>
      <c r="BX549" s="58"/>
      <c r="BY549" s="58"/>
      <c r="BZ549" s="58"/>
      <c r="CA549" s="58"/>
      <c r="CB549" s="58"/>
      <c r="CC549" s="58"/>
      <c r="CD549" s="58"/>
      <c r="CE549" s="58"/>
      <c r="CF549" s="58"/>
      <c r="CG549" s="58"/>
      <c r="CH549" s="58"/>
      <c r="CI549" s="58"/>
      <c r="CJ549" s="58"/>
      <c r="CK549" s="58"/>
      <c r="CL549" s="58"/>
      <c r="CM549" s="58"/>
      <c r="CN549" s="58"/>
      <c r="CO549" s="58"/>
      <c r="CP549" s="58"/>
      <c r="CQ549" s="58"/>
      <c r="CR549" s="58"/>
      <c r="CS549" s="58"/>
      <c r="CT549" s="58"/>
      <c r="CU549" s="58"/>
    </row>
    <row r="550" spans="1:99" ht="15" thickBot="1" x14ac:dyDescent="0.4">
      <c r="A550" s="14"/>
      <c r="B550" s="14"/>
      <c r="C550" s="14"/>
      <c r="D550" s="14"/>
      <c r="E550" s="14"/>
      <c r="F550" s="14"/>
      <c r="G550" s="14"/>
      <c r="H550" s="14"/>
      <c r="I550" s="14"/>
      <c r="J550" s="41"/>
      <c r="L550" s="58"/>
      <c r="M550" s="58"/>
      <c r="N550" s="58"/>
      <c r="O550" s="58"/>
      <c r="P550" s="269"/>
      <c r="Q550" s="58"/>
      <c r="R550" s="58"/>
      <c r="S550" s="58"/>
      <c r="T550" s="58"/>
      <c r="U550" s="58"/>
      <c r="V550" s="269"/>
      <c r="W550" s="58"/>
      <c r="X550" s="58"/>
      <c r="Y550" s="58"/>
      <c r="Z550" s="58"/>
      <c r="AA550" s="58"/>
      <c r="AB550" s="269"/>
      <c r="AC550" s="58"/>
      <c r="AD550" s="58"/>
      <c r="AE550" s="58"/>
      <c r="AF550" s="58"/>
      <c r="AG550" s="58"/>
      <c r="AH550" s="269"/>
      <c r="AI550" s="58"/>
      <c r="AJ550" s="58"/>
      <c r="AK550" s="58"/>
      <c r="AL550" s="58"/>
      <c r="AM550" s="58"/>
      <c r="AN550" s="59"/>
      <c r="AO550" s="58"/>
      <c r="AP550" s="58"/>
      <c r="AQ550" s="58"/>
      <c r="AR550" s="58"/>
      <c r="AS550" s="58"/>
      <c r="AT550" s="59"/>
      <c r="AU550" s="58"/>
      <c r="AV550" s="58"/>
      <c r="AW550" s="58"/>
      <c r="AX550" s="58"/>
      <c r="AY550" s="58"/>
      <c r="AZ550" s="59"/>
      <c r="BA550" s="58"/>
      <c r="BB550" s="58"/>
      <c r="BC550" s="58"/>
      <c r="BD550" s="58"/>
      <c r="BE550" s="58"/>
      <c r="BF550" s="59"/>
      <c r="BG550" s="58"/>
      <c r="BH550" s="58"/>
      <c r="BI550" s="58"/>
      <c r="BJ550" s="58"/>
      <c r="BK550" s="58"/>
      <c r="BL550" s="59"/>
      <c r="BM550" s="58"/>
      <c r="BN550" s="58"/>
      <c r="BO550" s="58"/>
      <c r="BP550" s="58"/>
      <c r="BQ550" s="58"/>
      <c r="BR550" s="58"/>
      <c r="BS550" s="58"/>
      <c r="BT550" s="58"/>
      <c r="BU550" s="58"/>
      <c r="BV550" s="58"/>
      <c r="BW550" s="58"/>
      <c r="BX550" s="58"/>
      <c r="BY550" s="58"/>
      <c r="BZ550" s="58"/>
      <c r="CA550" s="58"/>
      <c r="CB550" s="58"/>
      <c r="CC550" s="58"/>
      <c r="CD550" s="58"/>
      <c r="CE550" s="58"/>
      <c r="CF550" s="58"/>
      <c r="CG550" s="58"/>
      <c r="CH550" s="58"/>
      <c r="CI550" s="58"/>
      <c r="CJ550" s="58"/>
      <c r="CK550" s="58"/>
      <c r="CL550" s="58"/>
      <c r="CM550" s="58"/>
      <c r="CN550" s="58"/>
      <c r="CO550" s="58"/>
      <c r="CP550" s="58"/>
      <c r="CQ550" s="58"/>
      <c r="CR550" s="58"/>
      <c r="CS550" s="58"/>
      <c r="CT550" s="58"/>
      <c r="CU550" s="58"/>
    </row>
    <row r="551" spans="1:99" ht="15" thickBot="1" x14ac:dyDescent="0.4">
      <c r="A551" s="14"/>
      <c r="B551" s="14"/>
      <c r="C551" s="14"/>
      <c r="D551" s="14"/>
      <c r="E551" s="14"/>
      <c r="F551" s="14"/>
      <c r="G551" s="14"/>
      <c r="H551" s="14"/>
      <c r="I551" s="14"/>
      <c r="J551" s="41"/>
      <c r="L551" s="58"/>
      <c r="M551" s="58"/>
      <c r="N551" s="58"/>
      <c r="O551" s="58"/>
      <c r="P551" s="269"/>
      <c r="Q551" s="58"/>
      <c r="R551" s="58"/>
      <c r="S551" s="58"/>
      <c r="T551" s="58"/>
      <c r="U551" s="58"/>
      <c r="V551" s="269"/>
      <c r="W551" s="58"/>
      <c r="X551" s="58"/>
      <c r="Y551" s="58"/>
      <c r="Z551" s="58"/>
      <c r="AA551" s="58"/>
      <c r="AB551" s="269"/>
      <c r="AC551" s="58"/>
      <c r="AD551" s="58"/>
      <c r="AE551" s="58"/>
      <c r="AF551" s="58"/>
      <c r="AG551" s="58"/>
      <c r="AH551" s="269"/>
      <c r="AI551" s="58"/>
      <c r="AJ551" s="58"/>
      <c r="AK551" s="58"/>
      <c r="AL551" s="58"/>
      <c r="AM551" s="58"/>
      <c r="AN551" s="59"/>
      <c r="AO551" s="58"/>
      <c r="AP551" s="58"/>
      <c r="AQ551" s="58"/>
      <c r="AR551" s="58"/>
      <c r="AS551" s="58"/>
      <c r="AT551" s="59"/>
      <c r="AU551" s="58"/>
      <c r="AV551" s="58"/>
      <c r="AW551" s="58"/>
      <c r="AX551" s="58"/>
      <c r="AY551" s="58"/>
      <c r="AZ551" s="59"/>
      <c r="BA551" s="58"/>
      <c r="BB551" s="58"/>
      <c r="BC551" s="58"/>
      <c r="BD551" s="58"/>
      <c r="BE551" s="58"/>
      <c r="BF551" s="59"/>
      <c r="BG551" s="58"/>
      <c r="BH551" s="58"/>
      <c r="BI551" s="58"/>
      <c r="BJ551" s="58"/>
      <c r="BK551" s="58"/>
      <c r="BL551" s="59"/>
      <c r="BM551" s="58"/>
      <c r="BN551" s="58"/>
      <c r="BO551" s="58"/>
      <c r="BP551" s="58"/>
      <c r="BQ551" s="58"/>
      <c r="BR551" s="58"/>
      <c r="BS551" s="58"/>
      <c r="BT551" s="58"/>
      <c r="BU551" s="58"/>
      <c r="BV551" s="58"/>
      <c r="BW551" s="58"/>
      <c r="BX551" s="58"/>
      <c r="BY551" s="58"/>
      <c r="BZ551" s="58"/>
      <c r="CA551" s="58"/>
      <c r="CB551" s="58"/>
      <c r="CC551" s="58"/>
      <c r="CD551" s="58"/>
      <c r="CE551" s="58"/>
      <c r="CF551" s="58"/>
      <c r="CG551" s="58"/>
      <c r="CH551" s="58"/>
      <c r="CI551" s="58"/>
      <c r="CJ551" s="58"/>
      <c r="CK551" s="58"/>
      <c r="CL551" s="58"/>
      <c r="CM551" s="58"/>
      <c r="CN551" s="58"/>
      <c r="CO551" s="58"/>
      <c r="CP551" s="58"/>
      <c r="CQ551" s="58"/>
      <c r="CR551" s="58"/>
      <c r="CS551" s="58"/>
      <c r="CT551" s="58"/>
      <c r="CU551" s="58"/>
    </row>
    <row r="552" spans="1:99" ht="15" thickBot="1" x14ac:dyDescent="0.4">
      <c r="A552" s="14"/>
      <c r="B552" s="14"/>
      <c r="C552" s="14"/>
      <c r="D552" s="14"/>
      <c r="E552" s="14"/>
      <c r="F552" s="14"/>
      <c r="G552" s="14"/>
      <c r="H552" s="14"/>
      <c r="I552" s="14"/>
      <c r="J552" s="41"/>
      <c r="L552" s="58"/>
      <c r="M552" s="58"/>
      <c r="N552" s="58"/>
      <c r="O552" s="58"/>
      <c r="P552" s="269"/>
      <c r="Q552" s="58"/>
      <c r="R552" s="58"/>
      <c r="S552" s="58"/>
      <c r="T552" s="58"/>
      <c r="U552" s="58"/>
      <c r="V552" s="269"/>
      <c r="W552" s="58"/>
      <c r="X552" s="58"/>
      <c r="Y552" s="58"/>
      <c r="Z552" s="58"/>
      <c r="AA552" s="58"/>
      <c r="AB552" s="269"/>
      <c r="AC552" s="58"/>
      <c r="AD552" s="58"/>
      <c r="AE552" s="58"/>
      <c r="AF552" s="58"/>
      <c r="AG552" s="58"/>
      <c r="AH552" s="269"/>
      <c r="AI552" s="58"/>
      <c r="AJ552" s="58"/>
      <c r="AK552" s="58"/>
      <c r="AL552" s="58"/>
      <c r="AM552" s="58"/>
      <c r="AN552" s="59"/>
      <c r="AO552" s="58"/>
      <c r="AP552" s="58"/>
      <c r="AQ552" s="58"/>
      <c r="AR552" s="58"/>
      <c r="AS552" s="58"/>
      <c r="AT552" s="59"/>
      <c r="AU552" s="58"/>
      <c r="AV552" s="58"/>
      <c r="AW552" s="58"/>
      <c r="AX552" s="58"/>
      <c r="AY552" s="58"/>
      <c r="AZ552" s="59"/>
      <c r="BA552" s="58"/>
      <c r="BB552" s="58"/>
      <c r="BC552" s="58"/>
      <c r="BD552" s="58"/>
      <c r="BE552" s="58"/>
      <c r="BF552" s="59"/>
      <c r="BG552" s="58"/>
      <c r="BH552" s="58"/>
      <c r="BI552" s="58"/>
      <c r="BJ552" s="58"/>
      <c r="BK552" s="58"/>
      <c r="BL552" s="59"/>
      <c r="BM552" s="58"/>
      <c r="BN552" s="58"/>
      <c r="BO552" s="58"/>
      <c r="BP552" s="58"/>
      <c r="BQ552" s="58"/>
      <c r="BR552" s="58"/>
      <c r="BS552" s="58"/>
      <c r="BT552" s="58"/>
      <c r="BU552" s="58"/>
      <c r="BV552" s="58"/>
      <c r="BW552" s="58"/>
      <c r="BX552" s="58"/>
      <c r="BY552" s="58"/>
      <c r="BZ552" s="58"/>
      <c r="CA552" s="58"/>
      <c r="CB552" s="58"/>
      <c r="CC552" s="58"/>
      <c r="CD552" s="58"/>
      <c r="CE552" s="58"/>
      <c r="CF552" s="58"/>
      <c r="CG552" s="58"/>
      <c r="CH552" s="58"/>
      <c r="CI552" s="58"/>
      <c r="CJ552" s="58"/>
      <c r="CK552" s="58"/>
      <c r="CL552" s="58"/>
      <c r="CM552" s="58"/>
      <c r="CN552" s="58"/>
      <c r="CO552" s="58"/>
      <c r="CP552" s="58"/>
      <c r="CQ552" s="58"/>
      <c r="CR552" s="58"/>
      <c r="CS552" s="58"/>
      <c r="CT552" s="58"/>
      <c r="CU552" s="58"/>
    </row>
    <row r="553" spans="1:99" ht="15" thickBot="1" x14ac:dyDescent="0.4">
      <c r="A553" s="14"/>
      <c r="B553" s="14"/>
      <c r="C553" s="14"/>
      <c r="D553" s="14"/>
      <c r="E553" s="14"/>
      <c r="F553" s="14"/>
      <c r="G553" s="14"/>
      <c r="H553" s="14"/>
      <c r="I553" s="14"/>
      <c r="J553" s="41"/>
      <c r="L553" s="58"/>
      <c r="M553" s="58"/>
      <c r="N553" s="58"/>
      <c r="O553" s="58"/>
      <c r="P553" s="269"/>
      <c r="Q553" s="58"/>
      <c r="R553" s="58"/>
      <c r="S553" s="58"/>
      <c r="T553" s="58"/>
      <c r="U553" s="58"/>
      <c r="V553" s="269"/>
      <c r="W553" s="58"/>
      <c r="X553" s="58"/>
      <c r="Y553" s="58"/>
      <c r="Z553" s="58"/>
      <c r="AA553" s="58"/>
      <c r="AB553" s="269"/>
      <c r="AC553" s="58"/>
      <c r="AD553" s="58"/>
      <c r="AE553" s="58"/>
      <c r="AF553" s="58"/>
      <c r="AG553" s="58"/>
      <c r="AH553" s="269"/>
      <c r="AI553" s="58"/>
      <c r="AJ553" s="58"/>
      <c r="AK553" s="58"/>
      <c r="AL553" s="58"/>
      <c r="AM553" s="58"/>
      <c r="AN553" s="59"/>
      <c r="AO553" s="58"/>
      <c r="AP553" s="58"/>
      <c r="AQ553" s="58"/>
      <c r="AR553" s="58"/>
      <c r="AS553" s="58"/>
      <c r="AT553" s="59"/>
      <c r="AU553" s="58"/>
      <c r="AV553" s="58"/>
      <c r="AW553" s="58"/>
      <c r="AX553" s="58"/>
      <c r="AY553" s="58"/>
      <c r="AZ553" s="59"/>
      <c r="BA553" s="58"/>
      <c r="BB553" s="58"/>
      <c r="BC553" s="58"/>
      <c r="BD553" s="58"/>
      <c r="BE553" s="58"/>
      <c r="BF553" s="59"/>
      <c r="BG553" s="58"/>
      <c r="BH553" s="58"/>
      <c r="BI553" s="58"/>
      <c r="BJ553" s="58"/>
      <c r="BK553" s="58"/>
      <c r="BL553" s="59"/>
      <c r="BM553" s="58"/>
      <c r="BN553" s="58"/>
      <c r="BO553" s="58"/>
      <c r="BP553" s="58"/>
      <c r="BQ553" s="58"/>
      <c r="BR553" s="58"/>
      <c r="BS553" s="58"/>
      <c r="BT553" s="58"/>
      <c r="BU553" s="58"/>
      <c r="BV553" s="58"/>
      <c r="BW553" s="58"/>
      <c r="BX553" s="58"/>
      <c r="BY553" s="58"/>
      <c r="BZ553" s="58"/>
      <c r="CA553" s="58"/>
      <c r="CB553" s="58"/>
      <c r="CC553" s="58"/>
      <c r="CD553" s="58"/>
      <c r="CE553" s="58"/>
      <c r="CF553" s="58"/>
      <c r="CG553" s="58"/>
      <c r="CH553" s="58"/>
      <c r="CI553" s="58"/>
      <c r="CJ553" s="58"/>
      <c r="CK553" s="58"/>
      <c r="CL553" s="58"/>
      <c r="CM553" s="58"/>
      <c r="CN553" s="58"/>
      <c r="CO553" s="58"/>
      <c r="CP553" s="58"/>
      <c r="CQ553" s="58"/>
      <c r="CR553" s="58"/>
      <c r="CS553" s="58"/>
      <c r="CT553" s="58"/>
      <c r="CU553" s="58"/>
    </row>
    <row r="554" spans="1:99" ht="15" thickBot="1" x14ac:dyDescent="0.4">
      <c r="A554" s="14"/>
      <c r="B554" s="14"/>
      <c r="C554" s="14"/>
      <c r="D554" s="14"/>
      <c r="E554" s="14"/>
      <c r="F554" s="14"/>
      <c r="G554" s="14"/>
      <c r="H554" s="14"/>
      <c r="I554" s="14"/>
      <c r="J554" s="41"/>
      <c r="L554" s="58"/>
      <c r="M554" s="58"/>
      <c r="N554" s="58"/>
      <c r="O554" s="58"/>
      <c r="P554" s="269"/>
      <c r="Q554" s="58"/>
      <c r="R554" s="58"/>
      <c r="S554" s="58"/>
      <c r="T554" s="58"/>
      <c r="U554" s="58"/>
      <c r="V554" s="269"/>
      <c r="W554" s="58"/>
      <c r="X554" s="58"/>
      <c r="Y554" s="58"/>
      <c r="Z554" s="58"/>
      <c r="AA554" s="58"/>
      <c r="AB554" s="269"/>
      <c r="AC554" s="58"/>
      <c r="AD554" s="58"/>
      <c r="AE554" s="58"/>
      <c r="AF554" s="58"/>
      <c r="AG554" s="58"/>
      <c r="AH554" s="269"/>
      <c r="AI554" s="58"/>
      <c r="AJ554" s="58"/>
      <c r="AK554" s="58"/>
      <c r="AL554" s="58"/>
      <c r="AM554" s="58"/>
      <c r="AN554" s="59"/>
      <c r="AO554" s="58"/>
      <c r="AP554" s="58"/>
      <c r="AQ554" s="58"/>
      <c r="AR554" s="58"/>
      <c r="AS554" s="58"/>
      <c r="AT554" s="59"/>
      <c r="AU554" s="58"/>
      <c r="AV554" s="58"/>
      <c r="AW554" s="58"/>
      <c r="AX554" s="58"/>
      <c r="AY554" s="58"/>
      <c r="AZ554" s="59"/>
      <c r="BA554" s="58"/>
      <c r="BB554" s="58"/>
      <c r="BC554" s="58"/>
      <c r="BD554" s="58"/>
      <c r="BE554" s="58"/>
      <c r="BF554" s="59"/>
      <c r="BG554" s="58"/>
      <c r="BH554" s="58"/>
      <c r="BI554" s="58"/>
      <c r="BJ554" s="58"/>
      <c r="BK554" s="58"/>
      <c r="BL554" s="59"/>
      <c r="BM554" s="58"/>
      <c r="BN554" s="58"/>
      <c r="BO554" s="58"/>
      <c r="BP554" s="58"/>
      <c r="BQ554" s="58"/>
      <c r="BR554" s="58"/>
      <c r="BS554" s="58"/>
      <c r="BT554" s="58"/>
      <c r="BU554" s="58"/>
      <c r="BV554" s="58"/>
      <c r="BW554" s="58"/>
      <c r="BX554" s="58"/>
      <c r="BY554" s="58"/>
      <c r="BZ554" s="58"/>
      <c r="CA554" s="58"/>
      <c r="CB554" s="58"/>
      <c r="CC554" s="58"/>
      <c r="CD554" s="58"/>
      <c r="CE554" s="58"/>
      <c r="CF554" s="58"/>
      <c r="CG554" s="58"/>
      <c r="CH554" s="58"/>
      <c r="CI554" s="58"/>
      <c r="CJ554" s="58"/>
      <c r="CK554" s="58"/>
      <c r="CL554" s="58"/>
      <c r="CM554" s="58"/>
      <c r="CN554" s="58"/>
      <c r="CO554" s="58"/>
      <c r="CP554" s="58"/>
      <c r="CQ554" s="58"/>
      <c r="CR554" s="58"/>
      <c r="CS554" s="58"/>
      <c r="CT554" s="58"/>
      <c r="CU554" s="58"/>
    </row>
    <row r="555" spans="1:99" ht="15" thickBot="1" x14ac:dyDescent="0.4">
      <c r="A555" s="14"/>
      <c r="B555" s="14"/>
      <c r="C555" s="14"/>
      <c r="D555" s="14"/>
      <c r="E555" s="14"/>
      <c r="F555" s="14"/>
      <c r="G555" s="14"/>
      <c r="H555" s="14"/>
      <c r="I555" s="14"/>
      <c r="J555" s="41"/>
      <c r="L555" s="58"/>
      <c r="M555" s="58"/>
      <c r="N555" s="58"/>
      <c r="O555" s="58"/>
      <c r="P555" s="269"/>
      <c r="Q555" s="58"/>
      <c r="R555" s="58"/>
      <c r="S555" s="58"/>
      <c r="T555" s="58"/>
      <c r="U555" s="58"/>
      <c r="V555" s="269"/>
      <c r="W555" s="58"/>
      <c r="X555" s="58"/>
      <c r="Y555" s="58"/>
      <c r="Z555" s="58"/>
      <c r="AA555" s="58"/>
      <c r="AB555" s="269"/>
      <c r="AC555" s="58"/>
      <c r="AD555" s="58"/>
      <c r="AE555" s="58"/>
      <c r="AF555" s="58"/>
      <c r="AG555" s="58"/>
      <c r="AH555" s="269"/>
      <c r="AI555" s="58"/>
      <c r="AJ555" s="58"/>
      <c r="AK555" s="58"/>
      <c r="AL555" s="58"/>
      <c r="AM555" s="58"/>
      <c r="AN555" s="59"/>
      <c r="AO555" s="58"/>
      <c r="AP555" s="58"/>
      <c r="AQ555" s="58"/>
      <c r="AR555" s="58"/>
      <c r="AS555" s="58"/>
      <c r="AT555" s="59"/>
      <c r="AU555" s="58"/>
      <c r="AV555" s="58"/>
      <c r="AW555" s="58"/>
      <c r="AX555" s="58"/>
      <c r="AY555" s="58"/>
      <c r="AZ555" s="59"/>
      <c r="BA555" s="58"/>
      <c r="BB555" s="58"/>
      <c r="BC555" s="58"/>
      <c r="BD555" s="58"/>
      <c r="BE555" s="58"/>
      <c r="BF555" s="59"/>
      <c r="BG555" s="58"/>
      <c r="BH555" s="58"/>
      <c r="BI555" s="58"/>
      <c r="BJ555" s="58"/>
      <c r="BK555" s="58"/>
      <c r="BL555" s="59"/>
      <c r="BM555" s="58"/>
      <c r="BN555" s="58"/>
      <c r="BO555" s="58"/>
      <c r="BP555" s="58"/>
      <c r="BQ555" s="58"/>
      <c r="BR555" s="58"/>
      <c r="BS555" s="58"/>
      <c r="BT555" s="58"/>
      <c r="BU555" s="58"/>
      <c r="BV555" s="58"/>
      <c r="BW555" s="58"/>
      <c r="BX555" s="58"/>
      <c r="BY555" s="58"/>
      <c r="BZ555" s="58"/>
      <c r="CA555" s="58"/>
      <c r="CB555" s="58"/>
      <c r="CC555" s="58"/>
      <c r="CD555" s="58"/>
      <c r="CE555" s="58"/>
      <c r="CF555" s="58"/>
      <c r="CG555" s="58"/>
      <c r="CH555" s="58"/>
      <c r="CI555" s="58"/>
      <c r="CJ555" s="58"/>
      <c r="CK555" s="58"/>
      <c r="CL555" s="58"/>
      <c r="CM555" s="58"/>
      <c r="CN555" s="58"/>
      <c r="CO555" s="58"/>
      <c r="CP555" s="58"/>
      <c r="CQ555" s="58"/>
      <c r="CR555" s="58"/>
      <c r="CS555" s="58"/>
      <c r="CT555" s="58"/>
      <c r="CU555" s="58"/>
    </row>
    <row r="556" spans="1:99" ht="15" thickBot="1" x14ac:dyDescent="0.4">
      <c r="A556" s="14"/>
      <c r="B556" s="14"/>
      <c r="C556" s="14"/>
      <c r="D556" s="14"/>
      <c r="E556" s="14"/>
      <c r="F556" s="14"/>
      <c r="G556" s="14"/>
      <c r="H556" s="14"/>
      <c r="I556" s="14"/>
      <c r="J556" s="41"/>
      <c r="L556" s="58"/>
      <c r="M556" s="58"/>
      <c r="N556" s="58"/>
      <c r="O556" s="58"/>
      <c r="P556" s="269"/>
      <c r="Q556" s="58"/>
      <c r="R556" s="58"/>
      <c r="S556" s="58"/>
      <c r="T556" s="58"/>
      <c r="U556" s="58"/>
      <c r="V556" s="269"/>
      <c r="W556" s="58"/>
      <c r="X556" s="58"/>
      <c r="Y556" s="58"/>
      <c r="Z556" s="58"/>
      <c r="AA556" s="58"/>
      <c r="AB556" s="269"/>
      <c r="AC556" s="58"/>
      <c r="AD556" s="58"/>
      <c r="AE556" s="58"/>
      <c r="AF556" s="58"/>
      <c r="AG556" s="58"/>
      <c r="AH556" s="269"/>
      <c r="AI556" s="58"/>
      <c r="AJ556" s="58"/>
      <c r="AK556" s="58"/>
      <c r="AL556" s="58"/>
      <c r="AM556" s="58"/>
      <c r="AN556" s="59"/>
      <c r="AO556" s="58"/>
      <c r="AP556" s="58"/>
      <c r="AQ556" s="58"/>
      <c r="AR556" s="58"/>
      <c r="AS556" s="58"/>
      <c r="AT556" s="59"/>
      <c r="AU556" s="58"/>
      <c r="AV556" s="58"/>
      <c r="AW556" s="58"/>
      <c r="AX556" s="58"/>
      <c r="AY556" s="58"/>
      <c r="AZ556" s="59"/>
      <c r="BA556" s="58"/>
      <c r="BB556" s="58"/>
      <c r="BC556" s="58"/>
      <c r="BD556" s="58"/>
      <c r="BE556" s="58"/>
      <c r="BF556" s="59"/>
      <c r="BG556" s="58"/>
      <c r="BH556" s="58"/>
      <c r="BI556" s="58"/>
      <c r="BJ556" s="58"/>
      <c r="BK556" s="58"/>
      <c r="BL556" s="59"/>
      <c r="BM556" s="58"/>
      <c r="BN556" s="58"/>
      <c r="BO556" s="58"/>
      <c r="BP556" s="58"/>
      <c r="BQ556" s="58"/>
      <c r="BR556" s="58"/>
      <c r="BS556" s="58"/>
      <c r="BT556" s="58"/>
      <c r="BU556" s="58"/>
      <c r="BV556" s="58"/>
      <c r="BW556" s="58"/>
      <c r="BX556" s="58"/>
      <c r="BY556" s="58"/>
      <c r="BZ556" s="58"/>
      <c r="CA556" s="58"/>
      <c r="CB556" s="58"/>
      <c r="CC556" s="58"/>
      <c r="CD556" s="58"/>
      <c r="CE556" s="58"/>
      <c r="CF556" s="58"/>
      <c r="CG556" s="58"/>
      <c r="CH556" s="58"/>
      <c r="CI556" s="58"/>
      <c r="CJ556" s="58"/>
      <c r="CK556" s="58"/>
      <c r="CL556" s="58"/>
      <c r="CM556" s="58"/>
      <c r="CN556" s="58"/>
      <c r="CO556" s="58"/>
      <c r="CP556" s="58"/>
      <c r="CQ556" s="58"/>
      <c r="CR556" s="58"/>
      <c r="CS556" s="58"/>
      <c r="CT556" s="58"/>
      <c r="CU556" s="58"/>
    </row>
    <row r="557" spans="1:99" ht="15" thickBot="1" x14ac:dyDescent="0.4">
      <c r="A557" s="14"/>
      <c r="B557" s="14"/>
      <c r="C557" s="14"/>
      <c r="D557" s="14"/>
      <c r="E557" s="14"/>
      <c r="F557" s="14"/>
      <c r="G557" s="14"/>
      <c r="H557" s="14"/>
      <c r="I557" s="14"/>
      <c r="J557" s="41"/>
      <c r="L557" s="58"/>
      <c r="M557" s="58"/>
      <c r="N557" s="58"/>
      <c r="O557" s="58"/>
      <c r="P557" s="269"/>
      <c r="Q557" s="58"/>
      <c r="R557" s="58"/>
      <c r="S557" s="58"/>
      <c r="T557" s="58"/>
      <c r="U557" s="58"/>
      <c r="V557" s="269"/>
      <c r="W557" s="58"/>
      <c r="X557" s="58"/>
      <c r="Y557" s="58"/>
      <c r="Z557" s="58"/>
      <c r="AA557" s="58"/>
      <c r="AB557" s="269"/>
      <c r="AC557" s="58"/>
      <c r="AD557" s="58"/>
      <c r="AE557" s="58"/>
      <c r="AF557" s="58"/>
      <c r="AG557" s="58"/>
      <c r="AH557" s="269"/>
      <c r="AI557" s="58"/>
      <c r="AJ557" s="58"/>
      <c r="AK557" s="58"/>
      <c r="AL557" s="58"/>
      <c r="AM557" s="58"/>
      <c r="AN557" s="59"/>
      <c r="AO557" s="58"/>
      <c r="AP557" s="58"/>
      <c r="AQ557" s="58"/>
      <c r="AR557" s="58"/>
      <c r="AS557" s="58"/>
      <c r="AT557" s="59"/>
      <c r="AU557" s="58"/>
      <c r="AV557" s="58"/>
      <c r="AW557" s="58"/>
      <c r="AX557" s="58"/>
      <c r="AY557" s="58"/>
      <c r="AZ557" s="59"/>
      <c r="BA557" s="58"/>
      <c r="BB557" s="58"/>
      <c r="BC557" s="58"/>
      <c r="BD557" s="58"/>
      <c r="BE557" s="58"/>
      <c r="BF557" s="59"/>
      <c r="BG557" s="58"/>
      <c r="BH557" s="58"/>
      <c r="BI557" s="58"/>
      <c r="BJ557" s="58"/>
      <c r="BK557" s="58"/>
      <c r="BL557" s="59"/>
      <c r="BM557" s="58"/>
      <c r="BN557" s="58"/>
      <c r="BO557" s="58"/>
      <c r="BP557" s="58"/>
      <c r="BQ557" s="58"/>
      <c r="BR557" s="58"/>
      <c r="BS557" s="58"/>
      <c r="BT557" s="58"/>
      <c r="BU557" s="58"/>
      <c r="BV557" s="58"/>
      <c r="BW557" s="58"/>
      <c r="BX557" s="58"/>
      <c r="BY557" s="58"/>
      <c r="BZ557" s="58"/>
      <c r="CA557" s="58"/>
      <c r="CB557" s="58"/>
      <c r="CC557" s="58"/>
      <c r="CD557" s="58"/>
      <c r="CE557" s="58"/>
      <c r="CF557" s="58"/>
      <c r="CG557" s="58"/>
      <c r="CH557" s="58"/>
      <c r="CI557" s="58"/>
      <c r="CJ557" s="58"/>
      <c r="CK557" s="58"/>
      <c r="CL557" s="58"/>
      <c r="CM557" s="58"/>
      <c r="CN557" s="58"/>
      <c r="CO557" s="58"/>
      <c r="CP557" s="58"/>
      <c r="CQ557" s="58"/>
      <c r="CR557" s="58"/>
      <c r="CS557" s="58"/>
      <c r="CT557" s="58"/>
      <c r="CU557" s="58"/>
    </row>
    <row r="558" spans="1:99" ht="15" thickBot="1" x14ac:dyDescent="0.4">
      <c r="A558" s="14"/>
      <c r="B558" s="14"/>
      <c r="C558" s="14"/>
      <c r="D558" s="14"/>
      <c r="E558" s="14"/>
      <c r="F558" s="14"/>
      <c r="G558" s="14"/>
      <c r="H558" s="14"/>
      <c r="I558" s="14"/>
      <c r="J558" s="41"/>
      <c r="L558" s="58"/>
      <c r="M558" s="58"/>
      <c r="N558" s="58"/>
      <c r="O558" s="58"/>
      <c r="P558" s="269"/>
      <c r="Q558" s="58"/>
      <c r="R558" s="58"/>
      <c r="S558" s="58"/>
      <c r="T558" s="58"/>
      <c r="U558" s="58"/>
      <c r="V558" s="269"/>
      <c r="W558" s="58"/>
      <c r="X558" s="58"/>
      <c r="Y558" s="58"/>
      <c r="Z558" s="58"/>
      <c r="AA558" s="58"/>
      <c r="AB558" s="269"/>
      <c r="AC558" s="58"/>
      <c r="AD558" s="58"/>
      <c r="AE558" s="58"/>
      <c r="AF558" s="58"/>
      <c r="AG558" s="58"/>
      <c r="AH558" s="269"/>
      <c r="AI558" s="58"/>
      <c r="AJ558" s="58"/>
      <c r="AK558" s="58"/>
      <c r="AL558" s="58"/>
      <c r="AM558" s="58"/>
      <c r="AN558" s="59"/>
      <c r="AO558" s="58"/>
      <c r="AP558" s="58"/>
      <c r="AQ558" s="58"/>
      <c r="AR558" s="58"/>
      <c r="AS558" s="58"/>
      <c r="AT558" s="59"/>
      <c r="AU558" s="58"/>
      <c r="AV558" s="58"/>
      <c r="AW558" s="58"/>
      <c r="AX558" s="58"/>
      <c r="AY558" s="58"/>
      <c r="AZ558" s="59"/>
      <c r="BA558" s="58"/>
      <c r="BB558" s="58"/>
      <c r="BC558" s="58"/>
      <c r="BD558" s="58"/>
      <c r="BE558" s="58"/>
      <c r="BF558" s="59"/>
      <c r="BG558" s="58"/>
      <c r="BH558" s="58"/>
      <c r="BI558" s="58"/>
      <c r="BJ558" s="58"/>
      <c r="BK558" s="58"/>
      <c r="BL558" s="59"/>
      <c r="BM558" s="58"/>
      <c r="BN558" s="58"/>
      <c r="BO558" s="58"/>
      <c r="BP558" s="58"/>
      <c r="BQ558" s="58"/>
      <c r="BR558" s="58"/>
      <c r="BS558" s="58"/>
      <c r="BT558" s="58"/>
      <c r="BU558" s="58"/>
      <c r="BV558" s="58"/>
      <c r="BW558" s="58"/>
      <c r="BX558" s="58"/>
      <c r="BY558" s="58"/>
      <c r="BZ558" s="58"/>
      <c r="CA558" s="58"/>
      <c r="CB558" s="58"/>
      <c r="CC558" s="58"/>
      <c r="CD558" s="58"/>
      <c r="CE558" s="58"/>
      <c r="CF558" s="58"/>
      <c r="CG558" s="58"/>
      <c r="CH558" s="58"/>
      <c r="CI558" s="58"/>
      <c r="CJ558" s="58"/>
      <c r="CK558" s="58"/>
      <c r="CL558" s="58"/>
      <c r="CM558" s="58"/>
      <c r="CN558" s="58"/>
      <c r="CO558" s="58"/>
      <c r="CP558" s="58"/>
      <c r="CQ558" s="58"/>
      <c r="CR558" s="58"/>
      <c r="CS558" s="58"/>
      <c r="CT558" s="58"/>
      <c r="CU558" s="58"/>
    </row>
    <row r="559" spans="1:99" ht="15" thickBot="1" x14ac:dyDescent="0.4">
      <c r="A559" s="14"/>
      <c r="B559" s="14"/>
      <c r="C559" s="14"/>
      <c r="D559" s="14"/>
      <c r="E559" s="14"/>
      <c r="F559" s="14"/>
      <c r="G559" s="14"/>
      <c r="H559" s="14"/>
      <c r="I559" s="14"/>
      <c r="J559" s="41"/>
      <c r="L559" s="58"/>
      <c r="M559" s="58"/>
      <c r="N559" s="58"/>
      <c r="O559" s="58"/>
      <c r="P559" s="269"/>
      <c r="Q559" s="58"/>
      <c r="R559" s="58"/>
      <c r="S559" s="58"/>
      <c r="T559" s="58"/>
      <c r="U559" s="58"/>
      <c r="V559" s="269"/>
      <c r="W559" s="58"/>
      <c r="X559" s="58"/>
      <c r="Y559" s="58"/>
      <c r="Z559" s="58"/>
      <c r="AA559" s="58"/>
      <c r="AB559" s="269"/>
      <c r="AC559" s="58"/>
      <c r="AD559" s="58"/>
      <c r="AE559" s="58"/>
      <c r="AF559" s="58"/>
      <c r="AG559" s="58"/>
      <c r="AH559" s="269"/>
      <c r="AI559" s="58"/>
      <c r="AJ559" s="58"/>
      <c r="AK559" s="58"/>
      <c r="AL559" s="58"/>
      <c r="AM559" s="58"/>
      <c r="AN559" s="59"/>
      <c r="AO559" s="58"/>
      <c r="AP559" s="58"/>
      <c r="AQ559" s="58"/>
      <c r="AR559" s="58"/>
      <c r="AS559" s="58"/>
      <c r="AT559" s="59"/>
      <c r="AU559" s="58"/>
      <c r="AV559" s="58"/>
      <c r="AW559" s="58"/>
      <c r="AX559" s="58"/>
      <c r="AY559" s="58"/>
      <c r="AZ559" s="59"/>
      <c r="BA559" s="58"/>
      <c r="BB559" s="58"/>
      <c r="BC559" s="58"/>
      <c r="BD559" s="58"/>
      <c r="BE559" s="58"/>
      <c r="BF559" s="59"/>
      <c r="BG559" s="58"/>
      <c r="BH559" s="58"/>
      <c r="BI559" s="58"/>
      <c r="BJ559" s="58"/>
      <c r="BK559" s="58"/>
      <c r="BL559" s="59"/>
      <c r="BM559" s="58"/>
      <c r="BN559" s="58"/>
      <c r="BO559" s="58"/>
      <c r="BP559" s="58"/>
      <c r="BQ559" s="58"/>
      <c r="BR559" s="58"/>
      <c r="BS559" s="58"/>
      <c r="BT559" s="58"/>
      <c r="BU559" s="58"/>
      <c r="BV559" s="58"/>
      <c r="BW559" s="58"/>
      <c r="BX559" s="58"/>
      <c r="BY559" s="58"/>
      <c r="BZ559" s="58"/>
      <c r="CA559" s="58"/>
      <c r="CB559" s="58"/>
      <c r="CC559" s="58"/>
      <c r="CD559" s="58"/>
      <c r="CE559" s="58"/>
      <c r="CF559" s="58"/>
      <c r="CG559" s="58"/>
      <c r="CH559" s="58"/>
      <c r="CI559" s="58"/>
      <c r="CJ559" s="58"/>
      <c r="CK559" s="58"/>
      <c r="CL559" s="58"/>
      <c r="CM559" s="58"/>
      <c r="CN559" s="58"/>
      <c r="CO559" s="58"/>
      <c r="CP559" s="58"/>
      <c r="CQ559" s="58"/>
      <c r="CR559" s="58"/>
      <c r="CS559" s="58"/>
      <c r="CT559" s="58"/>
      <c r="CU559" s="58"/>
    </row>
    <row r="560" spans="1:99" ht="15" thickBot="1" x14ac:dyDescent="0.4">
      <c r="A560" s="14"/>
      <c r="B560" s="14"/>
      <c r="C560" s="14"/>
      <c r="D560" s="14"/>
      <c r="E560" s="14"/>
      <c r="F560" s="14"/>
      <c r="G560" s="14"/>
      <c r="H560" s="14"/>
      <c r="I560" s="14"/>
      <c r="J560" s="41"/>
      <c r="L560" s="58"/>
      <c r="M560" s="58"/>
      <c r="N560" s="58"/>
      <c r="O560" s="58"/>
      <c r="P560" s="269"/>
      <c r="Q560" s="58"/>
      <c r="R560" s="58"/>
      <c r="S560" s="58"/>
      <c r="T560" s="58"/>
      <c r="U560" s="58"/>
      <c r="V560" s="269"/>
      <c r="W560" s="58"/>
      <c r="X560" s="58"/>
      <c r="Y560" s="58"/>
      <c r="Z560" s="58"/>
      <c r="AA560" s="58"/>
      <c r="AB560" s="269"/>
      <c r="AC560" s="58"/>
      <c r="AD560" s="58"/>
      <c r="AE560" s="58"/>
      <c r="AF560" s="58"/>
      <c r="AG560" s="58"/>
      <c r="AH560" s="269"/>
      <c r="AI560" s="58"/>
      <c r="AJ560" s="58"/>
      <c r="AK560" s="58"/>
      <c r="AL560" s="58"/>
      <c r="AM560" s="58"/>
      <c r="AN560" s="59"/>
      <c r="AO560" s="58"/>
      <c r="AP560" s="58"/>
      <c r="AQ560" s="58"/>
      <c r="AR560" s="58"/>
      <c r="AS560" s="58"/>
      <c r="AT560" s="59"/>
      <c r="AU560" s="58"/>
      <c r="AV560" s="58"/>
      <c r="AW560" s="58"/>
      <c r="AX560" s="58"/>
      <c r="AY560" s="58"/>
      <c r="AZ560" s="59"/>
      <c r="BA560" s="58"/>
      <c r="BB560" s="58"/>
      <c r="BC560" s="58"/>
      <c r="BD560" s="58"/>
      <c r="BE560" s="58"/>
      <c r="BF560" s="59"/>
      <c r="BG560" s="58"/>
      <c r="BH560" s="58"/>
      <c r="BI560" s="58"/>
      <c r="BJ560" s="58"/>
      <c r="BK560" s="58"/>
      <c r="BL560" s="59"/>
      <c r="BM560" s="58"/>
      <c r="BN560" s="58"/>
      <c r="BO560" s="58"/>
      <c r="BP560" s="58"/>
      <c r="BQ560" s="58"/>
      <c r="BR560" s="58"/>
      <c r="BS560" s="58"/>
      <c r="BT560" s="58"/>
      <c r="BU560" s="58"/>
      <c r="BV560" s="58"/>
      <c r="BW560" s="58"/>
      <c r="BX560" s="58"/>
      <c r="BY560" s="58"/>
      <c r="BZ560" s="58"/>
      <c r="CA560" s="58"/>
      <c r="CB560" s="58"/>
      <c r="CC560" s="58"/>
      <c r="CD560" s="58"/>
      <c r="CE560" s="58"/>
      <c r="CF560" s="58"/>
      <c r="CG560" s="58"/>
      <c r="CH560" s="58"/>
      <c r="CI560" s="58"/>
      <c r="CJ560" s="58"/>
      <c r="CK560" s="58"/>
      <c r="CL560" s="58"/>
      <c r="CM560" s="58"/>
      <c r="CN560" s="58"/>
      <c r="CO560" s="58"/>
      <c r="CP560" s="58"/>
      <c r="CQ560" s="58"/>
      <c r="CR560" s="58"/>
      <c r="CS560" s="58"/>
      <c r="CT560" s="58"/>
      <c r="CU560" s="58"/>
    </row>
    <row r="561" spans="1:99" ht="15" thickBot="1" x14ac:dyDescent="0.4">
      <c r="A561" s="14"/>
      <c r="B561" s="14"/>
      <c r="C561" s="14"/>
      <c r="D561" s="14"/>
      <c r="E561" s="14"/>
      <c r="F561" s="14"/>
      <c r="G561" s="14"/>
      <c r="H561" s="14"/>
      <c r="I561" s="14"/>
      <c r="J561" s="41"/>
      <c r="L561" s="58"/>
      <c r="M561" s="58"/>
      <c r="N561" s="58"/>
      <c r="O561" s="58"/>
      <c r="P561" s="269"/>
      <c r="Q561" s="58"/>
      <c r="R561" s="58"/>
      <c r="S561" s="58"/>
      <c r="T561" s="58"/>
      <c r="U561" s="58"/>
      <c r="V561" s="269"/>
      <c r="W561" s="58"/>
      <c r="X561" s="58"/>
      <c r="Y561" s="58"/>
      <c r="Z561" s="58"/>
      <c r="AA561" s="58"/>
      <c r="AB561" s="269"/>
      <c r="AC561" s="58"/>
      <c r="AD561" s="58"/>
      <c r="AE561" s="58"/>
      <c r="AF561" s="58"/>
      <c r="AG561" s="58"/>
      <c r="AH561" s="269"/>
      <c r="AI561" s="58"/>
      <c r="AJ561" s="58"/>
      <c r="AK561" s="58"/>
      <c r="AL561" s="58"/>
      <c r="AM561" s="58"/>
      <c r="AN561" s="59"/>
      <c r="AO561" s="58"/>
      <c r="AP561" s="58"/>
      <c r="AQ561" s="58"/>
      <c r="AR561" s="58"/>
      <c r="AS561" s="58"/>
      <c r="AT561" s="59"/>
      <c r="AU561" s="58"/>
      <c r="AV561" s="58"/>
      <c r="AW561" s="58"/>
      <c r="AX561" s="58"/>
      <c r="AY561" s="58"/>
      <c r="AZ561" s="59"/>
      <c r="BA561" s="58"/>
      <c r="BB561" s="58"/>
      <c r="BC561" s="58"/>
      <c r="BD561" s="58"/>
      <c r="BE561" s="58"/>
      <c r="BF561" s="59"/>
      <c r="BG561" s="58"/>
      <c r="BH561" s="58"/>
      <c r="BI561" s="58"/>
      <c r="BJ561" s="58"/>
      <c r="BK561" s="58"/>
      <c r="BL561" s="59"/>
      <c r="BM561" s="58"/>
      <c r="BN561" s="58"/>
      <c r="BO561" s="58"/>
      <c r="BP561" s="58"/>
      <c r="BQ561" s="58"/>
      <c r="BR561" s="58"/>
      <c r="BS561" s="58"/>
      <c r="BT561" s="58"/>
      <c r="BU561" s="58"/>
      <c r="BV561" s="58"/>
      <c r="BW561" s="58"/>
      <c r="BX561" s="58"/>
      <c r="BY561" s="58"/>
      <c r="BZ561" s="58"/>
      <c r="CA561" s="58"/>
      <c r="CB561" s="58"/>
      <c r="CC561" s="58"/>
      <c r="CD561" s="58"/>
      <c r="CE561" s="58"/>
      <c r="CF561" s="58"/>
      <c r="CG561" s="58"/>
      <c r="CH561" s="58"/>
      <c r="CI561" s="58"/>
      <c r="CJ561" s="58"/>
      <c r="CK561" s="58"/>
      <c r="CL561" s="58"/>
      <c r="CM561" s="58"/>
      <c r="CN561" s="58"/>
      <c r="CO561" s="58"/>
      <c r="CP561" s="58"/>
      <c r="CQ561" s="58"/>
      <c r="CR561" s="58"/>
      <c r="CS561" s="58"/>
      <c r="CT561" s="58"/>
      <c r="CU561" s="58"/>
    </row>
    <row r="562" spans="1:99" ht="15" thickBot="1" x14ac:dyDescent="0.4">
      <c r="A562" s="14"/>
      <c r="B562" s="14"/>
      <c r="C562" s="14"/>
      <c r="D562" s="14"/>
      <c r="E562" s="14"/>
      <c r="F562" s="14"/>
      <c r="G562" s="14"/>
      <c r="H562" s="14"/>
      <c r="I562" s="14"/>
      <c r="J562" s="41"/>
      <c r="L562" s="58"/>
      <c r="M562" s="58"/>
      <c r="N562" s="58"/>
      <c r="O562" s="58"/>
      <c r="P562" s="269"/>
      <c r="Q562" s="58"/>
      <c r="R562" s="58"/>
      <c r="S562" s="58"/>
      <c r="T562" s="58"/>
      <c r="U562" s="58"/>
      <c r="V562" s="269"/>
      <c r="W562" s="58"/>
      <c r="X562" s="58"/>
      <c r="Y562" s="58"/>
      <c r="Z562" s="58"/>
      <c r="AA562" s="58"/>
      <c r="AB562" s="269"/>
      <c r="AC562" s="58"/>
      <c r="AD562" s="58"/>
      <c r="AE562" s="58"/>
      <c r="AF562" s="58"/>
      <c r="AG562" s="58"/>
      <c r="AH562" s="269"/>
      <c r="AI562" s="58"/>
      <c r="AJ562" s="58"/>
      <c r="AK562" s="58"/>
      <c r="AL562" s="58"/>
      <c r="AM562" s="58"/>
      <c r="AN562" s="59"/>
      <c r="AO562" s="58"/>
      <c r="AP562" s="58"/>
      <c r="AQ562" s="58"/>
      <c r="AR562" s="58"/>
      <c r="AS562" s="58"/>
      <c r="AT562" s="59"/>
      <c r="AU562" s="58"/>
      <c r="AV562" s="58"/>
      <c r="AW562" s="58"/>
      <c r="AX562" s="58"/>
      <c r="AY562" s="58"/>
      <c r="AZ562" s="59"/>
      <c r="BA562" s="58"/>
      <c r="BB562" s="58"/>
      <c r="BC562" s="58"/>
      <c r="BD562" s="58"/>
      <c r="BE562" s="58"/>
      <c r="BF562" s="59"/>
      <c r="BG562" s="58"/>
      <c r="BH562" s="58"/>
      <c r="BI562" s="58"/>
      <c r="BJ562" s="58"/>
      <c r="BK562" s="58"/>
      <c r="BL562" s="59"/>
      <c r="BM562" s="58"/>
      <c r="BN562" s="58"/>
      <c r="BO562" s="58"/>
      <c r="BP562" s="58"/>
      <c r="BQ562" s="58"/>
      <c r="BR562" s="58"/>
      <c r="BS562" s="58"/>
      <c r="BT562" s="58"/>
      <c r="BU562" s="58"/>
      <c r="BV562" s="58"/>
      <c r="BW562" s="58"/>
      <c r="BX562" s="58"/>
      <c r="BY562" s="58"/>
      <c r="BZ562" s="58"/>
      <c r="CA562" s="58"/>
      <c r="CB562" s="58"/>
      <c r="CC562" s="58"/>
      <c r="CD562" s="58"/>
      <c r="CE562" s="58"/>
      <c r="CF562" s="58"/>
      <c r="CG562" s="58"/>
      <c r="CH562" s="58"/>
      <c r="CI562" s="58"/>
      <c r="CJ562" s="58"/>
      <c r="CK562" s="58"/>
      <c r="CL562" s="58"/>
      <c r="CM562" s="58"/>
      <c r="CN562" s="58"/>
      <c r="CO562" s="58"/>
      <c r="CP562" s="58"/>
      <c r="CQ562" s="58"/>
      <c r="CR562" s="58"/>
      <c r="CS562" s="58"/>
      <c r="CT562" s="58"/>
      <c r="CU562" s="58"/>
    </row>
    <row r="563" spans="1:99" ht="15" thickBot="1" x14ac:dyDescent="0.4">
      <c r="A563" s="14"/>
      <c r="B563" s="14"/>
      <c r="C563" s="14"/>
      <c r="D563" s="14"/>
      <c r="E563" s="14"/>
      <c r="F563" s="14"/>
      <c r="G563" s="14"/>
      <c r="H563" s="14"/>
      <c r="I563" s="14"/>
      <c r="J563" s="41"/>
      <c r="L563" s="58"/>
      <c r="M563" s="58"/>
      <c r="N563" s="58"/>
      <c r="O563" s="58"/>
      <c r="P563" s="269"/>
      <c r="Q563" s="58"/>
      <c r="R563" s="58"/>
      <c r="S563" s="58"/>
      <c r="T563" s="58"/>
      <c r="U563" s="58"/>
      <c r="V563" s="269"/>
      <c r="W563" s="58"/>
      <c r="X563" s="58"/>
      <c r="Y563" s="58"/>
      <c r="Z563" s="58"/>
      <c r="AA563" s="58"/>
      <c r="AB563" s="269"/>
      <c r="AC563" s="58"/>
      <c r="AD563" s="58"/>
      <c r="AE563" s="58"/>
      <c r="AF563" s="58"/>
      <c r="AG563" s="58"/>
      <c r="AH563" s="269"/>
      <c r="AI563" s="58"/>
      <c r="AJ563" s="58"/>
      <c r="AK563" s="58"/>
      <c r="AL563" s="58"/>
      <c r="AM563" s="58"/>
      <c r="AN563" s="59"/>
      <c r="AO563" s="58"/>
      <c r="AP563" s="58"/>
      <c r="AQ563" s="58"/>
      <c r="AR563" s="58"/>
      <c r="AS563" s="58"/>
      <c r="AT563" s="59"/>
      <c r="AU563" s="58"/>
      <c r="AV563" s="58"/>
      <c r="AW563" s="58"/>
      <c r="AX563" s="58"/>
      <c r="AY563" s="58"/>
      <c r="AZ563" s="59"/>
      <c r="BA563" s="58"/>
      <c r="BB563" s="58"/>
      <c r="BC563" s="58"/>
      <c r="BD563" s="58"/>
      <c r="BE563" s="58"/>
      <c r="BF563" s="59"/>
      <c r="BG563" s="58"/>
      <c r="BH563" s="58"/>
      <c r="BI563" s="58"/>
      <c r="BJ563" s="58"/>
      <c r="BK563" s="58"/>
      <c r="BL563" s="59"/>
      <c r="BM563" s="58"/>
      <c r="BN563" s="58"/>
      <c r="BO563" s="58"/>
      <c r="BP563" s="58"/>
      <c r="BQ563" s="58"/>
      <c r="BR563" s="58"/>
      <c r="BS563" s="58"/>
      <c r="BT563" s="58"/>
      <c r="BU563" s="58"/>
      <c r="BV563" s="58"/>
      <c r="BW563" s="58"/>
      <c r="BX563" s="58"/>
      <c r="BY563" s="58"/>
      <c r="BZ563" s="58"/>
      <c r="CA563" s="58"/>
      <c r="CB563" s="58"/>
      <c r="CC563" s="58"/>
      <c r="CD563" s="58"/>
      <c r="CE563" s="58"/>
      <c r="CF563" s="58"/>
      <c r="CG563" s="58"/>
      <c r="CH563" s="58"/>
      <c r="CI563" s="58"/>
      <c r="CJ563" s="58"/>
      <c r="CK563" s="58"/>
      <c r="CL563" s="58"/>
      <c r="CM563" s="58"/>
      <c r="CN563" s="58"/>
      <c r="CO563" s="58"/>
      <c r="CP563" s="58"/>
      <c r="CQ563" s="58"/>
      <c r="CR563" s="58"/>
      <c r="CS563" s="58"/>
      <c r="CT563" s="58"/>
      <c r="CU563" s="58"/>
    </row>
    <row r="564" spans="1:99" ht="15" thickBot="1" x14ac:dyDescent="0.4">
      <c r="A564" s="14"/>
      <c r="B564" s="14"/>
      <c r="C564" s="14"/>
      <c r="D564" s="14"/>
      <c r="E564" s="14"/>
      <c r="F564" s="14"/>
      <c r="G564" s="14"/>
      <c r="H564" s="14"/>
      <c r="I564" s="14"/>
      <c r="J564" s="41"/>
      <c r="L564" s="58"/>
      <c r="M564" s="58"/>
      <c r="N564" s="58"/>
      <c r="O564" s="58"/>
      <c r="P564" s="269"/>
      <c r="Q564" s="58"/>
      <c r="R564" s="58"/>
      <c r="S564" s="58"/>
      <c r="T564" s="58"/>
      <c r="U564" s="58"/>
      <c r="V564" s="269"/>
      <c r="W564" s="58"/>
      <c r="X564" s="58"/>
      <c r="Y564" s="58"/>
      <c r="Z564" s="58"/>
      <c r="AA564" s="58"/>
      <c r="AB564" s="269"/>
      <c r="AC564" s="58"/>
      <c r="AD564" s="58"/>
      <c r="AE564" s="58"/>
      <c r="AF564" s="58"/>
      <c r="AG564" s="58"/>
      <c r="AH564" s="269"/>
      <c r="AI564" s="58"/>
      <c r="AJ564" s="58"/>
      <c r="AK564" s="58"/>
      <c r="AL564" s="58"/>
      <c r="AM564" s="58"/>
      <c r="AN564" s="59"/>
      <c r="AO564" s="58"/>
      <c r="AP564" s="58"/>
      <c r="AQ564" s="58"/>
      <c r="AR564" s="58"/>
      <c r="AS564" s="58"/>
      <c r="AT564" s="59"/>
      <c r="AU564" s="58"/>
      <c r="AV564" s="58"/>
      <c r="AW564" s="58"/>
      <c r="AX564" s="58"/>
      <c r="AY564" s="58"/>
      <c r="AZ564" s="59"/>
      <c r="BA564" s="58"/>
      <c r="BB564" s="58"/>
      <c r="BC564" s="58"/>
      <c r="BD564" s="58"/>
      <c r="BE564" s="58"/>
      <c r="BF564" s="59"/>
      <c r="BG564" s="58"/>
      <c r="BH564" s="58"/>
      <c r="BI564" s="58"/>
      <c r="BJ564" s="58"/>
      <c r="BK564" s="58"/>
      <c r="BL564" s="59"/>
      <c r="BM564" s="58"/>
      <c r="BN564" s="58"/>
      <c r="BO564" s="58"/>
      <c r="BP564" s="58"/>
      <c r="BQ564" s="58"/>
      <c r="BR564" s="58"/>
      <c r="BS564" s="58"/>
      <c r="BT564" s="58"/>
      <c r="BU564" s="58"/>
      <c r="BV564" s="58"/>
      <c r="BW564" s="58"/>
      <c r="BX564" s="58"/>
      <c r="BY564" s="58"/>
      <c r="BZ564" s="58"/>
      <c r="CA564" s="58"/>
      <c r="CB564" s="58"/>
      <c r="CC564" s="58"/>
      <c r="CD564" s="58"/>
      <c r="CE564" s="58"/>
      <c r="CF564" s="58"/>
      <c r="CG564" s="58"/>
      <c r="CH564" s="58"/>
      <c r="CI564" s="58"/>
      <c r="CJ564" s="58"/>
      <c r="CK564" s="58"/>
      <c r="CL564" s="58"/>
      <c r="CM564" s="58"/>
      <c r="CN564" s="58"/>
      <c r="CO564" s="58"/>
      <c r="CP564" s="58"/>
      <c r="CQ564" s="58"/>
      <c r="CR564" s="58"/>
      <c r="CS564" s="58"/>
      <c r="CT564" s="58"/>
      <c r="CU564" s="58"/>
    </row>
    <row r="565" spans="1:99" ht="15" thickBot="1" x14ac:dyDescent="0.4">
      <c r="A565" s="14"/>
      <c r="B565" s="14"/>
      <c r="C565" s="14"/>
      <c r="D565" s="14"/>
      <c r="E565" s="14"/>
      <c r="F565" s="14"/>
      <c r="G565" s="14"/>
      <c r="H565" s="14"/>
      <c r="I565" s="14"/>
      <c r="J565" s="41"/>
      <c r="L565" s="58"/>
      <c r="M565" s="58"/>
      <c r="N565" s="58"/>
      <c r="O565" s="58"/>
      <c r="P565" s="269"/>
      <c r="Q565" s="58"/>
      <c r="R565" s="58"/>
      <c r="S565" s="58"/>
      <c r="T565" s="58"/>
      <c r="U565" s="58"/>
      <c r="V565" s="269"/>
      <c r="W565" s="58"/>
      <c r="X565" s="58"/>
      <c r="Y565" s="58"/>
      <c r="Z565" s="58"/>
      <c r="AA565" s="58"/>
      <c r="AB565" s="269"/>
      <c r="AC565" s="58"/>
      <c r="AD565" s="58"/>
      <c r="AE565" s="58"/>
      <c r="AF565" s="58"/>
      <c r="AG565" s="58"/>
      <c r="AH565" s="269"/>
      <c r="AI565" s="58"/>
      <c r="AJ565" s="58"/>
      <c r="AK565" s="58"/>
      <c r="AL565" s="58"/>
      <c r="AM565" s="58"/>
      <c r="AN565" s="59"/>
      <c r="AO565" s="58"/>
      <c r="AP565" s="58"/>
      <c r="AQ565" s="58"/>
      <c r="AR565" s="58"/>
      <c r="AS565" s="58"/>
      <c r="AT565" s="59"/>
      <c r="AU565" s="58"/>
      <c r="AV565" s="58"/>
      <c r="AW565" s="58"/>
      <c r="AX565" s="58"/>
      <c r="AY565" s="58"/>
      <c r="AZ565" s="59"/>
      <c r="BA565" s="58"/>
      <c r="BB565" s="58"/>
      <c r="BC565" s="58"/>
      <c r="BD565" s="58"/>
      <c r="BE565" s="58"/>
      <c r="BF565" s="59"/>
      <c r="BG565" s="58"/>
      <c r="BH565" s="58"/>
      <c r="BI565" s="58"/>
      <c r="BJ565" s="58"/>
      <c r="BK565" s="58"/>
      <c r="BL565" s="59"/>
      <c r="BM565" s="58"/>
      <c r="BN565" s="58"/>
      <c r="BO565" s="58"/>
      <c r="BP565" s="58"/>
      <c r="BQ565" s="58"/>
      <c r="BR565" s="58"/>
      <c r="BS565" s="58"/>
      <c r="BT565" s="58"/>
      <c r="BU565" s="58"/>
      <c r="BV565" s="58"/>
      <c r="BW565" s="58"/>
      <c r="BX565" s="58"/>
      <c r="BY565" s="58"/>
      <c r="BZ565" s="58"/>
      <c r="CA565" s="58"/>
      <c r="CB565" s="58"/>
      <c r="CC565" s="58"/>
      <c r="CD565" s="58"/>
      <c r="CE565" s="58"/>
      <c r="CF565" s="58"/>
      <c r="CG565" s="58"/>
      <c r="CH565" s="58"/>
      <c r="CI565" s="58"/>
      <c r="CJ565" s="58"/>
      <c r="CK565" s="58"/>
      <c r="CL565" s="58"/>
      <c r="CM565" s="58"/>
      <c r="CN565" s="58"/>
      <c r="CO565" s="58"/>
      <c r="CP565" s="58"/>
      <c r="CQ565" s="58"/>
      <c r="CR565" s="58"/>
      <c r="CS565" s="58"/>
      <c r="CT565" s="58"/>
      <c r="CU565" s="58"/>
    </row>
    <row r="566" spans="1:99" ht="15" thickBot="1" x14ac:dyDescent="0.4">
      <c r="A566" s="14"/>
      <c r="B566" s="14"/>
      <c r="C566" s="14"/>
      <c r="D566" s="14"/>
      <c r="E566" s="14"/>
      <c r="F566" s="14"/>
      <c r="G566" s="14"/>
      <c r="H566" s="14"/>
      <c r="I566" s="14"/>
      <c r="J566" s="41"/>
      <c r="L566" s="58"/>
      <c r="M566" s="58"/>
      <c r="N566" s="58"/>
      <c r="O566" s="58"/>
      <c r="P566" s="269"/>
      <c r="Q566" s="58"/>
      <c r="R566" s="58"/>
      <c r="S566" s="58"/>
      <c r="T566" s="58"/>
      <c r="U566" s="58"/>
      <c r="V566" s="269"/>
      <c r="W566" s="58"/>
      <c r="X566" s="58"/>
      <c r="Y566" s="58"/>
      <c r="Z566" s="58"/>
      <c r="AA566" s="58"/>
      <c r="AB566" s="269"/>
      <c r="AC566" s="58"/>
      <c r="AD566" s="58"/>
      <c r="AE566" s="58"/>
      <c r="AF566" s="58"/>
      <c r="AG566" s="58"/>
      <c r="AH566" s="269"/>
      <c r="AI566" s="58"/>
      <c r="AJ566" s="58"/>
      <c r="AK566" s="58"/>
      <c r="AL566" s="58"/>
      <c r="AM566" s="58"/>
      <c r="AN566" s="59"/>
      <c r="AO566" s="58"/>
      <c r="AP566" s="58"/>
      <c r="AQ566" s="58"/>
      <c r="AR566" s="58"/>
      <c r="AS566" s="58"/>
      <c r="AT566" s="59"/>
      <c r="AU566" s="58"/>
      <c r="AV566" s="58"/>
      <c r="AW566" s="58"/>
      <c r="AX566" s="58"/>
      <c r="AY566" s="58"/>
      <c r="AZ566" s="59"/>
      <c r="BA566" s="58"/>
      <c r="BB566" s="58"/>
      <c r="BC566" s="58"/>
      <c r="BD566" s="58"/>
      <c r="BE566" s="58"/>
      <c r="BF566" s="59"/>
      <c r="BG566" s="58"/>
      <c r="BH566" s="58"/>
      <c r="BI566" s="58"/>
      <c r="BJ566" s="58"/>
      <c r="BK566" s="58"/>
      <c r="BL566" s="59"/>
      <c r="BM566" s="58"/>
      <c r="BN566" s="58"/>
      <c r="BO566" s="58"/>
      <c r="BP566" s="58"/>
      <c r="BQ566" s="58"/>
      <c r="BR566" s="58"/>
      <c r="BS566" s="58"/>
      <c r="BT566" s="58"/>
      <c r="BU566" s="58"/>
      <c r="BV566" s="58"/>
      <c r="BW566" s="58"/>
      <c r="BX566" s="58"/>
      <c r="BY566" s="58"/>
      <c r="BZ566" s="58"/>
      <c r="CA566" s="58"/>
      <c r="CB566" s="58"/>
      <c r="CC566" s="58"/>
      <c r="CD566" s="58"/>
      <c r="CE566" s="58"/>
      <c r="CF566" s="58"/>
      <c r="CG566" s="58"/>
      <c r="CH566" s="58"/>
      <c r="CI566" s="58"/>
      <c r="CJ566" s="58"/>
      <c r="CK566" s="58"/>
      <c r="CL566" s="58"/>
      <c r="CM566" s="58"/>
      <c r="CN566" s="58"/>
      <c r="CO566" s="58"/>
      <c r="CP566" s="58"/>
      <c r="CQ566" s="58"/>
      <c r="CR566" s="58"/>
      <c r="CS566" s="58"/>
      <c r="CT566" s="58"/>
      <c r="CU566" s="58"/>
    </row>
    <row r="567" spans="1:99" ht="15" thickBot="1" x14ac:dyDescent="0.4">
      <c r="A567" s="14"/>
      <c r="B567" s="14"/>
      <c r="C567" s="14"/>
      <c r="D567" s="14"/>
      <c r="E567" s="14"/>
      <c r="F567" s="14"/>
      <c r="G567" s="14"/>
      <c r="H567" s="14"/>
      <c r="I567" s="14"/>
      <c r="J567" s="41"/>
      <c r="L567" s="58"/>
      <c r="M567" s="58"/>
      <c r="N567" s="58"/>
      <c r="O567" s="58"/>
      <c r="P567" s="269"/>
      <c r="Q567" s="58"/>
      <c r="R567" s="58"/>
      <c r="S567" s="58"/>
      <c r="T567" s="58"/>
      <c r="U567" s="58"/>
      <c r="V567" s="269"/>
      <c r="W567" s="58"/>
      <c r="X567" s="58"/>
      <c r="Y567" s="58"/>
      <c r="Z567" s="58"/>
      <c r="AA567" s="58"/>
      <c r="AB567" s="269"/>
      <c r="AC567" s="58"/>
      <c r="AD567" s="58"/>
      <c r="AE567" s="58"/>
      <c r="AF567" s="58"/>
      <c r="AG567" s="58"/>
      <c r="AH567" s="269"/>
      <c r="AI567" s="58"/>
      <c r="AJ567" s="58"/>
      <c r="AK567" s="58"/>
      <c r="AL567" s="58"/>
      <c r="AM567" s="58"/>
      <c r="AN567" s="59"/>
      <c r="AO567" s="58"/>
      <c r="AP567" s="58"/>
      <c r="AQ567" s="58"/>
      <c r="AR567" s="58"/>
      <c r="AS567" s="58"/>
      <c r="AT567" s="59"/>
      <c r="AU567" s="58"/>
      <c r="AV567" s="58"/>
      <c r="AW567" s="58"/>
      <c r="AX567" s="58"/>
      <c r="AY567" s="58"/>
      <c r="AZ567" s="59"/>
      <c r="BA567" s="58"/>
      <c r="BB567" s="58"/>
      <c r="BC567" s="58"/>
      <c r="BD567" s="58"/>
      <c r="BE567" s="58"/>
      <c r="BF567" s="59"/>
      <c r="BG567" s="58"/>
      <c r="BH567" s="58"/>
      <c r="BI567" s="58"/>
      <c r="BJ567" s="58"/>
      <c r="BK567" s="58"/>
      <c r="BL567" s="59"/>
      <c r="BM567" s="58"/>
      <c r="BN567" s="58"/>
      <c r="BO567" s="58"/>
      <c r="BP567" s="58"/>
      <c r="BQ567" s="58"/>
      <c r="BR567" s="58"/>
      <c r="BS567" s="58"/>
      <c r="BT567" s="58"/>
      <c r="BU567" s="58"/>
      <c r="BV567" s="58"/>
      <c r="BW567" s="58"/>
      <c r="BX567" s="58"/>
      <c r="BY567" s="58"/>
      <c r="BZ567" s="58"/>
      <c r="CA567" s="58"/>
      <c r="CB567" s="58"/>
      <c r="CC567" s="58"/>
      <c r="CD567" s="58"/>
      <c r="CE567" s="58"/>
      <c r="CF567" s="58"/>
      <c r="CG567" s="58"/>
      <c r="CH567" s="58"/>
      <c r="CI567" s="58"/>
      <c r="CJ567" s="58"/>
      <c r="CK567" s="58"/>
      <c r="CL567" s="58"/>
      <c r="CM567" s="58"/>
      <c r="CN567" s="58"/>
      <c r="CO567" s="58"/>
      <c r="CP567" s="58"/>
      <c r="CQ567" s="58"/>
      <c r="CR567" s="58"/>
      <c r="CS567" s="58"/>
      <c r="CT567" s="58"/>
      <c r="CU567" s="58"/>
    </row>
    <row r="568" spans="1:99" ht="15" thickBot="1" x14ac:dyDescent="0.4">
      <c r="A568" s="14"/>
      <c r="B568" s="14"/>
      <c r="C568" s="14"/>
      <c r="D568" s="14"/>
      <c r="E568" s="14"/>
      <c r="F568" s="14"/>
      <c r="G568" s="14"/>
      <c r="H568" s="14"/>
      <c r="I568" s="14"/>
      <c r="J568" s="41"/>
      <c r="L568" s="58"/>
      <c r="M568" s="58"/>
      <c r="N568" s="58"/>
      <c r="O568" s="58"/>
      <c r="P568" s="269"/>
      <c r="Q568" s="58"/>
      <c r="R568" s="58"/>
      <c r="S568" s="58"/>
      <c r="T568" s="58"/>
      <c r="U568" s="58"/>
      <c r="V568" s="269"/>
      <c r="W568" s="58"/>
      <c r="X568" s="58"/>
      <c r="Y568" s="58"/>
      <c r="Z568" s="58"/>
      <c r="AA568" s="58"/>
      <c r="AB568" s="269"/>
      <c r="AC568" s="58"/>
      <c r="AD568" s="58"/>
      <c r="AE568" s="58"/>
      <c r="AF568" s="58"/>
      <c r="AG568" s="58"/>
      <c r="AH568" s="269"/>
      <c r="AI568" s="58"/>
      <c r="AJ568" s="58"/>
      <c r="AK568" s="58"/>
      <c r="AL568" s="58"/>
      <c r="AM568" s="58"/>
      <c r="AN568" s="59"/>
      <c r="AO568" s="58"/>
      <c r="AP568" s="58"/>
      <c r="AQ568" s="58"/>
      <c r="AR568" s="58"/>
      <c r="AS568" s="58"/>
      <c r="AT568" s="59"/>
      <c r="AU568" s="58"/>
      <c r="AV568" s="58"/>
      <c r="AW568" s="58"/>
      <c r="AX568" s="58"/>
      <c r="AY568" s="58"/>
      <c r="AZ568" s="59"/>
      <c r="BA568" s="58"/>
      <c r="BB568" s="58"/>
      <c r="BC568" s="58"/>
      <c r="BD568" s="58"/>
      <c r="BE568" s="58"/>
      <c r="BF568" s="59"/>
      <c r="BG568" s="58"/>
      <c r="BH568" s="58"/>
      <c r="BI568" s="58"/>
      <c r="BJ568" s="58"/>
      <c r="BK568" s="58"/>
      <c r="BL568" s="59"/>
      <c r="BM568" s="58"/>
      <c r="BN568" s="58"/>
      <c r="BO568" s="58"/>
      <c r="BP568" s="58"/>
      <c r="BQ568" s="58"/>
      <c r="BR568" s="58"/>
      <c r="BS568" s="58"/>
      <c r="BT568" s="58"/>
      <c r="BU568" s="58"/>
      <c r="BV568" s="58"/>
      <c r="BW568" s="58"/>
      <c r="BX568" s="58"/>
      <c r="BY568" s="58"/>
      <c r="BZ568" s="58"/>
      <c r="CA568" s="58"/>
      <c r="CB568" s="58"/>
      <c r="CC568" s="58"/>
      <c r="CD568" s="58"/>
      <c r="CE568" s="58"/>
      <c r="CF568" s="58"/>
      <c r="CG568" s="58"/>
      <c r="CH568" s="58"/>
      <c r="CI568" s="58"/>
      <c r="CJ568" s="58"/>
      <c r="CK568" s="58"/>
      <c r="CL568" s="58"/>
      <c r="CM568" s="58"/>
      <c r="CN568" s="58"/>
      <c r="CO568" s="58"/>
      <c r="CP568" s="58"/>
      <c r="CQ568" s="58"/>
      <c r="CR568" s="58"/>
      <c r="CS568" s="58"/>
      <c r="CT568" s="58"/>
      <c r="CU568" s="58"/>
    </row>
    <row r="569" spans="1:99" ht="15" thickBot="1" x14ac:dyDescent="0.4">
      <c r="A569" s="14"/>
      <c r="B569" s="14"/>
      <c r="C569" s="14"/>
      <c r="D569" s="14"/>
      <c r="E569" s="14"/>
      <c r="F569" s="14"/>
      <c r="G569" s="14"/>
      <c r="H569" s="14"/>
      <c r="I569" s="14"/>
      <c r="J569" s="41"/>
      <c r="L569" s="58"/>
      <c r="M569" s="58"/>
      <c r="N569" s="58"/>
      <c r="O569" s="58"/>
      <c r="P569" s="269"/>
      <c r="Q569" s="58"/>
      <c r="R569" s="58"/>
      <c r="S569" s="58"/>
      <c r="T569" s="58"/>
      <c r="U569" s="58"/>
      <c r="V569" s="269"/>
      <c r="W569" s="58"/>
      <c r="X569" s="58"/>
      <c r="Y569" s="58"/>
      <c r="Z569" s="58"/>
      <c r="AA569" s="58"/>
      <c r="AB569" s="269"/>
      <c r="AC569" s="58"/>
      <c r="AD569" s="58"/>
      <c r="AE569" s="58"/>
      <c r="AF569" s="58"/>
      <c r="AG569" s="58"/>
      <c r="AH569" s="269"/>
      <c r="AI569" s="58"/>
      <c r="AJ569" s="58"/>
      <c r="AK569" s="58"/>
      <c r="AL569" s="58"/>
      <c r="AM569" s="58"/>
      <c r="AN569" s="59"/>
      <c r="AO569" s="58"/>
      <c r="AP569" s="58"/>
      <c r="AQ569" s="58"/>
      <c r="AR569" s="58"/>
      <c r="AS569" s="58"/>
      <c r="AT569" s="59"/>
      <c r="AU569" s="58"/>
      <c r="AV569" s="58"/>
      <c r="AW569" s="58"/>
      <c r="AX569" s="58"/>
      <c r="AY569" s="58"/>
      <c r="AZ569" s="59"/>
      <c r="BA569" s="58"/>
      <c r="BB569" s="58"/>
      <c r="BC569" s="58"/>
      <c r="BD569" s="58"/>
      <c r="BE569" s="58"/>
      <c r="BF569" s="59"/>
      <c r="BG569" s="58"/>
      <c r="BH569" s="58"/>
      <c r="BI569" s="58"/>
      <c r="BJ569" s="58"/>
      <c r="BK569" s="58"/>
      <c r="BL569" s="59"/>
      <c r="BM569" s="58"/>
      <c r="BN569" s="58"/>
      <c r="BO569" s="58"/>
      <c r="BP569" s="58"/>
      <c r="BQ569" s="58"/>
      <c r="BR569" s="58"/>
      <c r="BS569" s="58"/>
      <c r="BT569" s="58"/>
      <c r="BU569" s="58"/>
      <c r="BV569" s="58"/>
      <c r="BW569" s="58"/>
      <c r="BX569" s="58"/>
      <c r="BY569" s="58"/>
      <c r="BZ569" s="58"/>
      <c r="CA569" s="58"/>
      <c r="CB569" s="58"/>
      <c r="CC569" s="58"/>
      <c r="CD569" s="58"/>
      <c r="CE569" s="58"/>
      <c r="CF569" s="58"/>
      <c r="CG569" s="58"/>
      <c r="CH569" s="58"/>
      <c r="CI569" s="58"/>
      <c r="CJ569" s="58"/>
      <c r="CK569" s="58"/>
      <c r="CL569" s="58"/>
      <c r="CM569" s="58"/>
      <c r="CN569" s="58"/>
      <c r="CO569" s="58"/>
      <c r="CP569" s="58"/>
      <c r="CQ569" s="58"/>
      <c r="CR569" s="58"/>
      <c r="CS569" s="58"/>
      <c r="CT569" s="58"/>
      <c r="CU569" s="58"/>
    </row>
    <row r="570" spans="1:99" ht="15" thickBot="1" x14ac:dyDescent="0.4">
      <c r="A570" s="14"/>
      <c r="B570" s="14"/>
      <c r="C570" s="14"/>
      <c r="D570" s="14"/>
      <c r="E570" s="14"/>
      <c r="F570" s="14"/>
      <c r="G570" s="14"/>
      <c r="H570" s="14"/>
      <c r="I570" s="14"/>
      <c r="J570" s="41"/>
      <c r="L570" s="58"/>
      <c r="M570" s="58"/>
      <c r="N570" s="58"/>
      <c r="O570" s="58"/>
      <c r="P570" s="269"/>
      <c r="Q570" s="58"/>
      <c r="R570" s="58"/>
      <c r="S570" s="58"/>
      <c r="T570" s="58"/>
      <c r="U570" s="58"/>
      <c r="V570" s="269"/>
      <c r="W570" s="58"/>
      <c r="X570" s="58"/>
      <c r="Y570" s="58"/>
      <c r="Z570" s="58"/>
      <c r="AA570" s="58"/>
      <c r="AB570" s="269"/>
      <c r="AC570" s="58"/>
      <c r="AD570" s="58"/>
      <c r="AE570" s="58"/>
      <c r="AF570" s="58"/>
      <c r="AG570" s="58"/>
      <c r="AH570" s="269"/>
      <c r="AI570" s="58"/>
      <c r="AJ570" s="58"/>
      <c r="AK570" s="58"/>
      <c r="AL570" s="58"/>
      <c r="AM570" s="58"/>
      <c r="AN570" s="59"/>
      <c r="AO570" s="58"/>
      <c r="AP570" s="58"/>
      <c r="AQ570" s="58"/>
      <c r="AR570" s="58"/>
      <c r="AS570" s="58"/>
      <c r="AT570" s="59"/>
      <c r="AU570" s="58"/>
      <c r="AV570" s="58"/>
      <c r="AW570" s="58"/>
      <c r="AX570" s="58"/>
      <c r="AY570" s="58"/>
      <c r="AZ570" s="59"/>
      <c r="BA570" s="58"/>
      <c r="BB570" s="58"/>
      <c r="BC570" s="58"/>
      <c r="BD570" s="58"/>
      <c r="BE570" s="58"/>
      <c r="BF570" s="59"/>
      <c r="BG570" s="58"/>
      <c r="BH570" s="58"/>
      <c r="BI570" s="58"/>
      <c r="BJ570" s="58"/>
      <c r="BK570" s="58"/>
      <c r="BL570" s="59"/>
      <c r="BM570" s="58"/>
      <c r="BN570" s="58"/>
      <c r="BO570" s="58"/>
      <c r="BP570" s="58"/>
      <c r="BQ570" s="58"/>
      <c r="BR570" s="58"/>
      <c r="BS570" s="58"/>
      <c r="BT570" s="58"/>
      <c r="BU570" s="58"/>
      <c r="BV570" s="58"/>
      <c r="BW570" s="58"/>
      <c r="BX570" s="58"/>
      <c r="BY570" s="58"/>
      <c r="BZ570" s="58"/>
      <c r="CA570" s="58"/>
      <c r="CB570" s="58"/>
      <c r="CC570" s="58"/>
      <c r="CD570" s="58"/>
      <c r="CE570" s="58"/>
      <c r="CF570" s="58"/>
      <c r="CG570" s="58"/>
      <c r="CH570" s="58"/>
      <c r="CI570" s="58"/>
      <c r="CJ570" s="58"/>
      <c r="CK570" s="58"/>
      <c r="CL570" s="58"/>
      <c r="CM570" s="58"/>
      <c r="CN570" s="58"/>
      <c r="CO570" s="58"/>
      <c r="CP570" s="58"/>
      <c r="CQ570" s="58"/>
      <c r="CR570" s="58"/>
      <c r="CS570" s="58"/>
      <c r="CT570" s="58"/>
      <c r="CU570" s="58"/>
    </row>
    <row r="571" spans="1:99" ht="15" thickBot="1" x14ac:dyDescent="0.4">
      <c r="A571" s="14"/>
      <c r="B571" s="14"/>
      <c r="C571" s="14"/>
      <c r="D571" s="14"/>
      <c r="E571" s="14"/>
      <c r="F571" s="14"/>
      <c r="G571" s="14"/>
      <c r="H571" s="14"/>
      <c r="I571" s="14"/>
      <c r="J571" s="41"/>
      <c r="L571" s="58"/>
      <c r="M571" s="58"/>
      <c r="N571" s="58"/>
      <c r="O571" s="58"/>
      <c r="P571" s="269"/>
      <c r="Q571" s="58"/>
      <c r="R571" s="58"/>
      <c r="S571" s="58"/>
      <c r="T571" s="58"/>
      <c r="U571" s="58"/>
      <c r="V571" s="269"/>
      <c r="W571" s="58"/>
      <c r="X571" s="58"/>
      <c r="Y571" s="58"/>
      <c r="Z571" s="58"/>
      <c r="AA571" s="58"/>
      <c r="AB571" s="269"/>
      <c r="AC571" s="58"/>
      <c r="AD571" s="58"/>
      <c r="AE571" s="58"/>
      <c r="AF571" s="58"/>
      <c r="AG571" s="58"/>
      <c r="AH571" s="269"/>
      <c r="AI571" s="58"/>
      <c r="AJ571" s="58"/>
      <c r="AK571" s="58"/>
      <c r="AL571" s="58"/>
      <c r="AM571" s="58"/>
      <c r="AN571" s="59"/>
      <c r="AO571" s="58"/>
      <c r="AP571" s="58"/>
      <c r="AQ571" s="58"/>
      <c r="AR571" s="58"/>
      <c r="AS571" s="58"/>
      <c r="AT571" s="59"/>
      <c r="AU571" s="58"/>
      <c r="AV571" s="58"/>
      <c r="AW571" s="58"/>
      <c r="AX571" s="58"/>
      <c r="AY571" s="58"/>
      <c r="AZ571" s="59"/>
      <c r="BA571" s="58"/>
      <c r="BB571" s="58"/>
      <c r="BC571" s="58"/>
      <c r="BD571" s="58"/>
      <c r="BE571" s="58"/>
      <c r="BF571" s="59"/>
      <c r="BG571" s="58"/>
      <c r="BH571" s="58"/>
      <c r="BI571" s="58"/>
      <c r="BJ571" s="58"/>
      <c r="BK571" s="58"/>
      <c r="BL571" s="59"/>
      <c r="BM571" s="58"/>
      <c r="BN571" s="58"/>
      <c r="BO571" s="58"/>
      <c r="BP571" s="58"/>
      <c r="BQ571" s="58"/>
      <c r="BR571" s="58"/>
      <c r="BS571" s="58"/>
      <c r="BT571" s="58"/>
      <c r="BU571" s="58"/>
      <c r="BV571" s="58"/>
      <c r="BW571" s="58"/>
      <c r="BX571" s="58"/>
      <c r="BY571" s="58"/>
      <c r="BZ571" s="58"/>
      <c r="CA571" s="58"/>
      <c r="CB571" s="58"/>
      <c r="CC571" s="58"/>
      <c r="CD571" s="58"/>
      <c r="CE571" s="58"/>
      <c r="CF571" s="58"/>
      <c r="CG571" s="58"/>
      <c r="CH571" s="58"/>
      <c r="CI571" s="58"/>
      <c r="CJ571" s="58"/>
      <c r="CK571" s="58"/>
      <c r="CL571" s="58"/>
      <c r="CM571" s="58"/>
      <c r="CN571" s="58"/>
      <c r="CO571" s="58"/>
      <c r="CP571" s="58"/>
      <c r="CQ571" s="58"/>
      <c r="CR571" s="58"/>
      <c r="CS571" s="58"/>
      <c r="CT571" s="58"/>
      <c r="CU571" s="58"/>
    </row>
    <row r="572" spans="1:99" ht="15" thickBot="1" x14ac:dyDescent="0.4">
      <c r="A572" s="14"/>
      <c r="B572" s="14"/>
      <c r="C572" s="14"/>
      <c r="D572" s="14"/>
      <c r="E572" s="14"/>
      <c r="F572" s="14"/>
      <c r="G572" s="14"/>
      <c r="H572" s="14"/>
      <c r="I572" s="14"/>
      <c r="J572" s="41"/>
      <c r="L572" s="58"/>
      <c r="M572" s="58"/>
      <c r="N572" s="58"/>
      <c r="O572" s="58"/>
      <c r="P572" s="269"/>
      <c r="Q572" s="58"/>
      <c r="R572" s="58"/>
      <c r="S572" s="58"/>
      <c r="T572" s="58"/>
      <c r="U572" s="58"/>
      <c r="V572" s="269"/>
      <c r="W572" s="58"/>
      <c r="X572" s="58"/>
      <c r="Y572" s="58"/>
      <c r="Z572" s="58"/>
      <c r="AA572" s="58"/>
      <c r="AB572" s="269"/>
      <c r="AC572" s="58"/>
      <c r="AD572" s="58"/>
      <c r="AE572" s="58"/>
      <c r="AF572" s="58"/>
      <c r="AG572" s="58"/>
      <c r="AH572" s="269"/>
      <c r="AI572" s="58"/>
      <c r="AJ572" s="58"/>
      <c r="AK572" s="58"/>
      <c r="AL572" s="58"/>
      <c r="AM572" s="58"/>
      <c r="AN572" s="59"/>
      <c r="AO572" s="58"/>
      <c r="AP572" s="58"/>
      <c r="AQ572" s="58"/>
      <c r="AR572" s="58"/>
      <c r="AS572" s="58"/>
      <c r="AT572" s="59"/>
      <c r="AU572" s="58"/>
      <c r="AV572" s="58"/>
      <c r="AW572" s="58"/>
      <c r="AX572" s="58"/>
      <c r="AY572" s="58"/>
      <c r="AZ572" s="59"/>
      <c r="BA572" s="58"/>
      <c r="BB572" s="58"/>
      <c r="BC572" s="58"/>
      <c r="BD572" s="58"/>
      <c r="BE572" s="58"/>
      <c r="BF572" s="59"/>
      <c r="BG572" s="58"/>
      <c r="BH572" s="58"/>
      <c r="BI572" s="58"/>
      <c r="BJ572" s="58"/>
      <c r="BK572" s="58"/>
      <c r="BL572" s="59"/>
      <c r="BM572" s="58"/>
      <c r="BN572" s="58"/>
      <c r="BO572" s="58"/>
      <c r="BP572" s="58"/>
      <c r="BQ572" s="58"/>
      <c r="BR572" s="58"/>
      <c r="BS572" s="58"/>
      <c r="BT572" s="58"/>
      <c r="BU572" s="58"/>
      <c r="BV572" s="58"/>
      <c r="BW572" s="58"/>
      <c r="BX572" s="58"/>
      <c r="BY572" s="58"/>
      <c r="BZ572" s="58"/>
      <c r="CA572" s="58"/>
      <c r="CB572" s="58"/>
      <c r="CC572" s="58"/>
      <c r="CD572" s="58"/>
      <c r="CE572" s="58"/>
      <c r="CF572" s="58"/>
      <c r="CG572" s="58"/>
      <c r="CH572" s="58"/>
      <c r="CI572" s="58"/>
      <c r="CJ572" s="58"/>
      <c r="CK572" s="58"/>
      <c r="CL572" s="58"/>
      <c r="CM572" s="58"/>
      <c r="CN572" s="58"/>
      <c r="CO572" s="58"/>
      <c r="CP572" s="58"/>
      <c r="CQ572" s="58"/>
      <c r="CR572" s="58"/>
      <c r="CS572" s="58"/>
      <c r="CT572" s="58"/>
      <c r="CU572" s="58"/>
    </row>
    <row r="573" spans="1:99" ht="15" thickBot="1" x14ac:dyDescent="0.4">
      <c r="A573" s="14"/>
      <c r="B573" s="14"/>
      <c r="C573" s="14"/>
      <c r="D573" s="14"/>
      <c r="E573" s="14"/>
      <c r="F573" s="14"/>
      <c r="G573" s="14"/>
      <c r="H573" s="14"/>
      <c r="I573" s="14"/>
      <c r="J573" s="41"/>
      <c r="L573" s="58"/>
      <c r="M573" s="58"/>
      <c r="N573" s="58"/>
      <c r="O573" s="58"/>
      <c r="P573" s="269"/>
      <c r="Q573" s="58"/>
      <c r="R573" s="58"/>
      <c r="S573" s="58"/>
      <c r="T573" s="58"/>
      <c r="U573" s="58"/>
      <c r="V573" s="269"/>
      <c r="W573" s="58"/>
      <c r="X573" s="58"/>
      <c r="Y573" s="58"/>
      <c r="Z573" s="58"/>
      <c r="AA573" s="58"/>
      <c r="AB573" s="269"/>
      <c r="AC573" s="58"/>
      <c r="AD573" s="58"/>
      <c r="AE573" s="58"/>
      <c r="AF573" s="58"/>
      <c r="AG573" s="58"/>
      <c r="AH573" s="269"/>
      <c r="AI573" s="58"/>
      <c r="AJ573" s="58"/>
      <c r="AK573" s="58"/>
      <c r="AL573" s="58"/>
      <c r="AM573" s="58"/>
      <c r="AN573" s="59"/>
      <c r="AO573" s="58"/>
      <c r="AP573" s="58"/>
      <c r="AQ573" s="58"/>
      <c r="AR573" s="58"/>
      <c r="AS573" s="58"/>
      <c r="AT573" s="59"/>
      <c r="AU573" s="58"/>
      <c r="AV573" s="58"/>
      <c r="AW573" s="58"/>
      <c r="AX573" s="58"/>
      <c r="AY573" s="58"/>
      <c r="AZ573" s="59"/>
      <c r="BA573" s="58"/>
      <c r="BB573" s="58"/>
      <c r="BC573" s="58"/>
      <c r="BD573" s="58"/>
      <c r="BE573" s="58"/>
      <c r="BF573" s="59"/>
      <c r="BG573" s="58"/>
      <c r="BH573" s="58"/>
      <c r="BI573" s="58"/>
      <c r="BJ573" s="58"/>
      <c r="BK573" s="58"/>
      <c r="BL573" s="59"/>
      <c r="BM573" s="58"/>
      <c r="BN573" s="58"/>
      <c r="BO573" s="58"/>
      <c r="BP573" s="58"/>
      <c r="BQ573" s="58"/>
      <c r="BR573" s="58"/>
      <c r="BS573" s="58"/>
      <c r="BT573" s="58"/>
      <c r="BU573" s="58"/>
      <c r="BV573" s="58"/>
      <c r="BW573" s="58"/>
      <c r="BX573" s="58"/>
      <c r="BY573" s="58"/>
      <c r="BZ573" s="58"/>
      <c r="CA573" s="58"/>
      <c r="CB573" s="58"/>
      <c r="CC573" s="58"/>
      <c r="CD573" s="58"/>
      <c r="CE573" s="58"/>
      <c r="CF573" s="58"/>
      <c r="CG573" s="58"/>
      <c r="CH573" s="58"/>
      <c r="CI573" s="58"/>
      <c r="CJ573" s="58"/>
      <c r="CK573" s="58"/>
      <c r="CL573" s="58"/>
      <c r="CM573" s="58"/>
      <c r="CN573" s="58"/>
      <c r="CO573" s="58"/>
      <c r="CP573" s="58"/>
      <c r="CQ573" s="58"/>
      <c r="CR573" s="58"/>
      <c r="CS573" s="58"/>
      <c r="CT573" s="58"/>
      <c r="CU573" s="58"/>
    </row>
    <row r="574" spans="1:99" ht="15" thickBot="1" x14ac:dyDescent="0.4">
      <c r="A574" s="14"/>
      <c r="B574" s="14"/>
      <c r="C574" s="14"/>
      <c r="D574" s="14"/>
      <c r="E574" s="14"/>
      <c r="F574" s="14"/>
      <c r="G574" s="14"/>
      <c r="H574" s="14"/>
      <c r="I574" s="14"/>
      <c r="J574" s="41"/>
      <c r="L574" s="58"/>
      <c r="M574" s="58"/>
      <c r="N574" s="58"/>
      <c r="O574" s="58"/>
      <c r="P574" s="269"/>
      <c r="Q574" s="58"/>
      <c r="R574" s="58"/>
      <c r="S574" s="58"/>
      <c r="T574" s="58"/>
      <c r="U574" s="58"/>
      <c r="V574" s="269"/>
      <c r="W574" s="58"/>
      <c r="X574" s="58"/>
      <c r="Y574" s="58"/>
      <c r="Z574" s="58"/>
      <c r="AA574" s="58"/>
      <c r="AB574" s="269"/>
      <c r="AC574" s="58"/>
      <c r="AD574" s="58"/>
      <c r="AE574" s="58"/>
      <c r="AF574" s="58"/>
      <c r="AG574" s="58"/>
      <c r="AH574" s="269"/>
      <c r="AI574" s="58"/>
      <c r="AJ574" s="58"/>
      <c r="AK574" s="58"/>
      <c r="AL574" s="58"/>
      <c r="AM574" s="58"/>
      <c r="AN574" s="59"/>
      <c r="AO574" s="58"/>
      <c r="AP574" s="58"/>
      <c r="AQ574" s="58"/>
      <c r="AR574" s="58"/>
      <c r="AS574" s="58"/>
      <c r="AT574" s="59"/>
      <c r="AU574" s="58"/>
      <c r="AV574" s="58"/>
      <c r="AW574" s="58"/>
      <c r="AX574" s="58"/>
      <c r="AY574" s="58"/>
      <c r="AZ574" s="59"/>
      <c r="BA574" s="58"/>
      <c r="BB574" s="58"/>
      <c r="BC574" s="58"/>
      <c r="BD574" s="58"/>
      <c r="BE574" s="58"/>
      <c r="BF574" s="59"/>
      <c r="BG574" s="58"/>
      <c r="BH574" s="58"/>
      <c r="BI574" s="58"/>
      <c r="BJ574" s="58"/>
      <c r="BK574" s="58"/>
      <c r="BL574" s="59"/>
      <c r="BM574" s="58"/>
      <c r="BN574" s="58"/>
      <c r="BO574" s="58"/>
      <c r="BP574" s="58"/>
      <c r="BQ574" s="58"/>
      <c r="BR574" s="58"/>
      <c r="BS574" s="58"/>
      <c r="BT574" s="58"/>
      <c r="BU574" s="58"/>
      <c r="BV574" s="58"/>
      <c r="BW574" s="58"/>
      <c r="BX574" s="58"/>
      <c r="BY574" s="58"/>
      <c r="BZ574" s="58"/>
      <c r="CA574" s="58"/>
      <c r="CB574" s="58"/>
      <c r="CC574" s="58"/>
      <c r="CD574" s="58"/>
      <c r="CE574" s="58"/>
      <c r="CF574" s="58"/>
      <c r="CG574" s="58"/>
      <c r="CH574" s="58"/>
      <c r="CI574" s="58"/>
      <c r="CJ574" s="58"/>
      <c r="CK574" s="58"/>
      <c r="CL574" s="58"/>
      <c r="CM574" s="58"/>
      <c r="CN574" s="58"/>
      <c r="CO574" s="58"/>
      <c r="CP574" s="58"/>
      <c r="CQ574" s="58"/>
      <c r="CR574" s="58"/>
      <c r="CS574" s="58"/>
      <c r="CT574" s="58"/>
      <c r="CU574" s="58"/>
    </row>
    <row r="575" spans="1:99" ht="15" thickBot="1" x14ac:dyDescent="0.4">
      <c r="A575" s="14"/>
      <c r="B575" s="14"/>
      <c r="C575" s="14"/>
      <c r="D575" s="14"/>
      <c r="E575" s="14"/>
      <c r="F575" s="14"/>
      <c r="G575" s="14"/>
      <c r="H575" s="14"/>
      <c r="I575" s="14"/>
      <c r="J575" s="41"/>
      <c r="L575" s="58"/>
      <c r="M575" s="58"/>
      <c r="N575" s="58"/>
      <c r="O575" s="58"/>
      <c r="P575" s="269"/>
      <c r="Q575" s="58"/>
      <c r="R575" s="58"/>
      <c r="S575" s="58"/>
      <c r="T575" s="58"/>
      <c r="U575" s="58"/>
      <c r="V575" s="269"/>
      <c r="W575" s="58"/>
      <c r="X575" s="58"/>
      <c r="Y575" s="58"/>
      <c r="Z575" s="58"/>
      <c r="AA575" s="58"/>
      <c r="AB575" s="269"/>
      <c r="AC575" s="58"/>
      <c r="AD575" s="58"/>
      <c r="AE575" s="58"/>
      <c r="AF575" s="58"/>
      <c r="AG575" s="58"/>
      <c r="AH575" s="269"/>
      <c r="AI575" s="58"/>
      <c r="AJ575" s="58"/>
      <c r="AK575" s="58"/>
      <c r="AL575" s="58"/>
      <c r="AM575" s="58"/>
      <c r="AN575" s="59"/>
      <c r="AO575" s="58"/>
      <c r="AP575" s="58"/>
      <c r="AQ575" s="58"/>
      <c r="AR575" s="58"/>
      <c r="AS575" s="58"/>
      <c r="AT575" s="59"/>
      <c r="AU575" s="58"/>
      <c r="AV575" s="58"/>
      <c r="AW575" s="58"/>
      <c r="AX575" s="58"/>
      <c r="AY575" s="58"/>
      <c r="AZ575" s="59"/>
      <c r="BA575" s="58"/>
      <c r="BB575" s="58"/>
      <c r="BC575" s="58"/>
      <c r="BD575" s="58"/>
      <c r="BE575" s="58"/>
      <c r="BF575" s="59"/>
      <c r="BG575" s="58"/>
      <c r="BH575" s="58"/>
      <c r="BI575" s="58"/>
      <c r="BJ575" s="58"/>
      <c r="BK575" s="58"/>
      <c r="BL575" s="59"/>
      <c r="BM575" s="58"/>
      <c r="BN575" s="58"/>
      <c r="BO575" s="58"/>
      <c r="BP575" s="58"/>
      <c r="BQ575" s="58"/>
      <c r="BR575" s="58"/>
      <c r="BS575" s="58"/>
      <c r="BT575" s="58"/>
      <c r="BU575" s="58"/>
      <c r="BV575" s="58"/>
      <c r="BW575" s="58"/>
      <c r="BX575" s="58"/>
      <c r="BY575" s="58"/>
      <c r="BZ575" s="58"/>
      <c r="CA575" s="58"/>
      <c r="CB575" s="58"/>
      <c r="CC575" s="58"/>
      <c r="CD575" s="58"/>
      <c r="CE575" s="58"/>
      <c r="CF575" s="58"/>
      <c r="CG575" s="58"/>
      <c r="CH575" s="58"/>
      <c r="CI575" s="58"/>
      <c r="CJ575" s="58"/>
      <c r="CK575" s="58"/>
      <c r="CL575" s="58"/>
      <c r="CM575" s="58"/>
      <c r="CN575" s="58"/>
      <c r="CO575" s="58"/>
      <c r="CP575" s="58"/>
      <c r="CQ575" s="58"/>
      <c r="CR575" s="58"/>
      <c r="CS575" s="58"/>
      <c r="CT575" s="58"/>
      <c r="CU575" s="58"/>
    </row>
    <row r="576" spans="1:99" ht="15" thickBot="1" x14ac:dyDescent="0.4">
      <c r="A576" s="14"/>
      <c r="B576" s="14"/>
      <c r="C576" s="14"/>
      <c r="D576" s="14"/>
      <c r="E576" s="14"/>
      <c r="F576" s="14"/>
      <c r="G576" s="14"/>
      <c r="H576" s="14"/>
      <c r="I576" s="14"/>
      <c r="J576" s="41"/>
      <c r="L576" s="58"/>
      <c r="M576" s="58"/>
      <c r="N576" s="58"/>
      <c r="O576" s="58"/>
      <c r="P576" s="269"/>
      <c r="Q576" s="58"/>
      <c r="R576" s="58"/>
      <c r="S576" s="58"/>
      <c r="T576" s="58"/>
      <c r="U576" s="58"/>
      <c r="V576" s="269"/>
      <c r="W576" s="58"/>
      <c r="X576" s="58"/>
      <c r="Y576" s="58"/>
      <c r="Z576" s="58"/>
      <c r="AA576" s="58"/>
      <c r="AB576" s="269"/>
      <c r="AC576" s="58"/>
      <c r="AD576" s="58"/>
      <c r="AE576" s="58"/>
      <c r="AF576" s="58"/>
      <c r="AG576" s="58"/>
      <c r="AH576" s="269"/>
      <c r="AI576" s="58"/>
      <c r="AJ576" s="58"/>
      <c r="AK576" s="58"/>
      <c r="AL576" s="58"/>
      <c r="AM576" s="58"/>
      <c r="AN576" s="59"/>
      <c r="AO576" s="58"/>
      <c r="AP576" s="58"/>
      <c r="AQ576" s="58"/>
      <c r="AR576" s="58"/>
      <c r="AS576" s="58"/>
      <c r="AT576" s="59"/>
      <c r="AU576" s="58"/>
      <c r="AV576" s="58"/>
      <c r="AW576" s="58"/>
      <c r="AX576" s="58"/>
      <c r="AY576" s="58"/>
      <c r="AZ576" s="59"/>
      <c r="BA576" s="58"/>
      <c r="BB576" s="58"/>
      <c r="BC576" s="58"/>
      <c r="BD576" s="58"/>
      <c r="BE576" s="58"/>
      <c r="BF576" s="59"/>
      <c r="BG576" s="58"/>
      <c r="BH576" s="58"/>
      <c r="BI576" s="58"/>
      <c r="BJ576" s="58"/>
      <c r="BK576" s="58"/>
      <c r="BL576" s="59"/>
      <c r="BM576" s="58"/>
      <c r="BN576" s="58"/>
      <c r="BO576" s="58"/>
      <c r="BP576" s="58"/>
      <c r="BQ576" s="58"/>
      <c r="BR576" s="58"/>
      <c r="BS576" s="58"/>
      <c r="BT576" s="58"/>
      <c r="BU576" s="58"/>
      <c r="BV576" s="58"/>
      <c r="BW576" s="58"/>
      <c r="BX576" s="58"/>
      <c r="BY576" s="58"/>
      <c r="BZ576" s="58"/>
      <c r="CA576" s="58"/>
      <c r="CB576" s="58"/>
      <c r="CC576" s="58"/>
      <c r="CD576" s="58"/>
      <c r="CE576" s="58"/>
      <c r="CF576" s="58"/>
      <c r="CG576" s="58"/>
      <c r="CH576" s="58"/>
      <c r="CI576" s="58"/>
      <c r="CJ576" s="58"/>
      <c r="CK576" s="58"/>
      <c r="CL576" s="58"/>
      <c r="CM576" s="58"/>
      <c r="CN576" s="58"/>
      <c r="CO576" s="58"/>
      <c r="CP576" s="58"/>
      <c r="CQ576" s="58"/>
      <c r="CR576" s="58"/>
      <c r="CS576" s="58"/>
      <c r="CT576" s="58"/>
      <c r="CU576" s="58"/>
    </row>
    <row r="577" spans="1:99" ht="15" thickBot="1" x14ac:dyDescent="0.4">
      <c r="A577" s="14"/>
      <c r="B577" s="14"/>
      <c r="C577" s="14"/>
      <c r="D577" s="14"/>
      <c r="E577" s="14"/>
      <c r="F577" s="14"/>
      <c r="G577" s="14"/>
      <c r="H577" s="14"/>
      <c r="I577" s="14"/>
      <c r="J577" s="41"/>
      <c r="L577" s="58"/>
      <c r="M577" s="58"/>
      <c r="N577" s="58"/>
      <c r="O577" s="58"/>
      <c r="P577" s="269"/>
      <c r="Q577" s="58"/>
      <c r="R577" s="58"/>
      <c r="S577" s="58"/>
      <c r="T577" s="58"/>
      <c r="U577" s="58"/>
      <c r="V577" s="269"/>
      <c r="W577" s="58"/>
      <c r="X577" s="58"/>
      <c r="Y577" s="58"/>
      <c r="Z577" s="58"/>
      <c r="AA577" s="58"/>
      <c r="AB577" s="269"/>
      <c r="AC577" s="58"/>
      <c r="AD577" s="58"/>
      <c r="AE577" s="58"/>
      <c r="AF577" s="58"/>
      <c r="AG577" s="58"/>
      <c r="AH577" s="269"/>
      <c r="AI577" s="58"/>
      <c r="AJ577" s="58"/>
      <c r="AK577" s="58"/>
      <c r="AL577" s="58"/>
      <c r="AM577" s="58"/>
      <c r="AN577" s="59"/>
      <c r="AO577" s="58"/>
      <c r="AP577" s="58"/>
      <c r="AQ577" s="58"/>
      <c r="AR577" s="58"/>
      <c r="AS577" s="58"/>
      <c r="AT577" s="59"/>
      <c r="AU577" s="58"/>
      <c r="AV577" s="58"/>
      <c r="AW577" s="58"/>
      <c r="AX577" s="58"/>
      <c r="AY577" s="58"/>
      <c r="AZ577" s="59"/>
      <c r="BA577" s="58"/>
      <c r="BB577" s="58"/>
      <c r="BC577" s="58"/>
      <c r="BD577" s="58"/>
      <c r="BE577" s="58"/>
      <c r="BF577" s="59"/>
      <c r="BG577" s="58"/>
      <c r="BH577" s="58"/>
      <c r="BI577" s="58"/>
      <c r="BJ577" s="58"/>
      <c r="BK577" s="58"/>
      <c r="BL577" s="59"/>
      <c r="BM577" s="58"/>
      <c r="BN577" s="58"/>
      <c r="BO577" s="58"/>
      <c r="BP577" s="58"/>
      <c r="BQ577" s="58"/>
      <c r="BR577" s="58"/>
      <c r="BS577" s="58"/>
      <c r="BT577" s="58"/>
      <c r="BU577" s="58"/>
      <c r="BV577" s="58"/>
      <c r="BW577" s="58"/>
      <c r="BX577" s="58"/>
      <c r="BY577" s="58"/>
      <c r="BZ577" s="58"/>
      <c r="CA577" s="58"/>
      <c r="CB577" s="58"/>
      <c r="CC577" s="58"/>
      <c r="CD577" s="58"/>
      <c r="CE577" s="58"/>
      <c r="CF577" s="58"/>
      <c r="CG577" s="58"/>
      <c r="CH577" s="58"/>
      <c r="CI577" s="58"/>
      <c r="CJ577" s="58"/>
      <c r="CK577" s="58"/>
      <c r="CL577" s="58"/>
      <c r="CM577" s="58"/>
      <c r="CN577" s="58"/>
      <c r="CO577" s="58"/>
      <c r="CP577" s="58"/>
      <c r="CQ577" s="58"/>
      <c r="CR577" s="58"/>
      <c r="CS577" s="58"/>
      <c r="CT577" s="58"/>
      <c r="CU577" s="58"/>
    </row>
    <row r="578" spans="1:99" ht="15" thickBot="1" x14ac:dyDescent="0.4">
      <c r="A578" s="14"/>
      <c r="B578" s="14"/>
      <c r="C578" s="14"/>
      <c r="D578" s="14"/>
      <c r="E578" s="14"/>
      <c r="F578" s="14"/>
      <c r="G578" s="14"/>
      <c r="H578" s="14"/>
      <c r="I578" s="14"/>
      <c r="J578" s="41"/>
      <c r="L578" s="58"/>
      <c r="M578" s="58"/>
      <c r="N578" s="58"/>
      <c r="O578" s="58"/>
      <c r="P578" s="269"/>
      <c r="Q578" s="58"/>
      <c r="R578" s="58"/>
      <c r="S578" s="58"/>
      <c r="T578" s="58"/>
      <c r="U578" s="58"/>
      <c r="V578" s="269"/>
      <c r="W578" s="58"/>
      <c r="X578" s="58"/>
      <c r="Y578" s="58"/>
      <c r="Z578" s="58"/>
      <c r="AA578" s="58"/>
      <c r="AB578" s="269"/>
      <c r="AC578" s="58"/>
      <c r="AD578" s="58"/>
      <c r="AE578" s="58"/>
      <c r="AF578" s="58"/>
      <c r="AG578" s="58"/>
      <c r="AH578" s="269"/>
      <c r="AI578" s="58"/>
      <c r="AJ578" s="58"/>
      <c r="AK578" s="58"/>
      <c r="AL578" s="58"/>
      <c r="AM578" s="58"/>
      <c r="AN578" s="59"/>
      <c r="AO578" s="58"/>
      <c r="AP578" s="58"/>
      <c r="AQ578" s="58"/>
      <c r="AR578" s="58"/>
      <c r="AS578" s="58"/>
      <c r="AT578" s="59"/>
      <c r="AU578" s="58"/>
      <c r="AV578" s="58"/>
      <c r="AW578" s="58"/>
      <c r="AX578" s="58"/>
      <c r="AY578" s="58"/>
      <c r="AZ578" s="59"/>
      <c r="BA578" s="58"/>
      <c r="BB578" s="58"/>
      <c r="BC578" s="58"/>
      <c r="BD578" s="58"/>
      <c r="BE578" s="58"/>
      <c r="BF578" s="59"/>
      <c r="BG578" s="58"/>
      <c r="BH578" s="58"/>
      <c r="BI578" s="58"/>
      <c r="BJ578" s="58"/>
      <c r="BK578" s="58"/>
      <c r="BL578" s="59"/>
      <c r="BM578" s="58"/>
      <c r="BN578" s="58"/>
      <c r="BO578" s="58"/>
      <c r="BP578" s="58"/>
      <c r="BQ578" s="58"/>
      <c r="BR578" s="58"/>
      <c r="BS578" s="58"/>
      <c r="BT578" s="58"/>
      <c r="BU578" s="58"/>
      <c r="BV578" s="58"/>
      <c r="BW578" s="58"/>
      <c r="BX578" s="58"/>
      <c r="BY578" s="58"/>
      <c r="BZ578" s="58"/>
      <c r="CA578" s="58"/>
      <c r="CB578" s="58"/>
      <c r="CC578" s="58"/>
      <c r="CD578" s="58"/>
      <c r="CE578" s="58"/>
      <c r="CF578" s="58"/>
      <c r="CG578" s="58"/>
      <c r="CH578" s="58"/>
      <c r="CI578" s="58"/>
      <c r="CJ578" s="58"/>
      <c r="CK578" s="58"/>
      <c r="CL578" s="58"/>
      <c r="CM578" s="58"/>
      <c r="CN578" s="58"/>
      <c r="CO578" s="58"/>
      <c r="CP578" s="58"/>
      <c r="CQ578" s="58"/>
      <c r="CR578" s="58"/>
      <c r="CS578" s="58"/>
      <c r="CT578" s="58"/>
      <c r="CU578" s="58"/>
    </row>
    <row r="579" spans="1:99" ht="15" thickBot="1" x14ac:dyDescent="0.4">
      <c r="A579" s="14"/>
      <c r="B579" s="14"/>
      <c r="C579" s="14"/>
      <c r="D579" s="14"/>
      <c r="E579" s="14"/>
      <c r="F579" s="14"/>
      <c r="G579" s="14"/>
      <c r="H579" s="14"/>
      <c r="I579" s="14"/>
      <c r="J579" s="41"/>
      <c r="L579" s="58"/>
      <c r="M579" s="58"/>
      <c r="N579" s="58"/>
      <c r="O579" s="58"/>
      <c r="P579" s="269"/>
      <c r="Q579" s="58"/>
      <c r="R579" s="58"/>
      <c r="S579" s="58"/>
      <c r="T579" s="58"/>
      <c r="U579" s="58"/>
      <c r="V579" s="269"/>
      <c r="W579" s="58"/>
      <c r="X579" s="58"/>
      <c r="Y579" s="58"/>
      <c r="Z579" s="58"/>
      <c r="AA579" s="58"/>
      <c r="AB579" s="269"/>
      <c r="AC579" s="58"/>
      <c r="AD579" s="58"/>
      <c r="AE579" s="58"/>
      <c r="AF579" s="58"/>
      <c r="AG579" s="58"/>
      <c r="AH579" s="269"/>
      <c r="AI579" s="58"/>
      <c r="AJ579" s="58"/>
      <c r="AK579" s="58"/>
      <c r="AL579" s="58"/>
      <c r="AM579" s="58"/>
      <c r="AN579" s="59"/>
      <c r="AO579" s="58"/>
      <c r="AP579" s="58"/>
      <c r="AQ579" s="58"/>
      <c r="AR579" s="58"/>
      <c r="AS579" s="58"/>
      <c r="AT579" s="59"/>
      <c r="AU579" s="58"/>
      <c r="AV579" s="58"/>
      <c r="AW579" s="58"/>
      <c r="AX579" s="58"/>
      <c r="AY579" s="58"/>
      <c r="AZ579" s="59"/>
      <c r="BA579" s="58"/>
      <c r="BB579" s="58"/>
      <c r="BC579" s="58"/>
      <c r="BD579" s="58"/>
      <c r="BE579" s="58"/>
      <c r="BF579" s="59"/>
      <c r="BG579" s="58"/>
      <c r="BH579" s="58"/>
      <c r="BI579" s="58"/>
      <c r="BJ579" s="58"/>
      <c r="BK579" s="58"/>
      <c r="BL579" s="59"/>
      <c r="BM579" s="58"/>
      <c r="BN579" s="58"/>
      <c r="BO579" s="58"/>
      <c r="BP579" s="58"/>
      <c r="BQ579" s="58"/>
      <c r="BR579" s="58"/>
      <c r="BS579" s="58"/>
      <c r="BT579" s="58"/>
      <c r="BU579" s="58"/>
      <c r="BV579" s="58"/>
      <c r="BW579" s="58"/>
      <c r="BX579" s="58"/>
      <c r="BY579" s="58"/>
      <c r="BZ579" s="58"/>
      <c r="CA579" s="58"/>
      <c r="CB579" s="58"/>
      <c r="CC579" s="58"/>
      <c r="CD579" s="58"/>
      <c r="CE579" s="58"/>
      <c r="CF579" s="58"/>
      <c r="CG579" s="58"/>
      <c r="CH579" s="58"/>
      <c r="CI579" s="58"/>
      <c r="CJ579" s="58"/>
      <c r="CK579" s="58"/>
      <c r="CL579" s="58"/>
      <c r="CM579" s="58"/>
      <c r="CN579" s="58"/>
      <c r="CO579" s="58"/>
      <c r="CP579" s="58"/>
      <c r="CQ579" s="58"/>
      <c r="CR579" s="58"/>
      <c r="CS579" s="58"/>
      <c r="CT579" s="58"/>
      <c r="CU579" s="58"/>
    </row>
    <row r="580" spans="1:99" ht="15" thickBot="1" x14ac:dyDescent="0.4">
      <c r="A580" s="14"/>
      <c r="B580" s="14"/>
      <c r="C580" s="14"/>
      <c r="D580" s="14"/>
      <c r="E580" s="14"/>
      <c r="F580" s="14"/>
      <c r="G580" s="14"/>
      <c r="H580" s="14"/>
      <c r="I580" s="14"/>
      <c r="J580" s="41"/>
      <c r="L580" s="58"/>
      <c r="M580" s="58"/>
      <c r="N580" s="58"/>
      <c r="O580" s="58"/>
      <c r="P580" s="269"/>
      <c r="Q580" s="58"/>
      <c r="R580" s="58"/>
      <c r="S580" s="58"/>
      <c r="T580" s="58"/>
      <c r="U580" s="58"/>
      <c r="V580" s="269"/>
      <c r="W580" s="58"/>
      <c r="X580" s="58"/>
      <c r="Y580" s="58"/>
      <c r="Z580" s="58"/>
      <c r="AA580" s="58"/>
      <c r="AB580" s="269"/>
      <c r="AC580" s="58"/>
      <c r="AD580" s="58"/>
      <c r="AE580" s="58"/>
      <c r="AF580" s="58"/>
      <c r="AG580" s="58"/>
      <c r="AH580" s="269"/>
      <c r="AI580" s="58"/>
      <c r="AJ580" s="58"/>
      <c r="AK580" s="58"/>
      <c r="AL580" s="58"/>
      <c r="AM580" s="58"/>
      <c r="AN580" s="59"/>
      <c r="AO580" s="58"/>
      <c r="AP580" s="58"/>
      <c r="AQ580" s="58"/>
      <c r="AR580" s="58"/>
      <c r="AS580" s="58"/>
      <c r="AT580" s="59"/>
      <c r="AU580" s="58"/>
      <c r="AV580" s="58"/>
      <c r="AW580" s="58"/>
      <c r="AX580" s="58"/>
      <c r="AY580" s="58"/>
      <c r="AZ580" s="59"/>
      <c r="BA580" s="58"/>
      <c r="BB580" s="58"/>
      <c r="BC580" s="58"/>
      <c r="BD580" s="58"/>
      <c r="BE580" s="58"/>
      <c r="BF580" s="59"/>
      <c r="BG580" s="58"/>
      <c r="BH580" s="58"/>
      <c r="BI580" s="58"/>
      <c r="BJ580" s="58"/>
      <c r="BK580" s="58"/>
      <c r="BL580" s="59"/>
      <c r="BM580" s="58"/>
      <c r="BN580" s="58"/>
      <c r="BO580" s="58"/>
      <c r="BP580" s="58"/>
      <c r="BQ580" s="58"/>
      <c r="BR580" s="58"/>
      <c r="BS580" s="58"/>
      <c r="BT580" s="58"/>
      <c r="BU580" s="58"/>
      <c r="BV580" s="58"/>
      <c r="BW580" s="58"/>
      <c r="BX580" s="58"/>
      <c r="BY580" s="58"/>
      <c r="BZ580" s="58"/>
      <c r="CA580" s="58"/>
      <c r="CB580" s="58"/>
      <c r="CC580" s="58"/>
      <c r="CD580" s="58"/>
      <c r="CE580" s="58"/>
      <c r="CF580" s="58"/>
      <c r="CG580" s="58"/>
      <c r="CH580" s="58"/>
      <c r="CI580" s="58"/>
      <c r="CJ580" s="58"/>
      <c r="CK580" s="58"/>
      <c r="CL580" s="58"/>
      <c r="CM580" s="58"/>
      <c r="CN580" s="58"/>
      <c r="CO580" s="58"/>
      <c r="CP580" s="58"/>
      <c r="CQ580" s="58"/>
      <c r="CR580" s="58"/>
      <c r="CS580" s="58"/>
      <c r="CT580" s="58"/>
      <c r="CU580" s="58"/>
    </row>
    <row r="581" spans="1:99" ht="15" thickBot="1" x14ac:dyDescent="0.4">
      <c r="A581" s="14"/>
      <c r="B581" s="14"/>
      <c r="C581" s="14"/>
      <c r="D581" s="14"/>
      <c r="E581" s="14"/>
      <c r="F581" s="14"/>
      <c r="G581" s="14"/>
      <c r="H581" s="14"/>
      <c r="I581" s="14"/>
      <c r="J581" s="41"/>
      <c r="L581" s="58"/>
      <c r="M581" s="58"/>
      <c r="N581" s="58"/>
      <c r="O581" s="58"/>
      <c r="P581" s="269"/>
      <c r="Q581" s="58"/>
      <c r="R581" s="58"/>
      <c r="S581" s="58"/>
      <c r="T581" s="58"/>
      <c r="U581" s="58"/>
      <c r="V581" s="269"/>
      <c r="W581" s="58"/>
      <c r="X581" s="58"/>
      <c r="Y581" s="58"/>
      <c r="Z581" s="58"/>
      <c r="AA581" s="58"/>
      <c r="AB581" s="269"/>
      <c r="AC581" s="58"/>
      <c r="AD581" s="58"/>
      <c r="AE581" s="58"/>
      <c r="AF581" s="58"/>
      <c r="AG581" s="58"/>
      <c r="AH581" s="269"/>
      <c r="AI581" s="58"/>
      <c r="AJ581" s="58"/>
      <c r="AK581" s="58"/>
      <c r="AL581" s="58"/>
      <c r="AM581" s="58"/>
      <c r="AN581" s="59"/>
      <c r="AO581" s="58"/>
      <c r="AP581" s="58"/>
      <c r="AQ581" s="58"/>
      <c r="AR581" s="58"/>
      <c r="AS581" s="58"/>
      <c r="AT581" s="59"/>
      <c r="AU581" s="58"/>
      <c r="AV581" s="58"/>
      <c r="AW581" s="58"/>
      <c r="AX581" s="58"/>
      <c r="AY581" s="58"/>
      <c r="AZ581" s="59"/>
      <c r="BA581" s="58"/>
      <c r="BB581" s="58"/>
      <c r="BC581" s="58"/>
      <c r="BD581" s="58"/>
      <c r="BE581" s="58"/>
      <c r="BF581" s="59"/>
      <c r="BG581" s="58"/>
      <c r="BH581" s="58"/>
      <c r="BI581" s="58"/>
      <c r="BJ581" s="58"/>
      <c r="BK581" s="58"/>
      <c r="BL581" s="59"/>
      <c r="BM581" s="58"/>
      <c r="BN581" s="58"/>
      <c r="BO581" s="58"/>
      <c r="BP581" s="58"/>
      <c r="BQ581" s="58"/>
      <c r="BR581" s="58"/>
      <c r="BS581" s="58"/>
      <c r="BT581" s="58"/>
      <c r="BU581" s="58"/>
      <c r="BV581" s="58"/>
      <c r="BW581" s="58"/>
      <c r="BX581" s="58"/>
      <c r="BY581" s="58"/>
      <c r="BZ581" s="58"/>
      <c r="CA581" s="58"/>
      <c r="CB581" s="58"/>
      <c r="CC581" s="58"/>
      <c r="CD581" s="58"/>
      <c r="CE581" s="58"/>
      <c r="CF581" s="58"/>
      <c r="CG581" s="58"/>
      <c r="CH581" s="58"/>
      <c r="CI581" s="58"/>
      <c r="CJ581" s="58"/>
      <c r="CK581" s="58"/>
      <c r="CL581" s="58"/>
      <c r="CM581" s="58"/>
      <c r="CN581" s="58"/>
      <c r="CO581" s="58"/>
      <c r="CP581" s="58"/>
      <c r="CQ581" s="58"/>
      <c r="CR581" s="58"/>
      <c r="CS581" s="58"/>
      <c r="CT581" s="58"/>
      <c r="CU581" s="58"/>
    </row>
    <row r="582" spans="1:99" ht="15" thickBot="1" x14ac:dyDescent="0.4">
      <c r="A582" s="14"/>
      <c r="B582" s="14"/>
      <c r="C582" s="14"/>
      <c r="D582" s="14"/>
      <c r="E582" s="14"/>
      <c r="F582" s="14"/>
      <c r="G582" s="14"/>
      <c r="H582" s="14"/>
      <c r="I582" s="14"/>
      <c r="J582" s="41"/>
      <c r="L582" s="58"/>
      <c r="M582" s="58"/>
      <c r="N582" s="58"/>
      <c r="O582" s="58"/>
      <c r="P582" s="269"/>
      <c r="Q582" s="58"/>
      <c r="R582" s="58"/>
      <c r="S582" s="58"/>
      <c r="T582" s="58"/>
      <c r="U582" s="58"/>
      <c r="V582" s="269"/>
      <c r="W582" s="58"/>
      <c r="X582" s="58"/>
      <c r="Y582" s="58"/>
      <c r="Z582" s="58"/>
      <c r="AA582" s="58"/>
      <c r="AB582" s="269"/>
      <c r="AC582" s="58"/>
      <c r="AD582" s="58"/>
      <c r="AE582" s="58"/>
      <c r="AF582" s="58"/>
      <c r="AG582" s="58"/>
      <c r="AH582" s="269"/>
      <c r="AI582" s="58"/>
      <c r="AJ582" s="58"/>
      <c r="AK582" s="58"/>
      <c r="AL582" s="58"/>
      <c r="AM582" s="58"/>
      <c r="AN582" s="59"/>
      <c r="AO582" s="58"/>
      <c r="AP582" s="58"/>
      <c r="AQ582" s="58"/>
      <c r="AR582" s="58"/>
      <c r="AS582" s="58"/>
      <c r="AT582" s="59"/>
      <c r="AU582" s="58"/>
      <c r="AV582" s="58"/>
      <c r="AW582" s="58"/>
      <c r="AX582" s="58"/>
      <c r="AY582" s="58"/>
      <c r="AZ582" s="59"/>
      <c r="BA582" s="58"/>
      <c r="BB582" s="58"/>
      <c r="BC582" s="58"/>
      <c r="BD582" s="58"/>
      <c r="BE582" s="58"/>
      <c r="BF582" s="59"/>
      <c r="BG582" s="58"/>
      <c r="BH582" s="58"/>
      <c r="BI582" s="58"/>
      <c r="BJ582" s="58"/>
      <c r="BK582" s="58"/>
      <c r="BL582" s="59"/>
      <c r="BM582" s="58"/>
      <c r="BN582" s="58"/>
      <c r="BO582" s="58"/>
      <c r="BP582" s="58"/>
      <c r="BQ582" s="58"/>
      <c r="BR582" s="58"/>
      <c r="BS582" s="58"/>
      <c r="BT582" s="58"/>
      <c r="BU582" s="58"/>
      <c r="BV582" s="58"/>
      <c r="BW582" s="58"/>
      <c r="BX582" s="58"/>
      <c r="BY582" s="58"/>
      <c r="BZ582" s="58"/>
      <c r="CA582" s="58"/>
      <c r="CB582" s="58"/>
      <c r="CC582" s="58"/>
      <c r="CD582" s="58"/>
      <c r="CE582" s="58"/>
      <c r="CF582" s="58"/>
      <c r="CG582" s="58"/>
      <c r="CH582" s="58"/>
      <c r="CI582" s="58"/>
      <c r="CJ582" s="58"/>
      <c r="CK582" s="58"/>
      <c r="CL582" s="58"/>
      <c r="CM582" s="58"/>
      <c r="CN582" s="58"/>
      <c r="CO582" s="58"/>
      <c r="CP582" s="58"/>
      <c r="CQ582" s="58"/>
      <c r="CR582" s="58"/>
      <c r="CS582" s="58"/>
      <c r="CT582" s="58"/>
      <c r="CU582" s="58"/>
    </row>
    <row r="583" spans="1:99" ht="15" thickBot="1" x14ac:dyDescent="0.4">
      <c r="A583" s="14"/>
      <c r="B583" s="14"/>
      <c r="C583" s="14"/>
      <c r="D583" s="14"/>
      <c r="E583" s="14"/>
      <c r="F583" s="14"/>
      <c r="G583" s="14"/>
      <c r="H583" s="14"/>
      <c r="I583" s="14"/>
      <c r="J583" s="41"/>
      <c r="L583" s="58"/>
      <c r="M583" s="58"/>
      <c r="N583" s="58"/>
      <c r="O583" s="58"/>
      <c r="P583" s="269"/>
      <c r="Q583" s="58"/>
      <c r="R583" s="58"/>
      <c r="S583" s="58"/>
      <c r="T583" s="58"/>
      <c r="U583" s="58"/>
      <c r="V583" s="269"/>
      <c r="W583" s="58"/>
      <c r="X583" s="58"/>
      <c r="Y583" s="58"/>
      <c r="Z583" s="58"/>
      <c r="AA583" s="58"/>
      <c r="AB583" s="269"/>
      <c r="AC583" s="58"/>
      <c r="AD583" s="58"/>
      <c r="AE583" s="58"/>
      <c r="AF583" s="58"/>
      <c r="AG583" s="58"/>
      <c r="AH583" s="269"/>
      <c r="AI583" s="58"/>
      <c r="AJ583" s="58"/>
      <c r="AK583" s="58"/>
      <c r="AL583" s="58"/>
      <c r="AM583" s="58"/>
      <c r="AN583" s="59"/>
      <c r="AO583" s="58"/>
      <c r="AP583" s="58"/>
      <c r="AQ583" s="58"/>
      <c r="AR583" s="58"/>
      <c r="AS583" s="58"/>
      <c r="AT583" s="59"/>
      <c r="AU583" s="58"/>
      <c r="AV583" s="58"/>
      <c r="AW583" s="58"/>
      <c r="AX583" s="58"/>
      <c r="AY583" s="58"/>
      <c r="AZ583" s="59"/>
      <c r="BA583" s="58"/>
      <c r="BB583" s="58"/>
      <c r="BC583" s="58"/>
      <c r="BD583" s="58"/>
      <c r="BE583" s="58"/>
      <c r="BF583" s="59"/>
      <c r="BG583" s="58"/>
      <c r="BH583" s="58"/>
      <c r="BI583" s="58"/>
      <c r="BJ583" s="58"/>
      <c r="BK583" s="58"/>
      <c r="BL583" s="59"/>
      <c r="BM583" s="58"/>
      <c r="BN583" s="58"/>
      <c r="BO583" s="58"/>
      <c r="BP583" s="58"/>
      <c r="BQ583" s="58"/>
      <c r="BR583" s="58"/>
      <c r="BS583" s="58"/>
      <c r="BT583" s="58"/>
      <c r="BU583" s="58"/>
      <c r="BV583" s="58"/>
      <c r="BW583" s="58"/>
      <c r="BX583" s="58"/>
      <c r="BY583" s="58"/>
      <c r="BZ583" s="58"/>
      <c r="CA583" s="58"/>
      <c r="CB583" s="58"/>
      <c r="CC583" s="58"/>
      <c r="CD583" s="58"/>
      <c r="CE583" s="58"/>
      <c r="CF583" s="58"/>
      <c r="CG583" s="58"/>
      <c r="CH583" s="58"/>
      <c r="CI583" s="58"/>
      <c r="CJ583" s="58"/>
      <c r="CK583" s="58"/>
      <c r="CL583" s="58"/>
      <c r="CM583" s="58"/>
      <c r="CN583" s="58"/>
      <c r="CO583" s="58"/>
      <c r="CP583" s="58"/>
      <c r="CQ583" s="58"/>
      <c r="CR583" s="58"/>
      <c r="CS583" s="58"/>
      <c r="CT583" s="58"/>
      <c r="CU583" s="58"/>
    </row>
    <row r="584" spans="1:99" ht="15" thickBot="1" x14ac:dyDescent="0.4">
      <c r="A584" s="14"/>
      <c r="B584" s="14"/>
      <c r="C584" s="14"/>
      <c r="D584" s="14"/>
      <c r="E584" s="14"/>
      <c r="F584" s="14"/>
      <c r="G584" s="14"/>
      <c r="H584" s="14"/>
      <c r="I584" s="14"/>
      <c r="J584" s="41"/>
      <c r="L584" s="58"/>
      <c r="M584" s="58"/>
      <c r="N584" s="58"/>
      <c r="O584" s="58"/>
      <c r="P584" s="269"/>
      <c r="Q584" s="58"/>
      <c r="R584" s="58"/>
      <c r="S584" s="58"/>
      <c r="T584" s="58"/>
      <c r="U584" s="58"/>
      <c r="V584" s="269"/>
      <c r="W584" s="58"/>
      <c r="X584" s="58"/>
      <c r="Y584" s="58"/>
      <c r="Z584" s="58"/>
      <c r="AA584" s="58"/>
      <c r="AB584" s="269"/>
      <c r="AC584" s="58"/>
      <c r="AD584" s="58"/>
      <c r="AE584" s="58"/>
      <c r="AF584" s="58"/>
      <c r="AG584" s="58"/>
      <c r="AH584" s="269"/>
      <c r="AI584" s="58"/>
      <c r="AJ584" s="58"/>
      <c r="AK584" s="58"/>
      <c r="AL584" s="58"/>
      <c r="AM584" s="58"/>
      <c r="AN584" s="59"/>
      <c r="AO584" s="58"/>
      <c r="AP584" s="58"/>
      <c r="AQ584" s="58"/>
      <c r="AR584" s="58"/>
      <c r="AS584" s="58"/>
      <c r="AT584" s="59"/>
      <c r="AU584" s="58"/>
      <c r="AV584" s="58"/>
      <c r="AW584" s="58"/>
      <c r="AX584" s="58"/>
      <c r="AY584" s="58"/>
      <c r="AZ584" s="59"/>
      <c r="BA584" s="58"/>
      <c r="BB584" s="58"/>
      <c r="BC584" s="58"/>
      <c r="BD584" s="58"/>
      <c r="BE584" s="58"/>
      <c r="BF584" s="59"/>
      <c r="BG584" s="58"/>
      <c r="BH584" s="58"/>
      <c r="BI584" s="58"/>
      <c r="BJ584" s="58"/>
      <c r="BK584" s="58"/>
      <c r="BL584" s="59"/>
      <c r="BM584" s="58"/>
      <c r="BN584" s="58"/>
      <c r="BO584" s="58"/>
      <c r="BP584" s="58"/>
      <c r="BQ584" s="58"/>
      <c r="BR584" s="58"/>
      <c r="BS584" s="58"/>
      <c r="BT584" s="58"/>
      <c r="BU584" s="58"/>
      <c r="BV584" s="58"/>
      <c r="BW584" s="58"/>
      <c r="BX584" s="58"/>
      <c r="BY584" s="58"/>
      <c r="BZ584" s="58"/>
      <c r="CA584" s="58"/>
      <c r="CB584" s="58"/>
      <c r="CC584" s="58"/>
      <c r="CD584" s="58"/>
      <c r="CE584" s="58"/>
      <c r="CF584" s="58"/>
      <c r="CG584" s="58"/>
      <c r="CH584" s="58"/>
      <c r="CI584" s="58"/>
      <c r="CJ584" s="58"/>
      <c r="CK584" s="58"/>
      <c r="CL584" s="58"/>
      <c r="CM584" s="58"/>
      <c r="CN584" s="58"/>
      <c r="CO584" s="58"/>
      <c r="CP584" s="58"/>
      <c r="CQ584" s="58"/>
      <c r="CR584" s="58"/>
      <c r="CS584" s="58"/>
      <c r="CT584" s="58"/>
      <c r="CU584" s="58"/>
    </row>
    <row r="585" spans="1:99" ht="15" thickBot="1" x14ac:dyDescent="0.4">
      <c r="A585" s="14"/>
      <c r="B585" s="14"/>
      <c r="C585" s="14"/>
      <c r="D585" s="14"/>
      <c r="E585" s="14"/>
      <c r="F585" s="14"/>
      <c r="G585" s="14"/>
      <c r="H585" s="14"/>
      <c r="I585" s="14"/>
      <c r="J585" s="41"/>
      <c r="L585" s="58"/>
      <c r="M585" s="58"/>
      <c r="N585" s="58"/>
      <c r="O585" s="58"/>
      <c r="P585" s="269"/>
      <c r="Q585" s="58"/>
      <c r="R585" s="58"/>
      <c r="S585" s="58"/>
      <c r="T585" s="58"/>
      <c r="U585" s="58"/>
      <c r="V585" s="269"/>
      <c r="W585" s="58"/>
      <c r="X585" s="58"/>
      <c r="Y585" s="58"/>
      <c r="Z585" s="58"/>
      <c r="AA585" s="58"/>
      <c r="AB585" s="269"/>
      <c r="AC585" s="58"/>
      <c r="AD585" s="58"/>
      <c r="AE585" s="58"/>
      <c r="AF585" s="58"/>
      <c r="AG585" s="58"/>
      <c r="AH585" s="269"/>
      <c r="AI585" s="58"/>
      <c r="AJ585" s="58"/>
      <c r="AK585" s="58"/>
      <c r="AL585" s="58"/>
      <c r="AM585" s="58"/>
      <c r="AN585" s="59"/>
      <c r="AO585" s="58"/>
      <c r="AP585" s="58"/>
      <c r="AQ585" s="58"/>
      <c r="AR585" s="58"/>
      <c r="AS585" s="58"/>
      <c r="AT585" s="59"/>
      <c r="AU585" s="58"/>
      <c r="AV585" s="58"/>
      <c r="AW585" s="58"/>
      <c r="AX585" s="58"/>
      <c r="AY585" s="58"/>
      <c r="AZ585" s="59"/>
      <c r="BA585" s="58"/>
      <c r="BB585" s="58"/>
      <c r="BC585" s="58"/>
      <c r="BD585" s="58"/>
      <c r="BE585" s="58"/>
      <c r="BF585" s="59"/>
      <c r="BG585" s="58"/>
      <c r="BH585" s="58"/>
      <c r="BI585" s="58"/>
      <c r="BJ585" s="58"/>
      <c r="BK585" s="58"/>
      <c r="BL585" s="59"/>
      <c r="BM585" s="58"/>
      <c r="BN585" s="58"/>
      <c r="BO585" s="58"/>
      <c r="BP585" s="58"/>
      <c r="BQ585" s="58"/>
      <c r="BR585" s="58"/>
      <c r="BS585" s="58"/>
      <c r="BT585" s="58"/>
      <c r="BU585" s="58"/>
      <c r="BV585" s="58"/>
      <c r="BW585" s="58"/>
      <c r="BX585" s="58"/>
      <c r="BY585" s="58"/>
      <c r="BZ585" s="58"/>
      <c r="CA585" s="58"/>
      <c r="CB585" s="58"/>
      <c r="CC585" s="58"/>
      <c r="CD585" s="58"/>
      <c r="CE585" s="58"/>
      <c r="CF585" s="58"/>
      <c r="CG585" s="58"/>
      <c r="CH585" s="58"/>
      <c r="CI585" s="58"/>
      <c r="CJ585" s="58"/>
      <c r="CK585" s="58"/>
      <c r="CL585" s="58"/>
      <c r="CM585" s="58"/>
      <c r="CN585" s="58"/>
      <c r="CO585" s="58"/>
      <c r="CP585" s="58"/>
      <c r="CQ585" s="58"/>
      <c r="CR585" s="58"/>
      <c r="CS585" s="58"/>
      <c r="CT585" s="58"/>
      <c r="CU585" s="58"/>
    </row>
    <row r="586" spans="1:99" ht="15" thickBot="1" x14ac:dyDescent="0.4">
      <c r="A586" s="14"/>
      <c r="B586" s="14"/>
      <c r="C586" s="14"/>
      <c r="D586" s="14"/>
      <c r="E586" s="14"/>
      <c r="F586" s="14"/>
      <c r="G586" s="14"/>
      <c r="H586" s="14"/>
      <c r="I586" s="14"/>
      <c r="J586" s="41"/>
      <c r="L586" s="58"/>
      <c r="M586" s="58"/>
      <c r="N586" s="58"/>
      <c r="O586" s="58"/>
      <c r="P586" s="269"/>
      <c r="Q586" s="58"/>
      <c r="R586" s="58"/>
      <c r="S586" s="58"/>
      <c r="T586" s="58"/>
      <c r="U586" s="58"/>
      <c r="V586" s="269"/>
      <c r="W586" s="58"/>
      <c r="X586" s="58"/>
      <c r="Y586" s="58"/>
      <c r="Z586" s="58"/>
      <c r="AA586" s="58"/>
      <c r="AB586" s="269"/>
      <c r="AC586" s="58"/>
      <c r="AD586" s="58"/>
      <c r="AE586" s="58"/>
      <c r="AF586" s="58"/>
      <c r="AG586" s="58"/>
      <c r="AH586" s="269"/>
      <c r="AI586" s="58"/>
      <c r="AJ586" s="58"/>
      <c r="AK586" s="58"/>
      <c r="AL586" s="58"/>
      <c r="AM586" s="58"/>
      <c r="AN586" s="59"/>
      <c r="AO586" s="58"/>
      <c r="AP586" s="58"/>
      <c r="AQ586" s="58"/>
      <c r="AR586" s="58"/>
      <c r="AS586" s="58"/>
      <c r="AT586" s="59"/>
      <c r="AU586" s="58"/>
      <c r="AV586" s="58"/>
      <c r="AW586" s="58"/>
      <c r="AX586" s="58"/>
      <c r="AY586" s="58"/>
      <c r="AZ586" s="59"/>
      <c r="BA586" s="58"/>
      <c r="BB586" s="58"/>
      <c r="BC586" s="58"/>
      <c r="BD586" s="58"/>
      <c r="BE586" s="58"/>
      <c r="BF586" s="59"/>
      <c r="BG586" s="58"/>
      <c r="BH586" s="58"/>
      <c r="BI586" s="58"/>
      <c r="BJ586" s="58"/>
      <c r="BK586" s="58"/>
      <c r="BL586" s="59"/>
      <c r="BM586" s="58"/>
      <c r="BN586" s="58"/>
      <c r="BO586" s="58"/>
      <c r="BP586" s="58"/>
      <c r="BQ586" s="58"/>
      <c r="BR586" s="58"/>
      <c r="BS586" s="58"/>
      <c r="BT586" s="58"/>
      <c r="BU586" s="58"/>
      <c r="BV586" s="58"/>
      <c r="BW586" s="58"/>
      <c r="BX586" s="58"/>
      <c r="BY586" s="58"/>
      <c r="BZ586" s="58"/>
      <c r="CA586" s="58"/>
      <c r="CB586" s="58"/>
      <c r="CC586" s="58"/>
      <c r="CD586" s="58"/>
      <c r="CE586" s="58"/>
      <c r="CF586" s="58"/>
      <c r="CG586" s="58"/>
      <c r="CH586" s="58"/>
      <c r="CI586" s="58"/>
      <c r="CJ586" s="58"/>
      <c r="CK586" s="58"/>
      <c r="CL586" s="58"/>
      <c r="CM586" s="58"/>
      <c r="CN586" s="58"/>
      <c r="CO586" s="58"/>
      <c r="CP586" s="58"/>
      <c r="CQ586" s="58"/>
      <c r="CR586" s="58"/>
      <c r="CS586" s="58"/>
      <c r="CT586" s="58"/>
      <c r="CU586" s="58"/>
    </row>
    <row r="587" spans="1:99" ht="15" thickBot="1" x14ac:dyDescent="0.4">
      <c r="A587" s="14"/>
      <c r="B587" s="14"/>
      <c r="C587" s="14"/>
      <c r="D587" s="14"/>
      <c r="E587" s="14"/>
      <c r="F587" s="14"/>
      <c r="G587" s="14"/>
      <c r="H587" s="14"/>
      <c r="I587" s="14"/>
      <c r="J587" s="41"/>
      <c r="L587" s="58"/>
      <c r="M587" s="58"/>
      <c r="N587" s="58"/>
      <c r="O587" s="58"/>
      <c r="P587" s="269"/>
      <c r="Q587" s="58"/>
      <c r="R587" s="58"/>
      <c r="S587" s="58"/>
      <c r="T587" s="58"/>
      <c r="U587" s="58"/>
      <c r="V587" s="269"/>
      <c r="W587" s="58"/>
      <c r="X587" s="58"/>
      <c r="Y587" s="58"/>
      <c r="Z587" s="58"/>
      <c r="AA587" s="58"/>
      <c r="AB587" s="269"/>
      <c r="AC587" s="58"/>
      <c r="AD587" s="58"/>
      <c r="AE587" s="58"/>
      <c r="AF587" s="58"/>
      <c r="AG587" s="58"/>
      <c r="AH587" s="269"/>
      <c r="AI587" s="58"/>
      <c r="AJ587" s="58"/>
      <c r="AK587" s="58"/>
      <c r="AL587" s="58"/>
      <c r="AM587" s="58"/>
      <c r="AN587" s="59"/>
      <c r="AO587" s="58"/>
      <c r="AP587" s="58"/>
      <c r="AQ587" s="58"/>
      <c r="AR587" s="58"/>
      <c r="AS587" s="58"/>
      <c r="AT587" s="59"/>
      <c r="AU587" s="58"/>
      <c r="AV587" s="58"/>
      <c r="AW587" s="58"/>
      <c r="AX587" s="58"/>
      <c r="AY587" s="58"/>
      <c r="AZ587" s="59"/>
      <c r="BA587" s="58"/>
      <c r="BB587" s="58"/>
      <c r="BC587" s="58"/>
      <c r="BD587" s="58"/>
      <c r="BE587" s="58"/>
      <c r="BF587" s="59"/>
      <c r="BG587" s="58"/>
      <c r="BH587" s="58"/>
      <c r="BI587" s="58"/>
      <c r="BJ587" s="58"/>
      <c r="BK587" s="58"/>
      <c r="BL587" s="59"/>
      <c r="BM587" s="58"/>
      <c r="BN587" s="58"/>
      <c r="BO587" s="58"/>
      <c r="BP587" s="58"/>
      <c r="BQ587" s="58"/>
      <c r="BR587" s="58"/>
      <c r="BS587" s="58"/>
      <c r="BT587" s="58"/>
      <c r="BU587" s="58"/>
      <c r="BV587" s="58"/>
      <c r="BW587" s="58"/>
      <c r="BX587" s="58"/>
      <c r="BY587" s="58"/>
      <c r="BZ587" s="58"/>
      <c r="CA587" s="58"/>
      <c r="CB587" s="58"/>
      <c r="CC587" s="58"/>
      <c r="CD587" s="58"/>
      <c r="CE587" s="58"/>
      <c r="CF587" s="58"/>
      <c r="CG587" s="58"/>
      <c r="CH587" s="58"/>
      <c r="CI587" s="58"/>
      <c r="CJ587" s="58"/>
      <c r="CK587" s="58"/>
      <c r="CL587" s="58"/>
      <c r="CM587" s="58"/>
      <c r="CN587" s="58"/>
      <c r="CO587" s="58"/>
      <c r="CP587" s="58"/>
      <c r="CQ587" s="58"/>
      <c r="CR587" s="58"/>
      <c r="CS587" s="58"/>
      <c r="CT587" s="58"/>
      <c r="CU587" s="58"/>
    </row>
    <row r="588" spans="1:99" ht="15" thickBot="1" x14ac:dyDescent="0.4">
      <c r="A588" s="14"/>
      <c r="B588" s="14"/>
      <c r="C588" s="14"/>
      <c r="D588" s="14"/>
      <c r="E588" s="14"/>
      <c r="F588" s="14"/>
      <c r="G588" s="14"/>
      <c r="H588" s="14"/>
      <c r="I588" s="14"/>
      <c r="J588" s="41"/>
      <c r="L588" s="58"/>
      <c r="M588" s="58"/>
      <c r="N588" s="58"/>
      <c r="O588" s="58"/>
      <c r="P588" s="269"/>
      <c r="Q588" s="58"/>
      <c r="R588" s="58"/>
      <c r="S588" s="58"/>
      <c r="T588" s="58"/>
      <c r="U588" s="58"/>
      <c r="V588" s="269"/>
      <c r="W588" s="58"/>
      <c r="X588" s="58"/>
      <c r="Y588" s="58"/>
      <c r="Z588" s="58"/>
      <c r="AA588" s="58"/>
      <c r="AB588" s="269"/>
      <c r="AC588" s="58"/>
      <c r="AD588" s="58"/>
      <c r="AE588" s="58"/>
      <c r="AF588" s="58"/>
      <c r="AG588" s="58"/>
      <c r="AH588" s="269"/>
      <c r="AI588" s="58"/>
      <c r="AJ588" s="58"/>
      <c r="AK588" s="58"/>
      <c r="AL588" s="58"/>
      <c r="AM588" s="58"/>
      <c r="AN588" s="59"/>
      <c r="AO588" s="58"/>
      <c r="AP588" s="58"/>
      <c r="AQ588" s="58"/>
      <c r="AR588" s="58"/>
      <c r="AS588" s="58"/>
      <c r="AT588" s="59"/>
      <c r="AU588" s="58"/>
      <c r="AV588" s="58"/>
      <c r="AW588" s="58"/>
      <c r="AX588" s="58"/>
      <c r="AY588" s="58"/>
      <c r="AZ588" s="59"/>
      <c r="BA588" s="58"/>
      <c r="BB588" s="58"/>
      <c r="BC588" s="58"/>
      <c r="BD588" s="58"/>
      <c r="BE588" s="58"/>
      <c r="BF588" s="59"/>
      <c r="BG588" s="58"/>
      <c r="BH588" s="58"/>
      <c r="BI588" s="58"/>
      <c r="BJ588" s="58"/>
      <c r="BK588" s="58"/>
      <c r="BL588" s="59"/>
      <c r="BM588" s="58"/>
      <c r="BN588" s="58"/>
      <c r="BO588" s="58"/>
      <c r="BP588" s="58"/>
      <c r="BQ588" s="58"/>
      <c r="BR588" s="58"/>
      <c r="BS588" s="58"/>
      <c r="BT588" s="58"/>
      <c r="BU588" s="58"/>
      <c r="BV588" s="58"/>
      <c r="BW588" s="58"/>
      <c r="BX588" s="58"/>
      <c r="BY588" s="58"/>
      <c r="BZ588" s="58"/>
      <c r="CA588" s="58"/>
      <c r="CB588" s="58"/>
      <c r="CC588" s="58"/>
      <c r="CD588" s="58"/>
      <c r="CE588" s="58"/>
      <c r="CF588" s="58"/>
      <c r="CG588" s="58"/>
      <c r="CH588" s="58"/>
      <c r="CI588" s="58"/>
      <c r="CJ588" s="58"/>
      <c r="CK588" s="58"/>
      <c r="CL588" s="58"/>
      <c r="CM588" s="58"/>
      <c r="CN588" s="58"/>
      <c r="CO588" s="58"/>
      <c r="CP588" s="58"/>
      <c r="CQ588" s="58"/>
      <c r="CR588" s="58"/>
      <c r="CS588" s="58"/>
      <c r="CT588" s="58"/>
      <c r="CU588" s="58"/>
    </row>
    <row r="589" spans="1:99" ht="15" thickBot="1" x14ac:dyDescent="0.4">
      <c r="A589" s="14"/>
      <c r="B589" s="14"/>
      <c r="C589" s="14"/>
      <c r="D589" s="14"/>
      <c r="E589" s="14"/>
      <c r="F589" s="14"/>
      <c r="G589" s="14"/>
      <c r="H589" s="14"/>
      <c r="I589" s="14"/>
      <c r="J589" s="41"/>
      <c r="L589" s="58"/>
      <c r="M589" s="58"/>
      <c r="N589" s="58"/>
      <c r="O589" s="58"/>
      <c r="P589" s="269"/>
      <c r="Q589" s="58"/>
      <c r="R589" s="58"/>
      <c r="S589" s="58"/>
      <c r="T589" s="58"/>
      <c r="U589" s="58"/>
      <c r="V589" s="269"/>
      <c r="W589" s="58"/>
      <c r="X589" s="58"/>
      <c r="Y589" s="58"/>
      <c r="Z589" s="58"/>
      <c r="AA589" s="58"/>
      <c r="AB589" s="269"/>
      <c r="AC589" s="58"/>
      <c r="AD589" s="58"/>
      <c r="AE589" s="58"/>
      <c r="AF589" s="58"/>
      <c r="AG589" s="58"/>
      <c r="AH589" s="269"/>
      <c r="AI589" s="58"/>
      <c r="AJ589" s="58"/>
      <c r="AK589" s="58"/>
      <c r="AL589" s="58"/>
      <c r="AM589" s="58"/>
      <c r="AN589" s="59"/>
      <c r="AO589" s="58"/>
      <c r="AP589" s="58"/>
      <c r="AQ589" s="58"/>
      <c r="AR589" s="58"/>
      <c r="AS589" s="58"/>
      <c r="AT589" s="59"/>
      <c r="AU589" s="58"/>
      <c r="AV589" s="58"/>
      <c r="AW589" s="58"/>
      <c r="AX589" s="58"/>
      <c r="AY589" s="58"/>
      <c r="AZ589" s="59"/>
      <c r="BA589" s="58"/>
      <c r="BB589" s="58"/>
      <c r="BC589" s="58"/>
      <c r="BD589" s="58"/>
      <c r="BE589" s="58"/>
      <c r="BF589" s="59"/>
      <c r="BG589" s="58"/>
      <c r="BH589" s="58"/>
      <c r="BI589" s="58"/>
      <c r="BJ589" s="58"/>
      <c r="BK589" s="58"/>
      <c r="BL589" s="59"/>
      <c r="BM589" s="58"/>
      <c r="BN589" s="58"/>
      <c r="BO589" s="58"/>
      <c r="BP589" s="58"/>
      <c r="BQ589" s="58"/>
      <c r="BR589" s="58"/>
      <c r="BS589" s="58"/>
      <c r="BT589" s="58"/>
      <c r="BU589" s="58"/>
      <c r="BV589" s="58"/>
      <c r="BW589" s="58"/>
      <c r="BX589" s="58"/>
      <c r="BY589" s="58"/>
      <c r="BZ589" s="58"/>
      <c r="CA589" s="58"/>
      <c r="CB589" s="58"/>
      <c r="CC589" s="58"/>
      <c r="CD589" s="58"/>
      <c r="CE589" s="58"/>
      <c r="CF589" s="58"/>
      <c r="CG589" s="58"/>
      <c r="CH589" s="58"/>
      <c r="CI589" s="58"/>
      <c r="CJ589" s="58"/>
      <c r="CK589" s="58"/>
      <c r="CL589" s="58"/>
      <c r="CM589" s="58"/>
      <c r="CN589" s="58"/>
      <c r="CO589" s="58"/>
      <c r="CP589" s="58"/>
      <c r="CQ589" s="58"/>
      <c r="CR589" s="58"/>
      <c r="CS589" s="58"/>
      <c r="CT589" s="58"/>
      <c r="CU589" s="58"/>
    </row>
    <row r="590" spans="1:99" ht="15" thickBot="1" x14ac:dyDescent="0.4">
      <c r="A590" s="14"/>
      <c r="B590" s="14"/>
      <c r="C590" s="14"/>
      <c r="D590" s="14"/>
      <c r="E590" s="14"/>
      <c r="F590" s="14"/>
      <c r="G590" s="14"/>
      <c r="H590" s="14"/>
      <c r="I590" s="14"/>
      <c r="J590" s="41"/>
      <c r="L590" s="58"/>
      <c r="M590" s="58"/>
      <c r="N590" s="58"/>
      <c r="O590" s="58"/>
      <c r="P590" s="269"/>
      <c r="Q590" s="58"/>
      <c r="R590" s="58"/>
      <c r="S590" s="58"/>
      <c r="T590" s="58"/>
      <c r="U590" s="58"/>
      <c r="V590" s="269"/>
      <c r="W590" s="58"/>
      <c r="X590" s="58"/>
      <c r="Y590" s="58"/>
      <c r="Z590" s="58"/>
      <c r="AA590" s="58"/>
      <c r="AB590" s="269"/>
      <c r="AC590" s="58"/>
      <c r="AD590" s="58"/>
      <c r="AE590" s="58"/>
      <c r="AF590" s="58"/>
      <c r="AG590" s="58"/>
      <c r="AH590" s="269"/>
      <c r="AI590" s="58"/>
      <c r="AJ590" s="58"/>
      <c r="AK590" s="58"/>
      <c r="AL590" s="58"/>
      <c r="AM590" s="58"/>
      <c r="AN590" s="59"/>
      <c r="AO590" s="58"/>
      <c r="AP590" s="58"/>
      <c r="AQ590" s="58"/>
      <c r="AR590" s="58"/>
      <c r="AS590" s="58"/>
      <c r="AT590" s="59"/>
      <c r="AU590" s="58"/>
      <c r="AV590" s="58"/>
      <c r="AW590" s="58"/>
      <c r="AX590" s="58"/>
      <c r="AY590" s="58"/>
      <c r="AZ590" s="59"/>
      <c r="BA590" s="58"/>
      <c r="BB590" s="58"/>
      <c r="BC590" s="58"/>
      <c r="BD590" s="58"/>
      <c r="BE590" s="58"/>
      <c r="BF590" s="59"/>
      <c r="BG590" s="58"/>
      <c r="BH590" s="58"/>
      <c r="BI590" s="58"/>
      <c r="BJ590" s="58"/>
      <c r="BK590" s="58"/>
      <c r="BL590" s="59"/>
      <c r="BM590" s="58"/>
      <c r="BN590" s="58"/>
      <c r="BO590" s="58"/>
      <c r="BP590" s="58"/>
      <c r="BQ590" s="58"/>
      <c r="BR590" s="58"/>
      <c r="BS590" s="58"/>
      <c r="BT590" s="58"/>
      <c r="BU590" s="58"/>
      <c r="BV590" s="58"/>
      <c r="BW590" s="58"/>
      <c r="BX590" s="58"/>
      <c r="BY590" s="58"/>
      <c r="BZ590" s="58"/>
      <c r="CA590" s="58"/>
      <c r="CB590" s="58"/>
      <c r="CC590" s="58"/>
      <c r="CD590" s="58"/>
      <c r="CE590" s="58"/>
      <c r="CF590" s="58"/>
      <c r="CG590" s="58"/>
      <c r="CH590" s="58"/>
      <c r="CI590" s="58"/>
      <c r="CJ590" s="58"/>
      <c r="CK590" s="58"/>
      <c r="CL590" s="58"/>
      <c r="CM590" s="58"/>
      <c r="CN590" s="58"/>
      <c r="CO590" s="58"/>
      <c r="CP590" s="58"/>
      <c r="CQ590" s="58"/>
      <c r="CR590" s="58"/>
      <c r="CS590" s="58"/>
      <c r="CT590" s="58"/>
      <c r="CU590" s="58"/>
    </row>
    <row r="591" spans="1:99" ht="15" thickBot="1" x14ac:dyDescent="0.4">
      <c r="A591" s="14"/>
      <c r="B591" s="14"/>
      <c r="C591" s="14"/>
      <c r="D591" s="14"/>
      <c r="E591" s="14"/>
      <c r="F591" s="14"/>
      <c r="G591" s="14"/>
      <c r="H591" s="14"/>
      <c r="I591" s="14"/>
      <c r="J591" s="41"/>
      <c r="L591" s="58"/>
      <c r="M591" s="58"/>
      <c r="N591" s="58"/>
      <c r="O591" s="58"/>
      <c r="P591" s="269"/>
      <c r="Q591" s="58"/>
      <c r="R591" s="58"/>
      <c r="S591" s="58"/>
      <c r="T591" s="58"/>
      <c r="U591" s="58"/>
      <c r="V591" s="269"/>
      <c r="W591" s="58"/>
      <c r="X591" s="58"/>
      <c r="Y591" s="58"/>
      <c r="Z591" s="58"/>
      <c r="AA591" s="58"/>
      <c r="AB591" s="269"/>
      <c r="AC591" s="58"/>
      <c r="AD591" s="58"/>
      <c r="AE591" s="58"/>
      <c r="AF591" s="58"/>
      <c r="AG591" s="58"/>
      <c r="AH591" s="269"/>
      <c r="AI591" s="58"/>
      <c r="AJ591" s="58"/>
      <c r="AK591" s="58"/>
      <c r="AL591" s="58"/>
      <c r="AM591" s="58"/>
      <c r="AN591" s="59"/>
      <c r="AO591" s="58"/>
      <c r="AP591" s="58"/>
      <c r="AQ591" s="58"/>
      <c r="AR591" s="58"/>
      <c r="AS591" s="58"/>
      <c r="AT591" s="59"/>
      <c r="AU591" s="58"/>
      <c r="AV591" s="58"/>
      <c r="AW591" s="58"/>
      <c r="AX591" s="58"/>
      <c r="AY591" s="58"/>
      <c r="AZ591" s="59"/>
      <c r="BA591" s="58"/>
      <c r="BB591" s="58"/>
      <c r="BC591" s="58"/>
      <c r="BD591" s="58"/>
      <c r="BE591" s="58"/>
      <c r="BF591" s="59"/>
      <c r="BG591" s="58"/>
      <c r="BH591" s="58"/>
      <c r="BI591" s="58"/>
      <c r="BJ591" s="58"/>
      <c r="BK591" s="58"/>
      <c r="BL591" s="59"/>
      <c r="BM591" s="58"/>
      <c r="BN591" s="58"/>
      <c r="BO591" s="58"/>
      <c r="BP591" s="58"/>
      <c r="BQ591" s="58"/>
      <c r="BR591" s="58"/>
      <c r="BS591" s="58"/>
      <c r="BT591" s="58"/>
      <c r="BU591" s="58"/>
      <c r="BV591" s="58"/>
      <c r="BW591" s="58"/>
      <c r="BX591" s="58"/>
      <c r="BY591" s="58"/>
      <c r="BZ591" s="58"/>
      <c r="CA591" s="58"/>
      <c r="CB591" s="58"/>
      <c r="CC591" s="58"/>
      <c r="CD591" s="58"/>
      <c r="CE591" s="58"/>
      <c r="CF591" s="58"/>
      <c r="CG591" s="58"/>
      <c r="CH591" s="58"/>
      <c r="CI591" s="58"/>
      <c r="CJ591" s="58"/>
      <c r="CK591" s="58"/>
      <c r="CL591" s="58"/>
      <c r="CM591" s="58"/>
      <c r="CN591" s="58"/>
      <c r="CO591" s="58"/>
      <c r="CP591" s="58"/>
      <c r="CQ591" s="58"/>
      <c r="CR591" s="58"/>
      <c r="CS591" s="58"/>
      <c r="CT591" s="58"/>
      <c r="CU591" s="58"/>
    </row>
    <row r="592" spans="1:99" ht="15" thickBot="1" x14ac:dyDescent="0.4">
      <c r="A592" s="14"/>
      <c r="B592" s="14"/>
      <c r="C592" s="14"/>
      <c r="D592" s="14"/>
      <c r="E592" s="14"/>
      <c r="F592" s="14"/>
      <c r="G592" s="14"/>
      <c r="H592" s="14"/>
      <c r="I592" s="14"/>
      <c r="J592" s="41"/>
      <c r="L592" s="58"/>
      <c r="M592" s="58"/>
      <c r="N592" s="58"/>
      <c r="O592" s="58"/>
      <c r="P592" s="269"/>
      <c r="Q592" s="58"/>
      <c r="R592" s="58"/>
      <c r="S592" s="58"/>
      <c r="T592" s="58"/>
      <c r="U592" s="58"/>
      <c r="V592" s="269"/>
      <c r="W592" s="58"/>
      <c r="X592" s="58"/>
      <c r="Y592" s="58"/>
      <c r="Z592" s="58"/>
      <c r="AA592" s="58"/>
      <c r="AB592" s="269"/>
      <c r="AC592" s="58"/>
      <c r="AD592" s="58"/>
      <c r="AE592" s="58"/>
      <c r="AF592" s="58"/>
      <c r="AG592" s="58"/>
      <c r="AH592" s="269"/>
      <c r="AI592" s="58"/>
      <c r="AJ592" s="58"/>
      <c r="AK592" s="58"/>
      <c r="AL592" s="58"/>
      <c r="AM592" s="58"/>
      <c r="AN592" s="59"/>
      <c r="AO592" s="58"/>
      <c r="AP592" s="58"/>
      <c r="AQ592" s="58"/>
      <c r="AR592" s="58"/>
      <c r="AS592" s="58"/>
      <c r="AT592" s="59"/>
      <c r="AU592" s="58"/>
      <c r="AV592" s="58"/>
      <c r="AW592" s="58"/>
      <c r="AX592" s="58"/>
      <c r="AY592" s="58"/>
      <c r="AZ592" s="59"/>
      <c r="BA592" s="58"/>
      <c r="BB592" s="58"/>
      <c r="BC592" s="58"/>
      <c r="BD592" s="58"/>
      <c r="BE592" s="58"/>
      <c r="BF592" s="59"/>
      <c r="BG592" s="58"/>
      <c r="BH592" s="58"/>
      <c r="BI592" s="58"/>
      <c r="BJ592" s="58"/>
      <c r="BK592" s="58"/>
      <c r="BL592" s="59"/>
      <c r="BM592" s="58"/>
      <c r="BN592" s="58"/>
      <c r="BO592" s="58"/>
      <c r="BP592" s="58"/>
      <c r="BQ592" s="58"/>
      <c r="BR592" s="58"/>
      <c r="BS592" s="58"/>
      <c r="BT592" s="58"/>
      <c r="BU592" s="58"/>
      <c r="BV592" s="58"/>
      <c r="BW592" s="58"/>
      <c r="BX592" s="58"/>
      <c r="BY592" s="58"/>
      <c r="BZ592" s="58"/>
      <c r="CA592" s="58"/>
      <c r="CB592" s="58"/>
      <c r="CC592" s="58"/>
      <c r="CD592" s="58"/>
      <c r="CE592" s="58"/>
      <c r="CF592" s="58"/>
      <c r="CG592" s="58"/>
      <c r="CH592" s="58"/>
      <c r="CI592" s="58"/>
      <c r="CJ592" s="58"/>
      <c r="CK592" s="58"/>
      <c r="CL592" s="58"/>
      <c r="CM592" s="58"/>
      <c r="CN592" s="58"/>
      <c r="CO592" s="58"/>
      <c r="CP592" s="58"/>
      <c r="CQ592" s="58"/>
      <c r="CR592" s="58"/>
      <c r="CS592" s="58"/>
      <c r="CT592" s="58"/>
      <c r="CU592" s="58"/>
    </row>
    <row r="593" spans="1:99" ht="15" thickBot="1" x14ac:dyDescent="0.4">
      <c r="A593" s="14"/>
      <c r="B593" s="14"/>
      <c r="C593" s="14"/>
      <c r="D593" s="14"/>
      <c r="E593" s="14"/>
      <c r="F593" s="14"/>
      <c r="G593" s="14"/>
      <c r="H593" s="14"/>
      <c r="I593" s="14"/>
      <c r="J593" s="41"/>
      <c r="L593" s="58"/>
      <c r="M593" s="58"/>
      <c r="N593" s="58"/>
      <c r="O593" s="58"/>
      <c r="P593" s="269"/>
      <c r="Q593" s="58"/>
      <c r="R593" s="58"/>
      <c r="S593" s="58"/>
      <c r="T593" s="58"/>
      <c r="U593" s="58"/>
      <c r="V593" s="269"/>
      <c r="W593" s="58"/>
      <c r="X593" s="58"/>
      <c r="Y593" s="58"/>
      <c r="Z593" s="58"/>
      <c r="AA593" s="58"/>
      <c r="AB593" s="269"/>
      <c r="AC593" s="58"/>
      <c r="AD593" s="58"/>
      <c r="AE593" s="58"/>
      <c r="AF593" s="58"/>
      <c r="AG593" s="58"/>
      <c r="AH593" s="269"/>
      <c r="AI593" s="58"/>
      <c r="AJ593" s="58"/>
      <c r="AK593" s="58"/>
      <c r="AL593" s="58"/>
      <c r="AM593" s="58"/>
      <c r="AN593" s="59"/>
      <c r="AO593" s="58"/>
      <c r="AP593" s="58"/>
      <c r="AQ593" s="58"/>
      <c r="AR593" s="58"/>
      <c r="AS593" s="58"/>
      <c r="AT593" s="59"/>
      <c r="AU593" s="58"/>
      <c r="AV593" s="58"/>
      <c r="AW593" s="58"/>
      <c r="AX593" s="58"/>
      <c r="AY593" s="58"/>
      <c r="AZ593" s="59"/>
      <c r="BA593" s="58"/>
      <c r="BB593" s="58"/>
      <c r="BC593" s="58"/>
      <c r="BD593" s="58"/>
      <c r="BE593" s="58"/>
      <c r="BF593" s="59"/>
      <c r="BG593" s="58"/>
      <c r="BH593" s="58"/>
      <c r="BI593" s="58"/>
      <c r="BJ593" s="58"/>
      <c r="BK593" s="58"/>
      <c r="BL593" s="59"/>
      <c r="BM593" s="58"/>
      <c r="BN593" s="58"/>
      <c r="BO593" s="58"/>
      <c r="BP593" s="58"/>
      <c r="BQ593" s="58"/>
      <c r="BR593" s="58"/>
      <c r="BS593" s="58"/>
      <c r="BT593" s="58"/>
      <c r="BU593" s="58"/>
      <c r="BV593" s="58"/>
      <c r="BW593" s="58"/>
      <c r="BX593" s="58"/>
      <c r="BY593" s="58"/>
      <c r="BZ593" s="58"/>
      <c r="CA593" s="58"/>
      <c r="CB593" s="58"/>
      <c r="CC593" s="58"/>
      <c r="CD593" s="58"/>
      <c r="CE593" s="58"/>
      <c r="CF593" s="58"/>
      <c r="CG593" s="58"/>
      <c r="CH593" s="58"/>
      <c r="CI593" s="58"/>
      <c r="CJ593" s="58"/>
      <c r="CK593" s="58"/>
      <c r="CL593" s="58"/>
      <c r="CM593" s="58"/>
      <c r="CN593" s="58"/>
      <c r="CO593" s="58"/>
      <c r="CP593" s="58"/>
      <c r="CQ593" s="58"/>
      <c r="CR593" s="58"/>
      <c r="CS593" s="58"/>
      <c r="CT593" s="58"/>
      <c r="CU593" s="58"/>
    </row>
    <row r="594" spans="1:99" ht="15" thickBot="1" x14ac:dyDescent="0.4">
      <c r="A594" s="14"/>
      <c r="B594" s="14"/>
      <c r="C594" s="14"/>
      <c r="D594" s="14"/>
      <c r="E594" s="14"/>
      <c r="F594" s="14"/>
      <c r="G594" s="14"/>
      <c r="H594" s="14"/>
      <c r="I594" s="14"/>
      <c r="J594" s="41"/>
      <c r="L594" s="58"/>
      <c r="M594" s="58"/>
      <c r="N594" s="58"/>
      <c r="O594" s="58"/>
      <c r="P594" s="269"/>
      <c r="Q594" s="58"/>
      <c r="R594" s="58"/>
      <c r="S594" s="58"/>
      <c r="T594" s="58"/>
      <c r="U594" s="58"/>
      <c r="V594" s="269"/>
      <c r="W594" s="58"/>
      <c r="X594" s="58"/>
      <c r="Y594" s="58"/>
      <c r="Z594" s="58"/>
      <c r="AA594" s="58"/>
      <c r="AB594" s="269"/>
      <c r="AC594" s="58"/>
      <c r="AD594" s="58"/>
      <c r="AE594" s="58"/>
      <c r="AF594" s="58"/>
      <c r="AG594" s="58"/>
      <c r="AH594" s="269"/>
      <c r="AI594" s="58"/>
      <c r="AJ594" s="58"/>
      <c r="AK594" s="58"/>
      <c r="AL594" s="58"/>
      <c r="AM594" s="58"/>
      <c r="AN594" s="59"/>
      <c r="AO594" s="58"/>
      <c r="AP594" s="58"/>
      <c r="AQ594" s="58"/>
      <c r="AR594" s="58"/>
      <c r="AS594" s="58"/>
      <c r="AT594" s="59"/>
      <c r="AU594" s="58"/>
      <c r="AV594" s="58"/>
      <c r="AW594" s="58"/>
      <c r="AX594" s="58"/>
      <c r="AY594" s="58"/>
      <c r="AZ594" s="59"/>
      <c r="BA594" s="58"/>
      <c r="BB594" s="58"/>
      <c r="BC594" s="58"/>
      <c r="BD594" s="58"/>
      <c r="BE594" s="58"/>
      <c r="BF594" s="59"/>
      <c r="BG594" s="58"/>
      <c r="BH594" s="58"/>
      <c r="BI594" s="58"/>
      <c r="BJ594" s="58"/>
      <c r="BK594" s="58"/>
      <c r="BL594" s="59"/>
      <c r="BM594" s="58"/>
      <c r="BN594" s="58"/>
      <c r="BO594" s="58"/>
      <c r="BP594" s="58"/>
      <c r="BQ594" s="58"/>
      <c r="BR594" s="58"/>
      <c r="BS594" s="58"/>
      <c r="BT594" s="58"/>
      <c r="BU594" s="58"/>
      <c r="BV594" s="58"/>
      <c r="BW594" s="58"/>
      <c r="BX594" s="58"/>
      <c r="BY594" s="58"/>
      <c r="BZ594" s="58"/>
      <c r="CA594" s="58"/>
      <c r="CB594" s="58"/>
      <c r="CC594" s="58"/>
      <c r="CD594" s="58"/>
      <c r="CE594" s="58"/>
      <c r="CF594" s="58"/>
      <c r="CG594" s="58"/>
      <c r="CH594" s="58"/>
      <c r="CI594" s="58"/>
      <c r="CJ594" s="58"/>
      <c r="CK594" s="58"/>
      <c r="CL594" s="58"/>
      <c r="CM594" s="58"/>
      <c r="CN594" s="58"/>
      <c r="CO594" s="58"/>
      <c r="CP594" s="58"/>
      <c r="CQ594" s="58"/>
      <c r="CR594" s="58"/>
      <c r="CS594" s="58"/>
      <c r="CT594" s="58"/>
      <c r="CU594" s="58"/>
    </row>
    <row r="595" spans="1:99" ht="15" thickBot="1" x14ac:dyDescent="0.4">
      <c r="A595" s="14"/>
      <c r="B595" s="14"/>
      <c r="C595" s="14"/>
      <c r="D595" s="14"/>
      <c r="E595" s="14"/>
      <c r="F595" s="14"/>
      <c r="G595" s="14"/>
      <c r="H595" s="14"/>
      <c r="I595" s="14"/>
      <c r="J595" s="41"/>
      <c r="L595" s="58"/>
      <c r="M595" s="58"/>
      <c r="N595" s="58"/>
      <c r="O595" s="58"/>
      <c r="P595" s="269"/>
      <c r="Q595" s="58"/>
      <c r="R595" s="58"/>
      <c r="S595" s="58"/>
      <c r="T595" s="58"/>
      <c r="U595" s="58"/>
      <c r="V595" s="269"/>
      <c r="W595" s="58"/>
      <c r="X595" s="58"/>
      <c r="Y595" s="58"/>
      <c r="Z595" s="58"/>
      <c r="AA595" s="58"/>
      <c r="AB595" s="269"/>
      <c r="AC595" s="58"/>
      <c r="AD595" s="58"/>
      <c r="AE595" s="58"/>
      <c r="AF595" s="58"/>
      <c r="AG595" s="58"/>
      <c r="AH595" s="269"/>
      <c r="AI595" s="58"/>
      <c r="AJ595" s="58"/>
      <c r="AK595" s="58"/>
      <c r="AL595" s="58"/>
      <c r="AM595" s="58"/>
      <c r="AN595" s="59"/>
      <c r="AO595" s="58"/>
      <c r="AP595" s="58"/>
      <c r="AQ595" s="58"/>
      <c r="AR595" s="58"/>
      <c r="AS595" s="58"/>
      <c r="AT595" s="59"/>
      <c r="AU595" s="58"/>
      <c r="AV595" s="58"/>
      <c r="AW595" s="58"/>
      <c r="AX595" s="58"/>
      <c r="AY595" s="58"/>
      <c r="AZ595" s="59"/>
      <c r="BA595" s="58"/>
      <c r="BB595" s="58"/>
      <c r="BC595" s="58"/>
      <c r="BD595" s="58"/>
      <c r="BE595" s="58"/>
      <c r="BF595" s="59"/>
      <c r="BG595" s="58"/>
      <c r="BH595" s="58"/>
      <c r="BI595" s="58"/>
      <c r="BJ595" s="58"/>
      <c r="BK595" s="58"/>
      <c r="BL595" s="59"/>
      <c r="BM595" s="58"/>
      <c r="BN595" s="58"/>
      <c r="BO595" s="58"/>
      <c r="BP595" s="58"/>
      <c r="BQ595" s="58"/>
      <c r="BR595" s="58"/>
      <c r="BS595" s="58"/>
      <c r="BT595" s="58"/>
      <c r="BU595" s="58"/>
      <c r="BV595" s="58"/>
      <c r="BW595" s="58"/>
      <c r="BX595" s="58"/>
      <c r="BY595" s="58"/>
      <c r="BZ595" s="58"/>
      <c r="CA595" s="58"/>
      <c r="CB595" s="58"/>
      <c r="CC595" s="58"/>
      <c r="CD595" s="58"/>
      <c r="CE595" s="58"/>
      <c r="CF595" s="58"/>
      <c r="CG595" s="58"/>
      <c r="CH595" s="58"/>
      <c r="CI595" s="58"/>
      <c r="CJ595" s="58"/>
      <c r="CK595" s="58"/>
      <c r="CL595" s="58"/>
      <c r="CM595" s="58"/>
      <c r="CN595" s="58"/>
      <c r="CO595" s="58"/>
      <c r="CP595" s="58"/>
      <c r="CQ595" s="58"/>
      <c r="CR595" s="58"/>
      <c r="CS595" s="58"/>
      <c r="CT595" s="58"/>
      <c r="CU595" s="58"/>
    </row>
    <row r="596" spans="1:99" ht="15" thickBot="1" x14ac:dyDescent="0.4">
      <c r="A596" s="14"/>
      <c r="B596" s="14"/>
      <c r="C596" s="14"/>
      <c r="D596" s="14"/>
      <c r="E596" s="14"/>
      <c r="F596" s="14"/>
      <c r="G596" s="14"/>
      <c r="H596" s="14"/>
      <c r="I596" s="14"/>
      <c r="J596" s="41"/>
      <c r="L596" s="58"/>
      <c r="M596" s="58"/>
      <c r="N596" s="58"/>
      <c r="O596" s="58"/>
      <c r="P596" s="269"/>
      <c r="Q596" s="58"/>
      <c r="R596" s="58"/>
      <c r="S596" s="58"/>
      <c r="T596" s="58"/>
      <c r="U596" s="58"/>
      <c r="V596" s="269"/>
      <c r="W596" s="58"/>
      <c r="X596" s="58"/>
      <c r="Y596" s="58"/>
      <c r="Z596" s="58"/>
      <c r="AA596" s="58"/>
      <c r="AB596" s="269"/>
      <c r="AC596" s="58"/>
      <c r="AD596" s="58"/>
      <c r="AE596" s="58"/>
      <c r="AF596" s="58"/>
      <c r="AG596" s="58"/>
      <c r="AH596" s="269"/>
      <c r="AI596" s="58"/>
      <c r="AJ596" s="58"/>
      <c r="AK596" s="58"/>
      <c r="AL596" s="58"/>
      <c r="AM596" s="58"/>
      <c r="AN596" s="59"/>
      <c r="AO596" s="58"/>
      <c r="AP596" s="58"/>
      <c r="AQ596" s="58"/>
      <c r="AR596" s="58"/>
      <c r="AS596" s="58"/>
      <c r="AT596" s="59"/>
      <c r="AU596" s="58"/>
      <c r="AV596" s="58"/>
      <c r="AW596" s="58"/>
      <c r="AX596" s="58"/>
      <c r="AY596" s="58"/>
      <c r="AZ596" s="59"/>
      <c r="BA596" s="58"/>
      <c r="BB596" s="58"/>
      <c r="BC596" s="58"/>
      <c r="BD596" s="58"/>
      <c r="BE596" s="58"/>
      <c r="BF596" s="59"/>
      <c r="BG596" s="58"/>
      <c r="BH596" s="58"/>
      <c r="BI596" s="58"/>
      <c r="BJ596" s="58"/>
      <c r="BK596" s="58"/>
      <c r="BL596" s="59"/>
      <c r="BM596" s="58"/>
      <c r="BN596" s="58"/>
      <c r="BO596" s="58"/>
      <c r="BP596" s="58"/>
      <c r="BQ596" s="58"/>
      <c r="BR596" s="58"/>
      <c r="BS596" s="58"/>
      <c r="BT596" s="58"/>
      <c r="BU596" s="58"/>
      <c r="BV596" s="58"/>
      <c r="BW596" s="58"/>
      <c r="BX596" s="58"/>
      <c r="BY596" s="58"/>
      <c r="BZ596" s="58"/>
      <c r="CA596" s="58"/>
      <c r="CB596" s="58"/>
      <c r="CC596" s="58"/>
      <c r="CD596" s="58"/>
      <c r="CE596" s="58"/>
      <c r="CF596" s="58"/>
      <c r="CG596" s="58"/>
      <c r="CH596" s="58"/>
      <c r="CI596" s="58"/>
      <c r="CJ596" s="58"/>
      <c r="CK596" s="58"/>
      <c r="CL596" s="58"/>
      <c r="CM596" s="58"/>
      <c r="CN596" s="58"/>
      <c r="CO596" s="58"/>
      <c r="CP596" s="58"/>
      <c r="CQ596" s="58"/>
      <c r="CR596" s="58"/>
      <c r="CS596" s="58"/>
      <c r="CT596" s="58"/>
      <c r="CU596" s="58"/>
    </row>
    <row r="597" spans="1:99" ht="15" thickBot="1" x14ac:dyDescent="0.4">
      <c r="A597" s="14"/>
      <c r="B597" s="14"/>
      <c r="C597" s="14"/>
      <c r="D597" s="14"/>
      <c r="E597" s="14"/>
      <c r="F597" s="14"/>
      <c r="G597" s="14"/>
      <c r="H597" s="14"/>
      <c r="I597" s="14"/>
      <c r="J597" s="41"/>
      <c r="L597" s="58"/>
      <c r="M597" s="58"/>
      <c r="N597" s="58"/>
      <c r="O597" s="58"/>
      <c r="P597" s="269"/>
      <c r="Q597" s="58"/>
      <c r="R597" s="58"/>
      <c r="S597" s="58"/>
      <c r="T597" s="58"/>
      <c r="U597" s="58"/>
      <c r="V597" s="269"/>
      <c r="W597" s="58"/>
      <c r="X597" s="58"/>
      <c r="Y597" s="58"/>
      <c r="Z597" s="58"/>
      <c r="AA597" s="58"/>
      <c r="AB597" s="269"/>
      <c r="AC597" s="58"/>
      <c r="AD597" s="58"/>
      <c r="AE597" s="58"/>
      <c r="AF597" s="58"/>
      <c r="AG597" s="58"/>
      <c r="AH597" s="269"/>
      <c r="AI597" s="58"/>
      <c r="AJ597" s="58"/>
      <c r="AK597" s="58"/>
      <c r="AL597" s="58"/>
      <c r="AM597" s="58"/>
      <c r="AN597" s="59"/>
      <c r="AO597" s="58"/>
      <c r="AP597" s="58"/>
      <c r="AQ597" s="58"/>
      <c r="AR597" s="58"/>
      <c r="AS597" s="58"/>
      <c r="AT597" s="59"/>
      <c r="AU597" s="58"/>
      <c r="AV597" s="58"/>
      <c r="AW597" s="58"/>
      <c r="AX597" s="58"/>
      <c r="AY597" s="58"/>
      <c r="AZ597" s="59"/>
      <c r="BA597" s="58"/>
      <c r="BB597" s="58"/>
      <c r="BC597" s="58"/>
      <c r="BD597" s="58"/>
      <c r="BE597" s="58"/>
      <c r="BF597" s="59"/>
      <c r="BG597" s="58"/>
      <c r="BH597" s="58"/>
      <c r="BI597" s="58"/>
      <c r="BJ597" s="58"/>
      <c r="BK597" s="58"/>
      <c r="BL597" s="59"/>
      <c r="BM597" s="58"/>
      <c r="BN597" s="58"/>
      <c r="BO597" s="58"/>
      <c r="BP597" s="58"/>
      <c r="BQ597" s="58"/>
      <c r="BR597" s="58"/>
      <c r="BS597" s="58"/>
      <c r="BT597" s="58"/>
      <c r="BU597" s="58"/>
      <c r="BV597" s="58"/>
      <c r="BW597" s="58"/>
      <c r="BX597" s="58"/>
      <c r="BY597" s="58"/>
      <c r="BZ597" s="58"/>
      <c r="CA597" s="58"/>
      <c r="CB597" s="58"/>
      <c r="CC597" s="58"/>
      <c r="CD597" s="58"/>
      <c r="CE597" s="58"/>
      <c r="CF597" s="58"/>
      <c r="CG597" s="58"/>
      <c r="CH597" s="58"/>
      <c r="CI597" s="58"/>
      <c r="CJ597" s="58"/>
      <c r="CK597" s="58"/>
      <c r="CL597" s="58"/>
      <c r="CM597" s="58"/>
      <c r="CN597" s="58"/>
      <c r="CO597" s="58"/>
      <c r="CP597" s="58"/>
      <c r="CQ597" s="58"/>
      <c r="CR597" s="58"/>
      <c r="CS597" s="58"/>
      <c r="CT597" s="58"/>
      <c r="CU597" s="58"/>
    </row>
    <row r="598" spans="1:99" ht="15" thickBot="1" x14ac:dyDescent="0.4">
      <c r="A598" s="14"/>
      <c r="B598" s="14"/>
      <c r="C598" s="14"/>
      <c r="D598" s="14"/>
      <c r="E598" s="14"/>
      <c r="F598" s="14"/>
      <c r="G598" s="14"/>
      <c r="H598" s="14"/>
      <c r="I598" s="14"/>
      <c r="J598" s="41"/>
      <c r="L598" s="58"/>
      <c r="M598" s="58"/>
      <c r="N598" s="58"/>
      <c r="O598" s="58"/>
      <c r="P598" s="269"/>
      <c r="Q598" s="58"/>
      <c r="R598" s="58"/>
      <c r="S598" s="58"/>
      <c r="T598" s="58"/>
      <c r="U598" s="58"/>
      <c r="V598" s="269"/>
      <c r="W598" s="58"/>
      <c r="X598" s="58"/>
      <c r="Y598" s="58"/>
      <c r="Z598" s="58"/>
      <c r="AA598" s="58"/>
      <c r="AB598" s="269"/>
      <c r="AC598" s="58"/>
      <c r="AD598" s="58"/>
      <c r="AE598" s="58"/>
      <c r="AF598" s="58"/>
      <c r="AG598" s="58"/>
      <c r="AH598" s="269"/>
      <c r="AI598" s="58"/>
      <c r="AJ598" s="58"/>
      <c r="AK598" s="58"/>
      <c r="AL598" s="58"/>
      <c r="AM598" s="58"/>
      <c r="AN598" s="59"/>
      <c r="AO598" s="58"/>
      <c r="AP598" s="58"/>
      <c r="AQ598" s="58"/>
      <c r="AR598" s="58"/>
      <c r="AS598" s="58"/>
      <c r="AT598" s="59"/>
      <c r="AU598" s="58"/>
      <c r="AV598" s="58"/>
      <c r="AW598" s="58"/>
      <c r="AX598" s="58"/>
      <c r="AY598" s="58"/>
      <c r="AZ598" s="59"/>
      <c r="BA598" s="58"/>
      <c r="BB598" s="58"/>
      <c r="BC598" s="58"/>
      <c r="BD598" s="58"/>
      <c r="BE598" s="58"/>
      <c r="BF598" s="59"/>
      <c r="BG598" s="58"/>
      <c r="BH598" s="58"/>
      <c r="BI598" s="58"/>
      <c r="BJ598" s="58"/>
      <c r="BK598" s="58"/>
      <c r="BL598" s="59"/>
      <c r="BM598" s="58"/>
      <c r="BN598" s="58"/>
      <c r="BO598" s="58"/>
      <c r="BP598" s="58"/>
      <c r="BQ598" s="58"/>
      <c r="BR598" s="58"/>
      <c r="BS598" s="58"/>
      <c r="BT598" s="58"/>
      <c r="BU598" s="58"/>
      <c r="BV598" s="58"/>
      <c r="BW598" s="58"/>
      <c r="BX598" s="58"/>
      <c r="BY598" s="58"/>
      <c r="BZ598" s="58"/>
      <c r="CA598" s="58"/>
      <c r="CB598" s="58"/>
      <c r="CC598" s="58"/>
      <c r="CD598" s="58"/>
      <c r="CE598" s="58"/>
      <c r="CF598" s="58"/>
      <c r="CG598" s="58"/>
      <c r="CH598" s="58"/>
      <c r="CI598" s="58"/>
      <c r="CJ598" s="58"/>
      <c r="CK598" s="58"/>
      <c r="CL598" s="58"/>
      <c r="CM598" s="58"/>
      <c r="CN598" s="58"/>
      <c r="CO598" s="58"/>
      <c r="CP598" s="58"/>
      <c r="CQ598" s="58"/>
      <c r="CR598" s="58"/>
      <c r="CS598" s="58"/>
      <c r="CT598" s="58"/>
      <c r="CU598" s="58"/>
    </row>
    <row r="599" spans="1:99" ht="15" thickBot="1" x14ac:dyDescent="0.4">
      <c r="A599" s="14"/>
      <c r="B599" s="14"/>
      <c r="C599" s="14"/>
      <c r="D599" s="14"/>
      <c r="E599" s="14"/>
      <c r="F599" s="14"/>
      <c r="G599" s="14"/>
      <c r="H599" s="14"/>
      <c r="I599" s="14"/>
      <c r="J599" s="41"/>
      <c r="L599" s="58"/>
      <c r="M599" s="58"/>
      <c r="N599" s="58"/>
      <c r="O599" s="58"/>
      <c r="P599" s="269"/>
      <c r="Q599" s="58"/>
      <c r="R599" s="58"/>
      <c r="S599" s="58"/>
      <c r="T599" s="58"/>
      <c r="U599" s="58"/>
      <c r="V599" s="269"/>
      <c r="W599" s="58"/>
      <c r="X599" s="58"/>
      <c r="Y599" s="58"/>
      <c r="Z599" s="58"/>
      <c r="AA599" s="58"/>
      <c r="AB599" s="269"/>
      <c r="AC599" s="58"/>
      <c r="AD599" s="58"/>
      <c r="AE599" s="58"/>
      <c r="AF599" s="58"/>
      <c r="AG599" s="58"/>
      <c r="AH599" s="269"/>
      <c r="AI599" s="58"/>
      <c r="AJ599" s="58"/>
      <c r="AK599" s="58"/>
      <c r="AL599" s="58"/>
      <c r="AM599" s="58"/>
      <c r="AN599" s="59"/>
      <c r="AO599" s="58"/>
      <c r="AP599" s="58"/>
      <c r="AQ599" s="58"/>
      <c r="AR599" s="58"/>
      <c r="AS599" s="58"/>
      <c r="AT599" s="59"/>
      <c r="AU599" s="58"/>
      <c r="AV599" s="58"/>
      <c r="AW599" s="58"/>
      <c r="AX599" s="58"/>
      <c r="AY599" s="58"/>
      <c r="AZ599" s="59"/>
      <c r="BA599" s="58"/>
      <c r="BB599" s="58"/>
      <c r="BC599" s="58"/>
      <c r="BD599" s="58"/>
      <c r="BE599" s="58"/>
      <c r="BF599" s="59"/>
      <c r="BG599" s="58"/>
      <c r="BH599" s="58"/>
      <c r="BI599" s="58"/>
      <c r="BJ599" s="58"/>
      <c r="BK599" s="58"/>
      <c r="BL599" s="59"/>
      <c r="BM599" s="58"/>
      <c r="BN599" s="58"/>
      <c r="BO599" s="58"/>
      <c r="BP599" s="58"/>
      <c r="BQ599" s="58"/>
      <c r="BR599" s="58"/>
      <c r="BS599" s="58"/>
      <c r="BT599" s="58"/>
      <c r="BU599" s="58"/>
      <c r="BV599" s="58"/>
      <c r="BW599" s="58"/>
      <c r="BX599" s="58"/>
      <c r="BY599" s="58"/>
      <c r="BZ599" s="58"/>
      <c r="CA599" s="58"/>
      <c r="CB599" s="58"/>
      <c r="CC599" s="58"/>
      <c r="CD599" s="58"/>
      <c r="CE599" s="58"/>
      <c r="CF599" s="58"/>
      <c r="CG599" s="58"/>
      <c r="CH599" s="58"/>
      <c r="CI599" s="58"/>
      <c r="CJ599" s="58"/>
      <c r="CK599" s="58"/>
      <c r="CL599" s="58"/>
      <c r="CM599" s="58"/>
      <c r="CN599" s="58"/>
      <c r="CO599" s="58"/>
      <c r="CP599" s="58"/>
      <c r="CQ599" s="58"/>
      <c r="CR599" s="58"/>
      <c r="CS599" s="58"/>
      <c r="CT599" s="58"/>
      <c r="CU599" s="58"/>
    </row>
    <row r="600" spans="1:99" ht="15" thickBot="1" x14ac:dyDescent="0.4">
      <c r="A600" s="14"/>
      <c r="B600" s="14"/>
      <c r="C600" s="14"/>
      <c r="D600" s="14"/>
      <c r="E600" s="14"/>
      <c r="F600" s="14"/>
      <c r="G600" s="14"/>
      <c r="H600" s="14"/>
      <c r="I600" s="14"/>
      <c r="J600" s="41"/>
      <c r="L600" s="58"/>
      <c r="M600" s="58"/>
      <c r="N600" s="58"/>
      <c r="O600" s="58"/>
      <c r="P600" s="269"/>
      <c r="Q600" s="58"/>
      <c r="R600" s="58"/>
      <c r="S600" s="58"/>
      <c r="T600" s="58"/>
      <c r="U600" s="58"/>
      <c r="V600" s="269"/>
      <c r="W600" s="58"/>
      <c r="X600" s="58"/>
      <c r="Y600" s="58"/>
      <c r="Z600" s="58"/>
      <c r="AA600" s="58"/>
      <c r="AB600" s="269"/>
      <c r="AC600" s="58"/>
      <c r="AD600" s="58"/>
      <c r="AE600" s="58"/>
      <c r="AF600" s="58"/>
      <c r="AG600" s="58"/>
      <c r="AH600" s="269"/>
      <c r="AI600" s="58"/>
      <c r="AJ600" s="58"/>
      <c r="AK600" s="58"/>
      <c r="AL600" s="58"/>
      <c r="AM600" s="58"/>
      <c r="AN600" s="59"/>
      <c r="AO600" s="58"/>
      <c r="AP600" s="58"/>
      <c r="AQ600" s="58"/>
      <c r="AR600" s="58"/>
      <c r="AS600" s="58"/>
      <c r="AT600" s="59"/>
      <c r="AU600" s="58"/>
      <c r="AV600" s="58"/>
      <c r="AW600" s="58"/>
      <c r="AX600" s="58"/>
      <c r="AY600" s="58"/>
      <c r="AZ600" s="59"/>
      <c r="BA600" s="58"/>
      <c r="BB600" s="58"/>
      <c r="BC600" s="58"/>
      <c r="BD600" s="58"/>
      <c r="BE600" s="58"/>
      <c r="BF600" s="59"/>
      <c r="BG600" s="58"/>
      <c r="BH600" s="58"/>
      <c r="BI600" s="58"/>
      <c r="BJ600" s="58"/>
      <c r="BK600" s="58"/>
      <c r="BL600" s="59"/>
      <c r="BM600" s="58"/>
      <c r="BN600" s="58"/>
      <c r="BO600" s="58"/>
      <c r="BP600" s="58"/>
      <c r="BQ600" s="58"/>
      <c r="BR600" s="58"/>
      <c r="BS600" s="58"/>
      <c r="BT600" s="58"/>
      <c r="BU600" s="58"/>
      <c r="BV600" s="58"/>
      <c r="BW600" s="58"/>
      <c r="BX600" s="58"/>
      <c r="BY600" s="58"/>
      <c r="BZ600" s="58"/>
      <c r="CA600" s="58"/>
      <c r="CB600" s="58"/>
      <c r="CC600" s="58"/>
      <c r="CD600" s="58"/>
      <c r="CE600" s="58"/>
      <c r="CF600" s="58"/>
      <c r="CG600" s="58"/>
      <c r="CH600" s="58"/>
      <c r="CI600" s="58"/>
      <c r="CJ600" s="58"/>
      <c r="CK600" s="58"/>
      <c r="CL600" s="58"/>
      <c r="CM600" s="58"/>
      <c r="CN600" s="58"/>
      <c r="CO600" s="58"/>
      <c r="CP600" s="58"/>
      <c r="CQ600" s="58"/>
      <c r="CR600" s="58"/>
      <c r="CS600" s="58"/>
      <c r="CT600" s="58"/>
      <c r="CU600" s="58"/>
    </row>
    <row r="601" spans="1:99" ht="15" thickBot="1" x14ac:dyDescent="0.4">
      <c r="A601" s="14"/>
      <c r="B601" s="14"/>
      <c r="C601" s="14"/>
      <c r="D601" s="14"/>
      <c r="E601" s="14"/>
      <c r="F601" s="14"/>
      <c r="G601" s="14"/>
      <c r="H601" s="14"/>
      <c r="I601" s="14"/>
      <c r="J601" s="41"/>
      <c r="L601" s="58"/>
      <c r="M601" s="58"/>
      <c r="N601" s="58"/>
      <c r="O601" s="58"/>
      <c r="P601" s="269"/>
      <c r="Q601" s="58"/>
      <c r="R601" s="58"/>
      <c r="S601" s="58"/>
      <c r="T601" s="58"/>
      <c r="U601" s="58"/>
      <c r="V601" s="269"/>
      <c r="W601" s="58"/>
      <c r="X601" s="58"/>
      <c r="Y601" s="58"/>
      <c r="Z601" s="58"/>
      <c r="AA601" s="58"/>
      <c r="AB601" s="269"/>
      <c r="AC601" s="58"/>
      <c r="AD601" s="58"/>
      <c r="AE601" s="58"/>
      <c r="AF601" s="58"/>
      <c r="AG601" s="58"/>
      <c r="AH601" s="269"/>
      <c r="AI601" s="58"/>
      <c r="AJ601" s="58"/>
      <c r="AK601" s="58"/>
      <c r="AL601" s="58"/>
      <c r="AM601" s="58"/>
      <c r="AN601" s="59"/>
      <c r="AO601" s="58"/>
      <c r="AP601" s="58"/>
      <c r="AQ601" s="58"/>
      <c r="AR601" s="58"/>
      <c r="AS601" s="58"/>
      <c r="AT601" s="59"/>
      <c r="AU601" s="58"/>
      <c r="AV601" s="58"/>
      <c r="AW601" s="58"/>
      <c r="AX601" s="58"/>
      <c r="AY601" s="58"/>
      <c r="AZ601" s="59"/>
      <c r="BA601" s="58"/>
      <c r="BB601" s="58"/>
      <c r="BC601" s="58"/>
      <c r="BD601" s="58"/>
      <c r="BE601" s="58"/>
      <c r="BF601" s="59"/>
      <c r="BG601" s="58"/>
      <c r="BH601" s="58"/>
      <c r="BI601" s="58"/>
      <c r="BJ601" s="58"/>
      <c r="BK601" s="58"/>
      <c r="BL601" s="59"/>
      <c r="BM601" s="58"/>
      <c r="BN601" s="58"/>
      <c r="BO601" s="58"/>
      <c r="BP601" s="58"/>
      <c r="BQ601" s="58"/>
      <c r="BR601" s="58"/>
      <c r="BS601" s="58"/>
      <c r="BT601" s="58"/>
      <c r="BU601" s="58"/>
      <c r="BV601" s="58"/>
      <c r="BW601" s="58"/>
      <c r="BX601" s="58"/>
      <c r="BY601" s="58"/>
      <c r="BZ601" s="58"/>
      <c r="CA601" s="58"/>
      <c r="CB601" s="58"/>
      <c r="CC601" s="58"/>
      <c r="CD601" s="58"/>
      <c r="CE601" s="58"/>
      <c r="CF601" s="58"/>
      <c r="CG601" s="58"/>
      <c r="CH601" s="58"/>
      <c r="CI601" s="58"/>
      <c r="CJ601" s="58"/>
      <c r="CK601" s="58"/>
      <c r="CL601" s="58"/>
      <c r="CM601" s="58"/>
      <c r="CN601" s="58"/>
      <c r="CO601" s="58"/>
      <c r="CP601" s="58"/>
      <c r="CQ601" s="58"/>
      <c r="CR601" s="58"/>
      <c r="CS601" s="58"/>
      <c r="CT601" s="58"/>
      <c r="CU601" s="58"/>
    </row>
    <row r="602" spans="1:99" ht="15" thickBot="1" x14ac:dyDescent="0.4">
      <c r="A602" s="14"/>
      <c r="B602" s="14"/>
      <c r="C602" s="14"/>
      <c r="D602" s="14"/>
      <c r="E602" s="14"/>
      <c r="F602" s="14"/>
      <c r="G602" s="14"/>
      <c r="H602" s="14"/>
      <c r="I602" s="14"/>
      <c r="J602" s="41"/>
      <c r="L602" s="58"/>
      <c r="M602" s="58"/>
      <c r="N602" s="58"/>
      <c r="O602" s="58"/>
      <c r="P602" s="269"/>
      <c r="Q602" s="58"/>
      <c r="R602" s="58"/>
      <c r="S602" s="58"/>
      <c r="T602" s="58"/>
      <c r="U602" s="58"/>
      <c r="V602" s="269"/>
      <c r="W602" s="58"/>
      <c r="X602" s="58"/>
      <c r="Y602" s="58"/>
      <c r="Z602" s="58"/>
      <c r="AA602" s="58"/>
      <c r="AB602" s="269"/>
      <c r="AC602" s="58"/>
      <c r="AD602" s="58"/>
      <c r="AE602" s="58"/>
      <c r="AF602" s="58"/>
      <c r="AG602" s="58"/>
      <c r="AH602" s="269"/>
      <c r="AI602" s="58"/>
      <c r="AJ602" s="58"/>
      <c r="AK602" s="58"/>
      <c r="AL602" s="58"/>
      <c r="AM602" s="58"/>
      <c r="AN602" s="59"/>
      <c r="AO602" s="58"/>
      <c r="AP602" s="58"/>
      <c r="AQ602" s="58"/>
      <c r="AR602" s="58"/>
      <c r="AS602" s="58"/>
      <c r="AT602" s="59"/>
      <c r="AU602" s="58"/>
      <c r="AV602" s="58"/>
      <c r="AW602" s="58"/>
      <c r="AX602" s="58"/>
      <c r="AY602" s="58"/>
      <c r="AZ602" s="59"/>
      <c r="BA602" s="58"/>
      <c r="BB602" s="58"/>
      <c r="BC602" s="58"/>
      <c r="BD602" s="58"/>
      <c r="BE602" s="58"/>
      <c r="BF602" s="59"/>
      <c r="BG602" s="58"/>
      <c r="BH602" s="58"/>
      <c r="BI602" s="58"/>
      <c r="BJ602" s="58"/>
      <c r="BK602" s="58"/>
      <c r="BL602" s="59"/>
      <c r="BM602" s="58"/>
      <c r="BN602" s="58"/>
      <c r="BO602" s="58"/>
      <c r="BP602" s="58"/>
      <c r="BQ602" s="58"/>
      <c r="BR602" s="58"/>
      <c r="BS602" s="58"/>
      <c r="BT602" s="58"/>
      <c r="BU602" s="58"/>
      <c r="BV602" s="58"/>
      <c r="BW602" s="58"/>
      <c r="BX602" s="58"/>
      <c r="BY602" s="58"/>
      <c r="BZ602" s="58"/>
      <c r="CA602" s="58"/>
      <c r="CB602" s="58"/>
      <c r="CC602" s="58"/>
      <c r="CD602" s="58"/>
      <c r="CE602" s="58"/>
      <c r="CF602" s="58"/>
      <c r="CG602" s="58"/>
      <c r="CH602" s="58"/>
      <c r="CI602" s="58"/>
      <c r="CJ602" s="58"/>
      <c r="CK602" s="58"/>
      <c r="CL602" s="58"/>
      <c r="CM602" s="58"/>
      <c r="CN602" s="58"/>
      <c r="CO602" s="58"/>
      <c r="CP602" s="58"/>
      <c r="CQ602" s="58"/>
      <c r="CR602" s="58"/>
      <c r="CS602" s="58"/>
      <c r="CT602" s="58"/>
      <c r="CU602" s="58"/>
    </row>
    <row r="603" spans="1:99" ht="15" thickBot="1" x14ac:dyDescent="0.4">
      <c r="A603" s="14"/>
      <c r="B603" s="14"/>
      <c r="C603" s="14"/>
      <c r="D603" s="14"/>
      <c r="E603" s="14"/>
      <c r="F603" s="14"/>
      <c r="G603" s="14"/>
      <c r="H603" s="14"/>
      <c r="I603" s="14"/>
      <c r="J603" s="41"/>
      <c r="L603" s="58"/>
      <c r="M603" s="58"/>
      <c r="N603" s="58"/>
      <c r="O603" s="58"/>
      <c r="P603" s="269"/>
      <c r="Q603" s="58"/>
      <c r="R603" s="58"/>
      <c r="S603" s="58"/>
      <c r="T603" s="58"/>
      <c r="U603" s="58"/>
      <c r="V603" s="269"/>
      <c r="W603" s="58"/>
      <c r="X603" s="58"/>
      <c r="Y603" s="58"/>
      <c r="Z603" s="58"/>
      <c r="AA603" s="58"/>
      <c r="AB603" s="269"/>
      <c r="AC603" s="58"/>
      <c r="AD603" s="58"/>
      <c r="AE603" s="58"/>
      <c r="AF603" s="58"/>
      <c r="AG603" s="58"/>
      <c r="AH603" s="269"/>
      <c r="AI603" s="58"/>
      <c r="AJ603" s="58"/>
      <c r="AK603" s="58"/>
      <c r="AL603" s="58"/>
      <c r="AM603" s="58"/>
      <c r="AN603" s="59"/>
      <c r="AO603" s="58"/>
      <c r="AP603" s="58"/>
      <c r="AQ603" s="58"/>
      <c r="AR603" s="58"/>
      <c r="AS603" s="58"/>
      <c r="AT603" s="59"/>
      <c r="AU603" s="58"/>
      <c r="AV603" s="58"/>
      <c r="AW603" s="58"/>
      <c r="AX603" s="58"/>
      <c r="AY603" s="58"/>
      <c r="AZ603" s="59"/>
      <c r="BA603" s="58"/>
      <c r="BB603" s="58"/>
      <c r="BC603" s="58"/>
      <c r="BD603" s="58"/>
      <c r="BE603" s="58"/>
      <c r="BF603" s="59"/>
      <c r="BG603" s="58"/>
      <c r="BH603" s="58"/>
      <c r="BI603" s="58"/>
      <c r="BJ603" s="58"/>
      <c r="BK603" s="58"/>
      <c r="BL603" s="59"/>
      <c r="BM603" s="58"/>
      <c r="BN603" s="58"/>
      <c r="BO603" s="58"/>
      <c r="BP603" s="58"/>
      <c r="BQ603" s="58"/>
      <c r="BR603" s="58"/>
      <c r="BS603" s="58"/>
      <c r="BT603" s="58"/>
      <c r="BU603" s="58"/>
      <c r="BV603" s="58"/>
      <c r="BW603" s="58"/>
      <c r="BX603" s="58"/>
      <c r="BY603" s="58"/>
      <c r="BZ603" s="58"/>
      <c r="CA603" s="58"/>
      <c r="CB603" s="58"/>
      <c r="CC603" s="58"/>
      <c r="CD603" s="58"/>
      <c r="CE603" s="58"/>
      <c r="CF603" s="58"/>
      <c r="CG603" s="58"/>
      <c r="CH603" s="58"/>
      <c r="CI603" s="58"/>
      <c r="CJ603" s="58"/>
      <c r="CK603" s="58"/>
      <c r="CL603" s="58"/>
      <c r="CM603" s="58"/>
      <c r="CN603" s="58"/>
      <c r="CO603" s="58"/>
      <c r="CP603" s="58"/>
      <c r="CQ603" s="58"/>
      <c r="CR603" s="58"/>
      <c r="CS603" s="58"/>
      <c r="CT603" s="58"/>
      <c r="CU603" s="58"/>
    </row>
    <row r="604" spans="1:99" ht="15" thickBot="1" x14ac:dyDescent="0.4">
      <c r="A604" s="14"/>
      <c r="B604" s="14"/>
      <c r="C604" s="14"/>
      <c r="D604" s="14"/>
      <c r="E604" s="14"/>
      <c r="F604" s="14"/>
      <c r="G604" s="14"/>
      <c r="H604" s="14"/>
      <c r="I604" s="14"/>
      <c r="J604" s="41"/>
      <c r="L604" s="58"/>
      <c r="M604" s="58"/>
      <c r="N604" s="58"/>
      <c r="O604" s="58"/>
      <c r="P604" s="269"/>
      <c r="Q604" s="58"/>
      <c r="R604" s="58"/>
      <c r="S604" s="58"/>
      <c r="T604" s="58"/>
      <c r="U604" s="58"/>
      <c r="V604" s="269"/>
      <c r="W604" s="58"/>
      <c r="X604" s="58"/>
      <c r="Y604" s="58"/>
      <c r="Z604" s="58"/>
      <c r="AA604" s="58"/>
      <c r="AB604" s="269"/>
      <c r="AC604" s="58"/>
      <c r="AD604" s="58"/>
      <c r="AE604" s="58"/>
      <c r="AF604" s="58"/>
      <c r="AG604" s="58"/>
      <c r="AH604" s="269"/>
      <c r="AI604" s="58"/>
      <c r="AJ604" s="58"/>
      <c r="AK604" s="58"/>
      <c r="AL604" s="58"/>
      <c r="AM604" s="58"/>
      <c r="AN604" s="59"/>
      <c r="AO604" s="58"/>
      <c r="AP604" s="58"/>
      <c r="AQ604" s="58"/>
      <c r="AR604" s="58"/>
      <c r="AS604" s="58"/>
      <c r="AT604" s="59"/>
      <c r="AU604" s="58"/>
      <c r="AV604" s="58"/>
      <c r="AW604" s="58"/>
      <c r="AX604" s="58"/>
      <c r="AY604" s="58"/>
      <c r="AZ604" s="59"/>
      <c r="BA604" s="58"/>
      <c r="BB604" s="58"/>
      <c r="BC604" s="58"/>
      <c r="BD604" s="58"/>
      <c r="BE604" s="58"/>
      <c r="BF604" s="59"/>
      <c r="BG604" s="58"/>
      <c r="BH604" s="58"/>
      <c r="BI604" s="58"/>
      <c r="BJ604" s="58"/>
      <c r="BK604" s="58"/>
      <c r="BL604" s="59"/>
      <c r="BM604" s="58"/>
      <c r="BN604" s="58"/>
      <c r="BO604" s="58"/>
      <c r="BP604" s="58"/>
      <c r="BQ604" s="58"/>
      <c r="BR604" s="58"/>
      <c r="BS604" s="58"/>
      <c r="BT604" s="58"/>
      <c r="BU604" s="58"/>
      <c r="BV604" s="58"/>
      <c r="BW604" s="58"/>
      <c r="BX604" s="58"/>
      <c r="BY604" s="58"/>
      <c r="BZ604" s="58"/>
      <c r="CA604" s="58"/>
      <c r="CB604" s="58"/>
      <c r="CC604" s="58"/>
      <c r="CD604" s="58"/>
      <c r="CE604" s="58"/>
      <c r="CF604" s="58"/>
      <c r="CG604" s="58"/>
      <c r="CH604" s="58"/>
      <c r="CI604" s="58"/>
      <c r="CJ604" s="58"/>
      <c r="CK604" s="58"/>
      <c r="CL604" s="58"/>
      <c r="CM604" s="58"/>
      <c r="CN604" s="58"/>
      <c r="CO604" s="58"/>
      <c r="CP604" s="58"/>
      <c r="CQ604" s="58"/>
      <c r="CR604" s="58"/>
      <c r="CS604" s="58"/>
      <c r="CT604" s="58"/>
      <c r="CU604" s="58"/>
    </row>
    <row r="605" spans="1:99" ht="15" thickBot="1" x14ac:dyDescent="0.4">
      <c r="A605" s="14"/>
      <c r="B605" s="14"/>
      <c r="C605" s="14"/>
      <c r="D605" s="14"/>
      <c r="E605" s="14"/>
      <c r="F605" s="14"/>
      <c r="G605" s="14"/>
      <c r="H605" s="14"/>
      <c r="I605" s="14"/>
      <c r="J605" s="41"/>
      <c r="L605" s="58"/>
      <c r="M605" s="58"/>
      <c r="N605" s="58"/>
      <c r="O605" s="58"/>
      <c r="P605" s="269"/>
      <c r="Q605" s="58"/>
      <c r="R605" s="58"/>
      <c r="S605" s="58"/>
      <c r="T605" s="58"/>
      <c r="U605" s="58"/>
      <c r="V605" s="269"/>
      <c r="W605" s="58"/>
      <c r="X605" s="58"/>
      <c r="Y605" s="58"/>
      <c r="Z605" s="58"/>
      <c r="AA605" s="58"/>
      <c r="AB605" s="269"/>
      <c r="AC605" s="58"/>
      <c r="AD605" s="58"/>
      <c r="AE605" s="58"/>
      <c r="AF605" s="58"/>
      <c r="AG605" s="58"/>
      <c r="AH605" s="269"/>
      <c r="AI605" s="58"/>
      <c r="AJ605" s="58"/>
      <c r="AK605" s="58"/>
      <c r="AL605" s="58"/>
      <c r="AM605" s="58"/>
      <c r="AN605" s="59"/>
      <c r="AO605" s="58"/>
      <c r="AP605" s="58"/>
      <c r="AQ605" s="58"/>
      <c r="AR605" s="58"/>
      <c r="AS605" s="58"/>
      <c r="AT605" s="59"/>
      <c r="AU605" s="58"/>
      <c r="AV605" s="58"/>
      <c r="AW605" s="58"/>
      <c r="AX605" s="58"/>
      <c r="AY605" s="58"/>
      <c r="AZ605" s="59"/>
      <c r="BA605" s="58"/>
      <c r="BB605" s="58"/>
      <c r="BC605" s="58"/>
      <c r="BD605" s="58"/>
      <c r="BE605" s="58"/>
      <c r="BF605" s="59"/>
      <c r="BG605" s="58"/>
      <c r="BH605" s="58"/>
      <c r="BI605" s="58"/>
      <c r="BJ605" s="58"/>
      <c r="BK605" s="58"/>
      <c r="BL605" s="59"/>
      <c r="BM605" s="58"/>
      <c r="BN605" s="58"/>
      <c r="BO605" s="58"/>
      <c r="BP605" s="58"/>
      <c r="BQ605" s="58"/>
      <c r="BR605" s="58"/>
      <c r="BS605" s="58"/>
      <c r="BT605" s="58"/>
      <c r="BU605" s="58"/>
      <c r="BV605" s="58"/>
      <c r="BW605" s="58"/>
      <c r="BX605" s="58"/>
      <c r="BY605" s="58"/>
      <c r="BZ605" s="58"/>
      <c r="CA605" s="58"/>
      <c r="CB605" s="58"/>
      <c r="CC605" s="58"/>
      <c r="CD605" s="58"/>
      <c r="CE605" s="58"/>
      <c r="CF605" s="58"/>
      <c r="CG605" s="58"/>
      <c r="CH605" s="58"/>
      <c r="CI605" s="58"/>
      <c r="CJ605" s="58"/>
      <c r="CK605" s="58"/>
      <c r="CL605" s="58"/>
      <c r="CM605" s="58"/>
      <c r="CN605" s="58"/>
      <c r="CO605" s="58"/>
      <c r="CP605" s="58"/>
      <c r="CQ605" s="58"/>
      <c r="CR605" s="58"/>
      <c r="CS605" s="58"/>
      <c r="CT605" s="58"/>
      <c r="CU605" s="58"/>
    </row>
    <row r="606" spans="1:99" ht="15" thickBot="1" x14ac:dyDescent="0.4">
      <c r="A606" s="14"/>
      <c r="B606" s="14"/>
      <c r="C606" s="14"/>
      <c r="D606" s="14"/>
      <c r="E606" s="14"/>
      <c r="F606" s="14"/>
      <c r="G606" s="14"/>
      <c r="H606" s="14"/>
      <c r="I606" s="14"/>
      <c r="J606" s="41"/>
      <c r="L606" s="58"/>
      <c r="M606" s="58"/>
      <c r="N606" s="58"/>
      <c r="O606" s="58"/>
      <c r="P606" s="269"/>
      <c r="Q606" s="58"/>
      <c r="R606" s="58"/>
      <c r="S606" s="58"/>
      <c r="T606" s="58"/>
      <c r="U606" s="58"/>
      <c r="V606" s="269"/>
      <c r="W606" s="58"/>
      <c r="X606" s="58"/>
      <c r="Y606" s="58"/>
      <c r="Z606" s="58"/>
      <c r="AA606" s="58"/>
      <c r="AB606" s="269"/>
      <c r="AC606" s="58"/>
      <c r="AD606" s="58"/>
      <c r="AE606" s="58"/>
      <c r="AF606" s="58"/>
      <c r="AG606" s="58"/>
      <c r="AH606" s="269"/>
      <c r="AI606" s="58"/>
      <c r="AJ606" s="58"/>
      <c r="AK606" s="58"/>
      <c r="AL606" s="58"/>
      <c r="AM606" s="58"/>
      <c r="AN606" s="59"/>
      <c r="AO606" s="58"/>
      <c r="AP606" s="58"/>
      <c r="AQ606" s="58"/>
      <c r="AR606" s="58"/>
      <c r="AS606" s="58"/>
      <c r="AT606" s="59"/>
      <c r="AU606" s="58"/>
      <c r="AV606" s="58"/>
      <c r="AW606" s="58"/>
      <c r="AX606" s="58"/>
      <c r="AY606" s="58"/>
      <c r="AZ606" s="59"/>
      <c r="BA606" s="58"/>
      <c r="BB606" s="58"/>
      <c r="BC606" s="58"/>
      <c r="BD606" s="58"/>
      <c r="BE606" s="58"/>
      <c r="BF606" s="59"/>
      <c r="BG606" s="58"/>
      <c r="BH606" s="58"/>
      <c r="BI606" s="58"/>
      <c r="BJ606" s="58"/>
      <c r="BK606" s="58"/>
      <c r="BL606" s="59"/>
      <c r="BM606" s="58"/>
      <c r="BN606" s="58"/>
      <c r="BO606" s="58"/>
      <c r="BP606" s="58"/>
      <c r="BQ606" s="58"/>
      <c r="BR606" s="58"/>
      <c r="BS606" s="58"/>
      <c r="BT606" s="58"/>
      <c r="BU606" s="58"/>
      <c r="BV606" s="58"/>
      <c r="BW606" s="58"/>
      <c r="BX606" s="58"/>
      <c r="BY606" s="58"/>
      <c r="BZ606" s="58"/>
      <c r="CA606" s="58"/>
      <c r="CB606" s="58"/>
      <c r="CC606" s="58"/>
      <c r="CD606" s="58"/>
      <c r="CE606" s="58"/>
      <c r="CF606" s="58"/>
      <c r="CG606" s="58"/>
      <c r="CH606" s="58"/>
      <c r="CI606" s="58"/>
      <c r="CJ606" s="58"/>
      <c r="CK606" s="58"/>
      <c r="CL606" s="58"/>
      <c r="CM606" s="58"/>
      <c r="CN606" s="58"/>
      <c r="CO606" s="58"/>
      <c r="CP606" s="58"/>
      <c r="CQ606" s="58"/>
      <c r="CR606" s="58"/>
      <c r="CS606" s="58"/>
      <c r="CT606" s="58"/>
      <c r="CU606" s="58"/>
    </row>
    <row r="607" spans="1:99" ht="15" thickBot="1" x14ac:dyDescent="0.4">
      <c r="A607" s="14"/>
      <c r="B607" s="14"/>
      <c r="C607" s="14"/>
      <c r="D607" s="14"/>
      <c r="E607" s="14"/>
      <c r="F607" s="14"/>
      <c r="G607" s="14"/>
      <c r="H607" s="14"/>
      <c r="I607" s="14"/>
      <c r="J607" s="41"/>
      <c r="L607" s="58"/>
      <c r="M607" s="58"/>
      <c r="N607" s="58"/>
      <c r="O607" s="58"/>
      <c r="P607" s="269"/>
      <c r="Q607" s="58"/>
      <c r="R607" s="58"/>
      <c r="S607" s="58"/>
      <c r="T607" s="58"/>
      <c r="U607" s="58"/>
      <c r="V607" s="269"/>
      <c r="W607" s="58"/>
      <c r="X607" s="58"/>
      <c r="Y607" s="58"/>
      <c r="Z607" s="58"/>
      <c r="AA607" s="58"/>
      <c r="AB607" s="269"/>
      <c r="AC607" s="58"/>
      <c r="AD607" s="58"/>
      <c r="AE607" s="58"/>
      <c r="AF607" s="58"/>
      <c r="AG607" s="58"/>
      <c r="AH607" s="269"/>
      <c r="AI607" s="58"/>
      <c r="AJ607" s="58"/>
      <c r="AK607" s="58"/>
      <c r="AL607" s="58"/>
      <c r="AM607" s="58"/>
      <c r="AN607" s="59"/>
      <c r="AO607" s="58"/>
      <c r="AP607" s="58"/>
      <c r="AQ607" s="58"/>
      <c r="AR607" s="58"/>
      <c r="AS607" s="58"/>
      <c r="AT607" s="59"/>
      <c r="AU607" s="58"/>
      <c r="AV607" s="58"/>
      <c r="AW607" s="58"/>
      <c r="AX607" s="58"/>
      <c r="AY607" s="58"/>
      <c r="AZ607" s="59"/>
      <c r="BA607" s="58"/>
      <c r="BB607" s="58"/>
      <c r="BC607" s="58"/>
      <c r="BD607" s="58"/>
      <c r="BE607" s="58"/>
      <c r="BF607" s="59"/>
      <c r="BG607" s="58"/>
      <c r="BH607" s="58"/>
      <c r="BI607" s="58"/>
      <c r="BJ607" s="58"/>
      <c r="BK607" s="58"/>
      <c r="BL607" s="59"/>
      <c r="BM607" s="58"/>
      <c r="BN607" s="58"/>
      <c r="BO607" s="58"/>
      <c r="BP607" s="58"/>
      <c r="BQ607" s="58"/>
      <c r="BR607" s="58"/>
      <c r="BS607" s="58"/>
      <c r="BT607" s="58"/>
      <c r="BU607" s="58"/>
      <c r="BV607" s="58"/>
      <c r="BW607" s="58"/>
      <c r="BX607" s="58"/>
      <c r="BY607" s="58"/>
      <c r="BZ607" s="58"/>
      <c r="CA607" s="58"/>
      <c r="CB607" s="58"/>
      <c r="CC607" s="58"/>
      <c r="CD607" s="58"/>
      <c r="CE607" s="58"/>
      <c r="CF607" s="58"/>
      <c r="CG607" s="58"/>
      <c r="CH607" s="58"/>
      <c r="CI607" s="58"/>
      <c r="CJ607" s="58"/>
      <c r="CK607" s="58"/>
      <c r="CL607" s="58"/>
      <c r="CM607" s="58"/>
      <c r="CN607" s="58"/>
      <c r="CO607" s="58"/>
      <c r="CP607" s="58"/>
      <c r="CQ607" s="58"/>
      <c r="CR607" s="58"/>
      <c r="CS607" s="58"/>
      <c r="CT607" s="58"/>
      <c r="CU607" s="58"/>
    </row>
    <row r="608" spans="1:99" ht="15" thickBot="1" x14ac:dyDescent="0.4">
      <c r="A608" s="14"/>
      <c r="B608" s="14"/>
      <c r="C608" s="14"/>
      <c r="D608" s="14"/>
      <c r="E608" s="14"/>
      <c r="F608" s="14"/>
      <c r="G608" s="14"/>
      <c r="H608" s="14"/>
      <c r="I608" s="14"/>
      <c r="J608" s="41"/>
      <c r="L608" s="58"/>
      <c r="M608" s="58"/>
      <c r="N608" s="58"/>
      <c r="O608" s="58"/>
      <c r="P608" s="269"/>
      <c r="Q608" s="58"/>
      <c r="R608" s="58"/>
      <c r="S608" s="58"/>
      <c r="T608" s="58"/>
      <c r="U608" s="58"/>
      <c r="V608" s="269"/>
      <c r="W608" s="58"/>
      <c r="X608" s="58"/>
      <c r="Y608" s="58"/>
      <c r="Z608" s="58"/>
      <c r="AA608" s="58"/>
      <c r="AB608" s="269"/>
      <c r="AC608" s="58"/>
      <c r="AD608" s="58"/>
      <c r="AE608" s="58"/>
      <c r="AF608" s="58"/>
      <c r="AG608" s="58"/>
      <c r="AH608" s="269"/>
      <c r="AI608" s="58"/>
      <c r="AJ608" s="58"/>
      <c r="AK608" s="58"/>
      <c r="AL608" s="58"/>
      <c r="AM608" s="58"/>
      <c r="AN608" s="59"/>
      <c r="AO608" s="58"/>
      <c r="AP608" s="58"/>
      <c r="AQ608" s="58"/>
      <c r="AR608" s="58"/>
      <c r="AS608" s="58"/>
      <c r="AT608" s="59"/>
      <c r="AU608" s="58"/>
      <c r="AV608" s="58"/>
      <c r="AW608" s="58"/>
      <c r="AX608" s="58"/>
      <c r="AY608" s="58"/>
      <c r="AZ608" s="59"/>
      <c r="BA608" s="58"/>
      <c r="BB608" s="58"/>
      <c r="BC608" s="58"/>
      <c r="BD608" s="58"/>
      <c r="BE608" s="58"/>
      <c r="BF608" s="59"/>
      <c r="BG608" s="58"/>
      <c r="BH608" s="58"/>
      <c r="BI608" s="58"/>
      <c r="BJ608" s="58"/>
      <c r="BK608" s="58"/>
      <c r="BL608" s="59"/>
      <c r="BM608" s="58"/>
      <c r="BN608" s="58"/>
      <c r="BO608" s="58"/>
      <c r="BP608" s="58"/>
      <c r="BQ608" s="58"/>
      <c r="BR608" s="58"/>
      <c r="BS608" s="58"/>
      <c r="BT608" s="58"/>
      <c r="BU608" s="58"/>
      <c r="BV608" s="58"/>
      <c r="BW608" s="58"/>
      <c r="BX608" s="58"/>
      <c r="BY608" s="58"/>
      <c r="BZ608" s="58"/>
      <c r="CA608" s="58"/>
      <c r="CB608" s="58"/>
      <c r="CC608" s="58"/>
      <c r="CD608" s="58"/>
      <c r="CE608" s="58"/>
      <c r="CF608" s="58"/>
      <c r="CG608" s="58"/>
      <c r="CH608" s="58"/>
      <c r="CI608" s="58"/>
      <c r="CJ608" s="58"/>
      <c r="CK608" s="58"/>
      <c r="CL608" s="58"/>
      <c r="CM608" s="58"/>
      <c r="CN608" s="58"/>
      <c r="CO608" s="58"/>
      <c r="CP608" s="58"/>
      <c r="CQ608" s="58"/>
      <c r="CR608" s="58"/>
      <c r="CS608" s="58"/>
      <c r="CT608" s="58"/>
      <c r="CU608" s="58"/>
    </row>
    <row r="609" spans="1:99" ht="15" thickBot="1" x14ac:dyDescent="0.4">
      <c r="A609" s="14"/>
      <c r="B609" s="14"/>
      <c r="C609" s="14"/>
      <c r="D609" s="14"/>
      <c r="E609" s="14"/>
      <c r="F609" s="14"/>
      <c r="G609" s="14"/>
      <c r="H609" s="14"/>
      <c r="I609" s="14"/>
      <c r="J609" s="41"/>
      <c r="L609" s="58"/>
      <c r="M609" s="58"/>
      <c r="N609" s="58"/>
      <c r="O609" s="58"/>
      <c r="P609" s="269"/>
      <c r="Q609" s="58"/>
      <c r="R609" s="58"/>
      <c r="S609" s="58"/>
      <c r="T609" s="58"/>
      <c r="U609" s="58"/>
      <c r="V609" s="269"/>
      <c r="W609" s="58"/>
      <c r="X609" s="58"/>
      <c r="Y609" s="58"/>
      <c r="Z609" s="58"/>
      <c r="AA609" s="58"/>
      <c r="AB609" s="269"/>
      <c r="AC609" s="58"/>
      <c r="AD609" s="58"/>
      <c r="AE609" s="58"/>
      <c r="AF609" s="58"/>
      <c r="AG609" s="58"/>
      <c r="AH609" s="269"/>
      <c r="AI609" s="58"/>
      <c r="AJ609" s="58"/>
      <c r="AK609" s="58"/>
      <c r="AL609" s="58"/>
      <c r="AM609" s="58"/>
      <c r="AN609" s="59"/>
      <c r="AO609" s="58"/>
      <c r="AP609" s="58"/>
      <c r="AQ609" s="58"/>
      <c r="AR609" s="58"/>
      <c r="AS609" s="58"/>
      <c r="AT609" s="59"/>
      <c r="AU609" s="58"/>
      <c r="AV609" s="58"/>
      <c r="AW609" s="58"/>
      <c r="AX609" s="58"/>
      <c r="AY609" s="58"/>
      <c r="AZ609" s="59"/>
      <c r="BA609" s="58"/>
      <c r="BB609" s="58"/>
      <c r="BC609" s="58"/>
      <c r="BD609" s="58"/>
      <c r="BE609" s="58"/>
      <c r="BF609" s="59"/>
      <c r="BG609" s="58"/>
      <c r="BH609" s="58"/>
      <c r="BI609" s="58"/>
      <c r="BJ609" s="58"/>
      <c r="BK609" s="58"/>
      <c r="BL609" s="59"/>
      <c r="BM609" s="58"/>
      <c r="BN609" s="58"/>
      <c r="BO609" s="58"/>
      <c r="BP609" s="58"/>
      <c r="BQ609" s="58"/>
      <c r="BR609" s="58"/>
      <c r="BS609" s="58"/>
      <c r="BT609" s="58"/>
      <c r="BU609" s="58"/>
      <c r="BV609" s="58"/>
      <c r="BW609" s="58"/>
      <c r="BX609" s="58"/>
      <c r="BY609" s="58"/>
      <c r="BZ609" s="58"/>
      <c r="CA609" s="58"/>
      <c r="CB609" s="58"/>
      <c r="CC609" s="58"/>
      <c r="CD609" s="58"/>
      <c r="CE609" s="58"/>
      <c r="CF609" s="58"/>
      <c r="CG609" s="58"/>
      <c r="CH609" s="58"/>
      <c r="CI609" s="58"/>
      <c r="CJ609" s="58"/>
      <c r="CK609" s="58"/>
      <c r="CL609" s="58"/>
      <c r="CM609" s="58"/>
      <c r="CN609" s="58"/>
      <c r="CO609" s="58"/>
      <c r="CP609" s="58"/>
      <c r="CQ609" s="58"/>
      <c r="CR609" s="58"/>
      <c r="CS609" s="58"/>
      <c r="CT609" s="58"/>
      <c r="CU609" s="58"/>
    </row>
    <row r="610" spans="1:99" ht="15" thickBot="1" x14ac:dyDescent="0.4">
      <c r="A610" s="14"/>
      <c r="B610" s="14"/>
      <c r="C610" s="14"/>
      <c r="D610" s="14"/>
      <c r="E610" s="14"/>
      <c r="F610" s="14"/>
      <c r="G610" s="14"/>
      <c r="H610" s="14"/>
      <c r="I610" s="14"/>
      <c r="J610" s="41"/>
      <c r="L610" s="58"/>
      <c r="M610" s="58"/>
      <c r="N610" s="58"/>
      <c r="O610" s="58"/>
      <c r="P610" s="269"/>
      <c r="Q610" s="58"/>
      <c r="R610" s="58"/>
      <c r="S610" s="58"/>
      <c r="T610" s="58"/>
      <c r="U610" s="58"/>
      <c r="V610" s="269"/>
      <c r="W610" s="58"/>
      <c r="X610" s="58"/>
      <c r="Y610" s="58"/>
      <c r="Z610" s="58"/>
      <c r="AA610" s="58"/>
      <c r="AB610" s="269"/>
      <c r="AC610" s="58"/>
      <c r="AD610" s="58"/>
      <c r="AE610" s="58"/>
      <c r="AF610" s="58"/>
      <c r="AG610" s="58"/>
      <c r="AH610" s="269"/>
      <c r="AI610" s="58"/>
      <c r="AJ610" s="58"/>
      <c r="AK610" s="58"/>
      <c r="AL610" s="58"/>
      <c r="AM610" s="58"/>
      <c r="AN610" s="59"/>
      <c r="AO610" s="58"/>
      <c r="AP610" s="58"/>
      <c r="AQ610" s="58"/>
      <c r="AR610" s="58"/>
      <c r="AS610" s="58"/>
      <c r="AT610" s="59"/>
      <c r="AU610" s="58"/>
      <c r="AV610" s="58"/>
      <c r="AW610" s="58"/>
      <c r="AX610" s="58"/>
      <c r="AY610" s="58"/>
      <c r="AZ610" s="59"/>
      <c r="BA610" s="58"/>
      <c r="BB610" s="58"/>
      <c r="BC610" s="58"/>
      <c r="BD610" s="58"/>
      <c r="BE610" s="58"/>
      <c r="BF610" s="59"/>
      <c r="BG610" s="58"/>
      <c r="BH610" s="58"/>
      <c r="BI610" s="58"/>
      <c r="BJ610" s="58"/>
      <c r="BK610" s="58"/>
      <c r="BL610" s="59"/>
      <c r="BM610" s="58"/>
      <c r="BN610" s="58"/>
      <c r="BO610" s="58"/>
      <c r="BP610" s="58"/>
      <c r="BQ610" s="58"/>
      <c r="BR610" s="58"/>
      <c r="BS610" s="58"/>
      <c r="BT610" s="58"/>
      <c r="BU610" s="58"/>
      <c r="BV610" s="58"/>
      <c r="BW610" s="58"/>
      <c r="BX610" s="58"/>
      <c r="BY610" s="58"/>
      <c r="BZ610" s="58"/>
      <c r="CA610" s="58"/>
      <c r="CB610" s="58"/>
      <c r="CC610" s="58"/>
      <c r="CD610" s="58"/>
      <c r="CE610" s="58"/>
      <c r="CF610" s="58"/>
      <c r="CG610" s="58"/>
      <c r="CH610" s="58"/>
      <c r="CI610" s="58"/>
      <c r="CJ610" s="58"/>
      <c r="CK610" s="58"/>
      <c r="CL610" s="58"/>
      <c r="CM610" s="58"/>
      <c r="CN610" s="58"/>
      <c r="CO610" s="58"/>
      <c r="CP610" s="58"/>
      <c r="CQ610" s="58"/>
      <c r="CR610" s="58"/>
      <c r="CS610" s="58"/>
      <c r="CT610" s="58"/>
      <c r="CU610" s="58"/>
    </row>
    <row r="611" spans="1:99" ht="15" thickBot="1" x14ac:dyDescent="0.4">
      <c r="A611" s="14"/>
      <c r="B611" s="14"/>
      <c r="C611" s="14"/>
      <c r="D611" s="14"/>
      <c r="E611" s="14"/>
      <c r="F611" s="14"/>
      <c r="G611" s="14"/>
      <c r="H611" s="14"/>
      <c r="I611" s="14"/>
      <c r="J611" s="41"/>
      <c r="L611" s="58"/>
      <c r="M611" s="58"/>
      <c r="N611" s="58"/>
      <c r="O611" s="58"/>
      <c r="P611" s="269"/>
      <c r="Q611" s="58"/>
      <c r="R611" s="58"/>
      <c r="S611" s="58"/>
      <c r="T611" s="58"/>
      <c r="U611" s="58"/>
      <c r="V611" s="269"/>
      <c r="W611" s="58"/>
      <c r="X611" s="58"/>
      <c r="Y611" s="58"/>
      <c r="Z611" s="58"/>
      <c r="AA611" s="58"/>
      <c r="AB611" s="269"/>
      <c r="AC611" s="58"/>
      <c r="AD611" s="58"/>
      <c r="AE611" s="58"/>
      <c r="AF611" s="58"/>
      <c r="AG611" s="58"/>
      <c r="AH611" s="269"/>
      <c r="AI611" s="58"/>
      <c r="AJ611" s="58"/>
      <c r="AK611" s="58"/>
      <c r="AL611" s="58"/>
      <c r="AM611" s="58"/>
      <c r="AN611" s="59"/>
      <c r="AO611" s="58"/>
      <c r="AP611" s="58"/>
      <c r="AQ611" s="58"/>
      <c r="AR611" s="58"/>
      <c r="AS611" s="58"/>
      <c r="AT611" s="59"/>
      <c r="AU611" s="58"/>
      <c r="AV611" s="58"/>
      <c r="AW611" s="58"/>
      <c r="AX611" s="58"/>
      <c r="AY611" s="58"/>
      <c r="AZ611" s="59"/>
      <c r="BA611" s="58"/>
      <c r="BB611" s="58"/>
      <c r="BC611" s="58"/>
      <c r="BD611" s="58"/>
      <c r="BE611" s="58"/>
      <c r="BF611" s="59"/>
      <c r="BG611" s="58"/>
      <c r="BH611" s="58"/>
      <c r="BI611" s="58"/>
      <c r="BJ611" s="58"/>
      <c r="BK611" s="58"/>
      <c r="BL611" s="59"/>
      <c r="BM611" s="58"/>
      <c r="BN611" s="58"/>
      <c r="BO611" s="58"/>
      <c r="BP611" s="58"/>
      <c r="BQ611" s="58"/>
      <c r="BR611" s="58"/>
      <c r="BS611" s="58"/>
      <c r="BT611" s="58"/>
      <c r="BU611" s="58"/>
      <c r="BV611" s="58"/>
      <c r="BW611" s="58"/>
      <c r="BX611" s="58"/>
      <c r="BY611" s="58"/>
      <c r="BZ611" s="58"/>
      <c r="CA611" s="58"/>
      <c r="CB611" s="58"/>
      <c r="CC611" s="58"/>
      <c r="CD611" s="58"/>
      <c r="CE611" s="58"/>
      <c r="CF611" s="58"/>
      <c r="CG611" s="58"/>
      <c r="CH611" s="58"/>
      <c r="CI611" s="58"/>
      <c r="CJ611" s="58"/>
      <c r="CK611" s="58"/>
      <c r="CL611" s="58"/>
      <c r="CM611" s="58"/>
      <c r="CN611" s="58"/>
      <c r="CO611" s="58"/>
      <c r="CP611" s="58"/>
      <c r="CQ611" s="58"/>
      <c r="CR611" s="58"/>
      <c r="CS611" s="58"/>
      <c r="CT611" s="58"/>
      <c r="CU611" s="58"/>
    </row>
    <row r="612" spans="1:99" ht="15" thickBot="1" x14ac:dyDescent="0.4">
      <c r="A612" s="14"/>
      <c r="B612" s="14"/>
      <c r="C612" s="14"/>
      <c r="D612" s="14"/>
      <c r="E612" s="14"/>
      <c r="F612" s="14"/>
      <c r="G612" s="14"/>
      <c r="H612" s="14"/>
      <c r="I612" s="14"/>
      <c r="J612" s="41"/>
      <c r="L612" s="58"/>
      <c r="M612" s="58"/>
      <c r="N612" s="58"/>
      <c r="O612" s="58"/>
      <c r="P612" s="269"/>
      <c r="Q612" s="58"/>
      <c r="R612" s="58"/>
      <c r="S612" s="58"/>
      <c r="T612" s="58"/>
      <c r="U612" s="58"/>
      <c r="V612" s="269"/>
      <c r="W612" s="58"/>
      <c r="X612" s="58"/>
      <c r="Y612" s="58"/>
      <c r="Z612" s="58"/>
      <c r="AA612" s="58"/>
      <c r="AB612" s="269"/>
      <c r="AC612" s="58"/>
      <c r="AD612" s="58"/>
      <c r="AE612" s="58"/>
      <c r="AF612" s="58"/>
      <c r="AG612" s="58"/>
      <c r="AH612" s="269"/>
      <c r="AI612" s="58"/>
      <c r="AJ612" s="58"/>
      <c r="AK612" s="58"/>
      <c r="AL612" s="58"/>
      <c r="AM612" s="58"/>
      <c r="AN612" s="59"/>
      <c r="AO612" s="58"/>
      <c r="AP612" s="58"/>
      <c r="AQ612" s="58"/>
      <c r="AR612" s="58"/>
      <c r="AS612" s="58"/>
      <c r="AT612" s="59"/>
      <c r="AU612" s="58"/>
      <c r="AV612" s="58"/>
      <c r="AW612" s="58"/>
      <c r="AX612" s="58"/>
      <c r="AY612" s="58"/>
      <c r="AZ612" s="59"/>
      <c r="BA612" s="58"/>
      <c r="BB612" s="58"/>
      <c r="BC612" s="58"/>
      <c r="BD612" s="58"/>
      <c r="BE612" s="58"/>
      <c r="BF612" s="59"/>
      <c r="BG612" s="58"/>
      <c r="BH612" s="58"/>
      <c r="BI612" s="58"/>
      <c r="BJ612" s="58"/>
      <c r="BK612" s="58"/>
      <c r="BL612" s="59"/>
      <c r="BM612" s="58"/>
      <c r="BN612" s="58"/>
      <c r="BO612" s="58"/>
      <c r="BP612" s="58"/>
      <c r="BQ612" s="58"/>
      <c r="BR612" s="58"/>
      <c r="BS612" s="58"/>
      <c r="BT612" s="58"/>
      <c r="BU612" s="58"/>
      <c r="BV612" s="58"/>
      <c r="BW612" s="58"/>
      <c r="BX612" s="58"/>
      <c r="BY612" s="58"/>
      <c r="BZ612" s="58"/>
      <c r="CA612" s="58"/>
      <c r="CB612" s="58"/>
      <c r="CC612" s="58"/>
      <c r="CD612" s="58"/>
      <c r="CE612" s="58"/>
      <c r="CF612" s="58"/>
      <c r="CG612" s="58"/>
      <c r="CH612" s="58"/>
      <c r="CI612" s="58"/>
      <c r="CJ612" s="58"/>
      <c r="CK612" s="58"/>
      <c r="CL612" s="58"/>
      <c r="CM612" s="58"/>
      <c r="CN612" s="58"/>
      <c r="CO612" s="58"/>
      <c r="CP612" s="58"/>
      <c r="CQ612" s="58"/>
      <c r="CR612" s="58"/>
      <c r="CS612" s="58"/>
      <c r="CT612" s="58"/>
      <c r="CU612" s="58"/>
    </row>
    <row r="613" spans="1:99" ht="15" thickBot="1" x14ac:dyDescent="0.4">
      <c r="A613" s="14"/>
      <c r="B613" s="14"/>
      <c r="C613" s="14"/>
      <c r="D613" s="14"/>
      <c r="E613" s="14"/>
      <c r="F613" s="14"/>
      <c r="G613" s="14"/>
      <c r="H613" s="14"/>
      <c r="I613" s="14"/>
      <c r="J613" s="41"/>
      <c r="L613" s="58"/>
      <c r="M613" s="58"/>
      <c r="N613" s="58"/>
      <c r="O613" s="58"/>
      <c r="P613" s="269"/>
      <c r="Q613" s="58"/>
      <c r="R613" s="58"/>
      <c r="S613" s="58"/>
      <c r="T613" s="58"/>
      <c r="U613" s="58"/>
      <c r="V613" s="269"/>
      <c r="W613" s="58"/>
      <c r="X613" s="58"/>
      <c r="Y613" s="58"/>
      <c r="Z613" s="58"/>
      <c r="AA613" s="58"/>
      <c r="AB613" s="269"/>
      <c r="AC613" s="58"/>
      <c r="AD613" s="58"/>
      <c r="AE613" s="58"/>
      <c r="AF613" s="58"/>
      <c r="AG613" s="58"/>
      <c r="AH613" s="269"/>
      <c r="AI613" s="58"/>
      <c r="AJ613" s="58"/>
      <c r="AK613" s="58"/>
      <c r="AL613" s="58"/>
      <c r="AM613" s="58"/>
      <c r="AN613" s="59"/>
      <c r="AO613" s="58"/>
      <c r="AP613" s="58"/>
      <c r="AQ613" s="58"/>
      <c r="AR613" s="58"/>
      <c r="AS613" s="58"/>
      <c r="AT613" s="59"/>
      <c r="AU613" s="58"/>
      <c r="AV613" s="58"/>
      <c r="AW613" s="58"/>
      <c r="AX613" s="58"/>
      <c r="AY613" s="58"/>
      <c r="AZ613" s="59"/>
      <c r="BA613" s="58"/>
      <c r="BB613" s="58"/>
      <c r="BC613" s="58"/>
      <c r="BD613" s="58"/>
      <c r="BE613" s="58"/>
      <c r="BF613" s="59"/>
      <c r="BG613" s="58"/>
      <c r="BH613" s="58"/>
      <c r="BI613" s="58"/>
      <c r="BJ613" s="58"/>
      <c r="BK613" s="58"/>
      <c r="BL613" s="59"/>
      <c r="BM613" s="58"/>
      <c r="BN613" s="58"/>
      <c r="BO613" s="58"/>
      <c r="BP613" s="58"/>
      <c r="BQ613" s="58"/>
      <c r="BR613" s="58"/>
      <c r="BS613" s="58"/>
      <c r="BT613" s="58"/>
      <c r="BU613" s="58"/>
      <c r="BV613" s="58"/>
      <c r="BW613" s="58"/>
      <c r="BX613" s="58"/>
      <c r="BY613" s="58"/>
      <c r="BZ613" s="58"/>
      <c r="CA613" s="58"/>
      <c r="CB613" s="58"/>
      <c r="CC613" s="58"/>
      <c r="CD613" s="58"/>
      <c r="CE613" s="58"/>
      <c r="CF613" s="58"/>
      <c r="CG613" s="58"/>
      <c r="CH613" s="58"/>
      <c r="CI613" s="58"/>
      <c r="CJ613" s="58"/>
      <c r="CK613" s="58"/>
      <c r="CL613" s="58"/>
      <c r="CM613" s="58"/>
      <c r="CN613" s="58"/>
      <c r="CO613" s="58"/>
      <c r="CP613" s="58"/>
      <c r="CQ613" s="58"/>
      <c r="CR613" s="58"/>
      <c r="CS613" s="58"/>
      <c r="CT613" s="58"/>
      <c r="CU613" s="58"/>
    </row>
    <row r="614" spans="1:99" ht="15" thickBot="1" x14ac:dyDescent="0.4">
      <c r="A614" s="14"/>
      <c r="B614" s="14"/>
      <c r="C614" s="14"/>
      <c r="D614" s="14"/>
      <c r="E614" s="14"/>
      <c r="F614" s="14"/>
      <c r="G614" s="14"/>
      <c r="H614" s="14"/>
      <c r="I614" s="14"/>
      <c r="J614" s="41"/>
      <c r="L614" s="58"/>
      <c r="M614" s="58"/>
      <c r="N614" s="58"/>
      <c r="O614" s="58"/>
      <c r="P614" s="269"/>
      <c r="Q614" s="58"/>
      <c r="R614" s="58"/>
      <c r="S614" s="58"/>
      <c r="T614" s="58"/>
      <c r="U614" s="58"/>
      <c r="V614" s="269"/>
      <c r="W614" s="58"/>
      <c r="X614" s="58"/>
      <c r="Y614" s="58"/>
      <c r="Z614" s="58"/>
      <c r="AA614" s="58"/>
      <c r="AB614" s="269"/>
      <c r="AC614" s="58"/>
      <c r="AD614" s="58"/>
      <c r="AE614" s="58"/>
      <c r="AF614" s="58"/>
      <c r="AG614" s="58"/>
      <c r="AH614" s="269"/>
      <c r="AI614" s="58"/>
      <c r="AJ614" s="58"/>
      <c r="AK614" s="58"/>
      <c r="AL614" s="58"/>
      <c r="AM614" s="58"/>
      <c r="AN614" s="59"/>
      <c r="AO614" s="58"/>
      <c r="AP614" s="58"/>
      <c r="AQ614" s="58"/>
      <c r="AR614" s="58"/>
      <c r="AS614" s="58"/>
      <c r="AT614" s="59"/>
      <c r="AU614" s="58"/>
      <c r="AV614" s="58"/>
      <c r="AW614" s="58"/>
      <c r="AX614" s="58"/>
      <c r="AY614" s="58"/>
      <c r="AZ614" s="59"/>
      <c r="BA614" s="58"/>
      <c r="BB614" s="58"/>
      <c r="BC614" s="58"/>
      <c r="BD614" s="58"/>
      <c r="BE614" s="58"/>
      <c r="BF614" s="59"/>
      <c r="BG614" s="58"/>
      <c r="BH614" s="58"/>
      <c r="BI614" s="58"/>
      <c r="BJ614" s="58"/>
      <c r="BK614" s="58"/>
      <c r="BL614" s="59"/>
      <c r="BM614" s="58"/>
      <c r="BN614" s="58"/>
      <c r="BO614" s="58"/>
      <c r="BP614" s="58"/>
      <c r="BQ614" s="58"/>
      <c r="BR614" s="58"/>
      <c r="BS614" s="58"/>
      <c r="BT614" s="58"/>
      <c r="BU614" s="58"/>
      <c r="BV614" s="58"/>
      <c r="BW614" s="58"/>
      <c r="BX614" s="58"/>
      <c r="BY614" s="58"/>
      <c r="BZ614" s="58"/>
      <c r="CA614" s="58"/>
      <c r="CB614" s="58"/>
      <c r="CC614" s="58"/>
      <c r="CD614" s="58"/>
      <c r="CE614" s="58"/>
      <c r="CF614" s="58"/>
      <c r="CG614" s="58"/>
      <c r="CH614" s="58"/>
      <c r="CI614" s="58"/>
      <c r="CJ614" s="58"/>
      <c r="CK614" s="58"/>
      <c r="CL614" s="58"/>
      <c r="CM614" s="58"/>
      <c r="CN614" s="58"/>
      <c r="CO614" s="58"/>
      <c r="CP614" s="58"/>
      <c r="CQ614" s="58"/>
      <c r="CR614" s="58"/>
      <c r="CS614" s="58"/>
      <c r="CT614" s="58"/>
      <c r="CU614" s="58"/>
    </row>
    <row r="615" spans="1:99" ht="15" thickBot="1" x14ac:dyDescent="0.4">
      <c r="A615" s="14"/>
      <c r="B615" s="14"/>
      <c r="C615" s="14"/>
      <c r="D615" s="14"/>
      <c r="E615" s="14"/>
      <c r="F615" s="14"/>
      <c r="G615" s="14"/>
      <c r="H615" s="14"/>
      <c r="I615" s="14"/>
      <c r="J615" s="41"/>
      <c r="L615" s="58"/>
      <c r="M615" s="58"/>
      <c r="N615" s="58"/>
      <c r="O615" s="58"/>
      <c r="P615" s="269"/>
      <c r="Q615" s="58"/>
      <c r="R615" s="58"/>
      <c r="S615" s="58"/>
      <c r="T615" s="58"/>
      <c r="U615" s="58"/>
      <c r="V615" s="269"/>
      <c r="W615" s="58"/>
      <c r="X615" s="58"/>
      <c r="Y615" s="58"/>
      <c r="Z615" s="58"/>
      <c r="AA615" s="58"/>
      <c r="AB615" s="269"/>
      <c r="AC615" s="58"/>
      <c r="AD615" s="58"/>
      <c r="AE615" s="58"/>
      <c r="AF615" s="58"/>
      <c r="AG615" s="58"/>
      <c r="AH615" s="269"/>
      <c r="AI615" s="58"/>
      <c r="AJ615" s="58"/>
      <c r="AK615" s="58"/>
      <c r="AL615" s="58"/>
      <c r="AM615" s="58"/>
      <c r="AN615" s="59"/>
      <c r="AO615" s="58"/>
      <c r="AP615" s="58"/>
      <c r="AQ615" s="58"/>
      <c r="AR615" s="58"/>
      <c r="AS615" s="58"/>
      <c r="AT615" s="59"/>
      <c r="AU615" s="58"/>
      <c r="AV615" s="58"/>
      <c r="AW615" s="58"/>
      <c r="AX615" s="58"/>
      <c r="AY615" s="58"/>
      <c r="AZ615" s="59"/>
      <c r="BA615" s="58"/>
      <c r="BB615" s="58"/>
      <c r="BC615" s="58"/>
      <c r="BD615" s="58"/>
      <c r="BE615" s="58"/>
      <c r="BF615" s="59"/>
      <c r="BG615" s="58"/>
      <c r="BH615" s="58"/>
      <c r="BI615" s="58"/>
      <c r="BJ615" s="58"/>
      <c r="BK615" s="58"/>
      <c r="BL615" s="59"/>
      <c r="BM615" s="58"/>
      <c r="BN615" s="58"/>
      <c r="BO615" s="58"/>
      <c r="BP615" s="58"/>
      <c r="BQ615" s="58"/>
      <c r="BR615" s="58"/>
      <c r="BS615" s="58"/>
      <c r="BT615" s="58"/>
      <c r="BU615" s="58"/>
      <c r="BV615" s="58"/>
      <c r="BW615" s="58"/>
      <c r="BX615" s="58"/>
      <c r="BY615" s="58"/>
      <c r="BZ615" s="58"/>
      <c r="CA615" s="58"/>
      <c r="CB615" s="58"/>
      <c r="CC615" s="58"/>
      <c r="CD615" s="58"/>
      <c r="CE615" s="58"/>
      <c r="CF615" s="58"/>
      <c r="CG615" s="58"/>
      <c r="CH615" s="58"/>
      <c r="CI615" s="58"/>
      <c r="CJ615" s="58"/>
      <c r="CK615" s="58"/>
      <c r="CL615" s="58"/>
      <c r="CM615" s="58"/>
      <c r="CN615" s="58"/>
      <c r="CO615" s="58"/>
      <c r="CP615" s="58"/>
      <c r="CQ615" s="58"/>
      <c r="CR615" s="58"/>
      <c r="CS615" s="58"/>
      <c r="CT615" s="58"/>
      <c r="CU615" s="58"/>
    </row>
    <row r="616" spans="1:99" ht="15" thickBot="1" x14ac:dyDescent="0.4">
      <c r="A616" s="14"/>
      <c r="B616" s="14"/>
      <c r="C616" s="14"/>
      <c r="D616" s="14"/>
      <c r="E616" s="14"/>
      <c r="F616" s="14"/>
      <c r="G616" s="14"/>
      <c r="H616" s="14"/>
      <c r="I616" s="14"/>
      <c r="J616" s="41"/>
      <c r="L616" s="58"/>
      <c r="M616" s="58"/>
      <c r="N616" s="58"/>
      <c r="O616" s="58"/>
      <c r="P616" s="269"/>
      <c r="Q616" s="58"/>
      <c r="R616" s="58"/>
      <c r="S616" s="58"/>
      <c r="T616" s="58"/>
      <c r="U616" s="58"/>
      <c r="V616" s="269"/>
      <c r="W616" s="58"/>
      <c r="X616" s="58"/>
      <c r="Y616" s="58"/>
      <c r="Z616" s="58"/>
      <c r="AA616" s="58"/>
      <c r="AB616" s="269"/>
      <c r="AC616" s="58"/>
      <c r="AD616" s="58"/>
      <c r="AE616" s="58"/>
      <c r="AF616" s="58"/>
      <c r="AG616" s="58"/>
      <c r="AH616" s="269"/>
      <c r="AI616" s="58"/>
      <c r="AJ616" s="58"/>
      <c r="AK616" s="58"/>
      <c r="AL616" s="58"/>
      <c r="AM616" s="58"/>
      <c r="AN616" s="59"/>
      <c r="AO616" s="58"/>
      <c r="AP616" s="58"/>
      <c r="AQ616" s="58"/>
      <c r="AR616" s="58"/>
      <c r="AS616" s="58"/>
      <c r="AT616" s="59"/>
      <c r="AU616" s="58"/>
      <c r="AV616" s="58"/>
      <c r="AW616" s="58"/>
      <c r="AX616" s="58"/>
      <c r="AY616" s="58"/>
      <c r="AZ616" s="59"/>
      <c r="BA616" s="58"/>
      <c r="BB616" s="58"/>
      <c r="BC616" s="58"/>
      <c r="BD616" s="58"/>
      <c r="BE616" s="58"/>
      <c r="BF616" s="59"/>
      <c r="BG616" s="58"/>
      <c r="BH616" s="58"/>
      <c r="BI616" s="58"/>
      <c r="BJ616" s="58"/>
      <c r="BK616" s="58"/>
      <c r="BL616" s="59"/>
      <c r="BM616" s="58"/>
      <c r="BN616" s="58"/>
      <c r="BO616" s="58"/>
      <c r="BP616" s="58"/>
      <c r="BQ616" s="58"/>
      <c r="BR616" s="58"/>
      <c r="BS616" s="58"/>
      <c r="BT616" s="58"/>
      <c r="BU616" s="58"/>
      <c r="BV616" s="58"/>
      <c r="BW616" s="58"/>
      <c r="BX616" s="58"/>
      <c r="BY616" s="58"/>
      <c r="BZ616" s="58"/>
      <c r="CA616" s="58"/>
      <c r="CB616" s="58"/>
      <c r="CC616" s="58"/>
      <c r="CD616" s="58"/>
      <c r="CE616" s="58"/>
      <c r="CF616" s="58"/>
      <c r="CG616" s="58"/>
      <c r="CH616" s="58"/>
      <c r="CI616" s="58"/>
      <c r="CJ616" s="58"/>
      <c r="CK616" s="58"/>
      <c r="CL616" s="58"/>
      <c r="CM616" s="58"/>
      <c r="CN616" s="58"/>
      <c r="CO616" s="58"/>
      <c r="CP616" s="58"/>
      <c r="CQ616" s="58"/>
      <c r="CR616" s="58"/>
      <c r="CS616" s="58"/>
      <c r="CT616" s="58"/>
      <c r="CU616" s="58"/>
    </row>
    <row r="617" spans="1:99" ht="15" thickBot="1" x14ac:dyDescent="0.4">
      <c r="A617" s="14"/>
      <c r="B617" s="14"/>
      <c r="C617" s="14"/>
      <c r="D617" s="14"/>
      <c r="E617" s="14"/>
      <c r="F617" s="14"/>
      <c r="G617" s="14"/>
      <c r="H617" s="14"/>
      <c r="I617" s="14"/>
      <c r="J617" s="41"/>
      <c r="L617" s="58"/>
      <c r="M617" s="58"/>
      <c r="N617" s="58"/>
      <c r="O617" s="58"/>
      <c r="P617" s="269"/>
      <c r="Q617" s="58"/>
      <c r="R617" s="58"/>
      <c r="S617" s="58"/>
      <c r="T617" s="58"/>
      <c r="U617" s="58"/>
      <c r="V617" s="269"/>
      <c r="W617" s="58"/>
      <c r="X617" s="58"/>
      <c r="Y617" s="58"/>
      <c r="Z617" s="58"/>
      <c r="AA617" s="58"/>
      <c r="AB617" s="269"/>
      <c r="AC617" s="58"/>
      <c r="AD617" s="58"/>
      <c r="AE617" s="58"/>
      <c r="AF617" s="58"/>
      <c r="AG617" s="58"/>
      <c r="AH617" s="269"/>
      <c r="AI617" s="58"/>
      <c r="AJ617" s="58"/>
      <c r="AK617" s="58"/>
      <c r="AL617" s="58"/>
      <c r="AM617" s="58"/>
      <c r="AN617" s="59"/>
      <c r="AO617" s="58"/>
      <c r="AP617" s="58"/>
      <c r="AQ617" s="58"/>
      <c r="AR617" s="58"/>
      <c r="AS617" s="58"/>
      <c r="AT617" s="59"/>
      <c r="AU617" s="58"/>
      <c r="AV617" s="58"/>
      <c r="AW617" s="58"/>
      <c r="AX617" s="58"/>
      <c r="AY617" s="58"/>
      <c r="AZ617" s="59"/>
      <c r="BA617" s="58"/>
      <c r="BB617" s="58"/>
      <c r="BC617" s="58"/>
      <c r="BD617" s="58"/>
      <c r="BE617" s="58"/>
      <c r="BF617" s="59"/>
      <c r="BG617" s="58"/>
      <c r="BH617" s="58"/>
      <c r="BI617" s="58"/>
      <c r="BJ617" s="58"/>
      <c r="BK617" s="58"/>
      <c r="BL617" s="59"/>
      <c r="BM617" s="58"/>
      <c r="BN617" s="58"/>
      <c r="BO617" s="58"/>
      <c r="BP617" s="58"/>
      <c r="BQ617" s="58"/>
      <c r="BR617" s="58"/>
      <c r="BS617" s="58"/>
      <c r="BT617" s="58"/>
      <c r="BU617" s="58"/>
      <c r="BV617" s="58"/>
      <c r="BW617" s="58"/>
      <c r="BX617" s="58"/>
      <c r="BY617" s="58"/>
      <c r="BZ617" s="58"/>
      <c r="CA617" s="58"/>
      <c r="CB617" s="58"/>
      <c r="CC617" s="58"/>
      <c r="CD617" s="58"/>
      <c r="CE617" s="58"/>
      <c r="CF617" s="58"/>
      <c r="CG617" s="58"/>
      <c r="CH617" s="58"/>
      <c r="CI617" s="58"/>
      <c r="CJ617" s="58"/>
      <c r="CK617" s="58"/>
      <c r="CL617" s="58"/>
      <c r="CM617" s="58"/>
      <c r="CN617" s="58"/>
      <c r="CO617" s="58"/>
      <c r="CP617" s="58"/>
      <c r="CQ617" s="58"/>
      <c r="CR617" s="58"/>
      <c r="CS617" s="58"/>
      <c r="CT617" s="58"/>
      <c r="CU617" s="58"/>
    </row>
    <row r="618" spans="1:99" ht="15" thickBot="1" x14ac:dyDescent="0.4">
      <c r="A618" s="14"/>
      <c r="B618" s="14"/>
      <c r="C618" s="14"/>
      <c r="D618" s="14"/>
      <c r="E618" s="14"/>
      <c r="F618" s="14"/>
      <c r="G618" s="14"/>
      <c r="H618" s="14"/>
      <c r="I618" s="14"/>
      <c r="J618" s="41"/>
      <c r="L618" s="58"/>
      <c r="M618" s="58"/>
      <c r="N618" s="58"/>
      <c r="O618" s="58"/>
      <c r="P618" s="269"/>
      <c r="Q618" s="58"/>
      <c r="R618" s="58"/>
      <c r="S618" s="58"/>
      <c r="T618" s="58"/>
      <c r="U618" s="58"/>
      <c r="V618" s="269"/>
      <c r="W618" s="58"/>
      <c r="X618" s="58"/>
      <c r="Y618" s="58"/>
      <c r="Z618" s="58"/>
      <c r="AA618" s="58"/>
      <c r="AB618" s="269"/>
      <c r="AC618" s="58"/>
      <c r="AD618" s="58"/>
      <c r="AE618" s="58"/>
      <c r="AF618" s="58"/>
      <c r="AG618" s="58"/>
      <c r="AH618" s="269"/>
      <c r="AI618" s="58"/>
      <c r="AJ618" s="58"/>
      <c r="AK618" s="58"/>
      <c r="AL618" s="58"/>
      <c r="AM618" s="58"/>
      <c r="AN618" s="59"/>
      <c r="AO618" s="58"/>
      <c r="AP618" s="58"/>
      <c r="AQ618" s="58"/>
      <c r="AR618" s="58"/>
      <c r="AS618" s="58"/>
      <c r="AT618" s="59"/>
      <c r="AU618" s="58"/>
      <c r="AV618" s="58"/>
      <c r="AW618" s="58"/>
      <c r="AX618" s="58"/>
      <c r="AY618" s="58"/>
      <c r="AZ618" s="59"/>
      <c r="BA618" s="58"/>
      <c r="BB618" s="58"/>
      <c r="BC618" s="58"/>
      <c r="BD618" s="58"/>
      <c r="BE618" s="58"/>
      <c r="BF618" s="59"/>
      <c r="BG618" s="58"/>
      <c r="BH618" s="58"/>
      <c r="BI618" s="58"/>
      <c r="BJ618" s="58"/>
      <c r="BK618" s="58"/>
      <c r="BL618" s="59"/>
      <c r="BM618" s="58"/>
      <c r="BN618" s="58"/>
      <c r="BO618" s="58"/>
      <c r="BP618" s="58"/>
      <c r="BQ618" s="58"/>
      <c r="BR618" s="58"/>
      <c r="BS618" s="58"/>
      <c r="BT618" s="58"/>
      <c r="BU618" s="58"/>
      <c r="BV618" s="58"/>
      <c r="BW618" s="58"/>
      <c r="BX618" s="58"/>
      <c r="BY618" s="58"/>
      <c r="BZ618" s="58"/>
      <c r="CA618" s="58"/>
      <c r="CB618" s="58"/>
      <c r="CC618" s="58"/>
      <c r="CD618" s="58"/>
      <c r="CE618" s="58"/>
      <c r="CF618" s="58"/>
      <c r="CG618" s="58"/>
      <c r="CH618" s="58"/>
      <c r="CI618" s="58"/>
      <c r="CJ618" s="58"/>
      <c r="CK618" s="58"/>
      <c r="CL618" s="58"/>
      <c r="CM618" s="58"/>
      <c r="CN618" s="58"/>
      <c r="CO618" s="58"/>
      <c r="CP618" s="58"/>
      <c r="CQ618" s="58"/>
      <c r="CR618" s="58"/>
      <c r="CS618" s="58"/>
      <c r="CT618" s="58"/>
      <c r="CU618" s="58"/>
    </row>
    <row r="619" spans="1:99" ht="15" thickBot="1" x14ac:dyDescent="0.4">
      <c r="A619" s="14"/>
      <c r="B619" s="14"/>
      <c r="C619" s="14"/>
      <c r="D619" s="14"/>
      <c r="E619" s="14"/>
      <c r="F619" s="14"/>
      <c r="G619" s="14"/>
      <c r="H619" s="14"/>
      <c r="I619" s="14"/>
      <c r="J619" s="41"/>
      <c r="L619" s="58"/>
      <c r="M619" s="58"/>
      <c r="N619" s="58"/>
      <c r="O619" s="58"/>
      <c r="P619" s="269"/>
      <c r="Q619" s="58"/>
      <c r="R619" s="58"/>
      <c r="S619" s="58"/>
      <c r="T619" s="58"/>
      <c r="U619" s="58"/>
      <c r="V619" s="269"/>
      <c r="W619" s="58"/>
      <c r="X619" s="58"/>
      <c r="Y619" s="58"/>
      <c r="Z619" s="58"/>
      <c r="AA619" s="58"/>
      <c r="AB619" s="269"/>
      <c r="AC619" s="58"/>
      <c r="AD619" s="58"/>
      <c r="AE619" s="58"/>
      <c r="AF619" s="58"/>
      <c r="AG619" s="58"/>
      <c r="AH619" s="269"/>
      <c r="AI619" s="58"/>
      <c r="AJ619" s="58"/>
      <c r="AK619" s="58"/>
      <c r="AL619" s="58"/>
      <c r="AM619" s="58"/>
      <c r="AN619" s="59"/>
      <c r="AO619" s="58"/>
      <c r="AP619" s="58"/>
      <c r="AQ619" s="58"/>
      <c r="AR619" s="58"/>
      <c r="AS619" s="58"/>
      <c r="AT619" s="59"/>
      <c r="AU619" s="58"/>
      <c r="AV619" s="58"/>
      <c r="AW619" s="58"/>
      <c r="AX619" s="58"/>
      <c r="AY619" s="58"/>
      <c r="AZ619" s="59"/>
      <c r="BA619" s="58"/>
      <c r="BB619" s="58"/>
      <c r="BC619" s="58"/>
      <c r="BD619" s="58"/>
      <c r="BE619" s="58"/>
      <c r="BF619" s="59"/>
      <c r="BG619" s="58"/>
      <c r="BH619" s="58"/>
      <c r="BI619" s="58"/>
      <c r="BJ619" s="58"/>
      <c r="BK619" s="58"/>
      <c r="BL619" s="59"/>
      <c r="BM619" s="58"/>
      <c r="BN619" s="58"/>
      <c r="BO619" s="58"/>
      <c r="BP619" s="58"/>
      <c r="BQ619" s="58"/>
      <c r="BR619" s="58"/>
      <c r="BS619" s="58"/>
      <c r="BT619" s="58"/>
      <c r="BU619" s="58"/>
      <c r="BV619" s="58"/>
      <c r="BW619" s="58"/>
      <c r="BX619" s="58"/>
      <c r="BY619" s="58"/>
      <c r="BZ619" s="58"/>
      <c r="CA619" s="58"/>
      <c r="CB619" s="58"/>
      <c r="CC619" s="58"/>
      <c r="CD619" s="58"/>
      <c r="CE619" s="58"/>
      <c r="CF619" s="58"/>
      <c r="CG619" s="58"/>
      <c r="CH619" s="58"/>
      <c r="CI619" s="58"/>
      <c r="CJ619" s="58"/>
      <c r="CK619" s="58"/>
      <c r="CL619" s="58"/>
      <c r="CM619" s="58"/>
      <c r="CN619" s="58"/>
      <c r="CO619" s="58"/>
      <c r="CP619" s="58"/>
      <c r="CQ619" s="58"/>
      <c r="CR619" s="58"/>
      <c r="CS619" s="58"/>
      <c r="CT619" s="58"/>
      <c r="CU619" s="58"/>
    </row>
    <row r="620" spans="1:99" ht="15" thickBot="1" x14ac:dyDescent="0.4">
      <c r="A620" s="14"/>
      <c r="B620" s="14"/>
      <c r="C620" s="14"/>
      <c r="D620" s="14"/>
      <c r="E620" s="14"/>
      <c r="F620" s="14"/>
      <c r="G620" s="14"/>
      <c r="H620" s="14"/>
      <c r="I620" s="14"/>
      <c r="J620" s="41"/>
      <c r="L620" s="58"/>
      <c r="M620" s="58"/>
      <c r="N620" s="58"/>
      <c r="O620" s="58"/>
      <c r="P620" s="269"/>
      <c r="Q620" s="58"/>
      <c r="R620" s="58"/>
      <c r="S620" s="58"/>
      <c r="T620" s="58"/>
      <c r="U620" s="58"/>
      <c r="V620" s="269"/>
      <c r="W620" s="58"/>
      <c r="X620" s="58"/>
      <c r="Y620" s="58"/>
      <c r="Z620" s="58"/>
      <c r="AA620" s="58"/>
      <c r="AB620" s="269"/>
      <c r="AC620" s="58"/>
      <c r="AD620" s="58"/>
      <c r="AE620" s="58"/>
      <c r="AF620" s="58"/>
      <c r="AG620" s="58"/>
      <c r="AH620" s="269"/>
      <c r="AI620" s="58"/>
      <c r="AJ620" s="58"/>
      <c r="AK620" s="58"/>
      <c r="AL620" s="58"/>
      <c r="AM620" s="58"/>
      <c r="AN620" s="59"/>
      <c r="AO620" s="58"/>
      <c r="AP620" s="58"/>
      <c r="AQ620" s="58"/>
      <c r="AR620" s="58"/>
      <c r="AS620" s="58"/>
      <c r="AT620" s="59"/>
      <c r="AU620" s="58"/>
      <c r="AV620" s="58"/>
      <c r="AW620" s="58"/>
      <c r="AX620" s="58"/>
      <c r="AY620" s="58"/>
      <c r="AZ620" s="59"/>
      <c r="BA620" s="58"/>
      <c r="BB620" s="58"/>
      <c r="BC620" s="58"/>
      <c r="BD620" s="58"/>
      <c r="BE620" s="58"/>
      <c r="BF620" s="59"/>
      <c r="BG620" s="58"/>
      <c r="BH620" s="58"/>
      <c r="BI620" s="58"/>
      <c r="BJ620" s="58"/>
      <c r="BK620" s="58"/>
      <c r="BL620" s="59"/>
      <c r="BM620" s="58"/>
      <c r="BN620" s="58"/>
      <c r="BO620" s="58"/>
      <c r="BP620" s="58"/>
      <c r="BQ620" s="58"/>
      <c r="BR620" s="58"/>
      <c r="BS620" s="58"/>
      <c r="BT620" s="58"/>
      <c r="BU620" s="58"/>
      <c r="BV620" s="58"/>
      <c r="BW620" s="58"/>
      <c r="BX620" s="58"/>
      <c r="BY620" s="58"/>
      <c r="BZ620" s="58"/>
      <c r="CA620" s="58"/>
      <c r="CB620" s="58"/>
      <c r="CC620" s="58"/>
      <c r="CD620" s="58"/>
      <c r="CE620" s="58"/>
      <c r="CF620" s="58"/>
      <c r="CG620" s="58"/>
      <c r="CH620" s="58"/>
      <c r="CI620" s="58"/>
      <c r="CJ620" s="58"/>
      <c r="CK620" s="58"/>
      <c r="CL620" s="58"/>
      <c r="CM620" s="58"/>
      <c r="CN620" s="58"/>
      <c r="CO620" s="58"/>
      <c r="CP620" s="58"/>
      <c r="CQ620" s="58"/>
      <c r="CR620" s="58"/>
      <c r="CS620" s="58"/>
      <c r="CT620" s="58"/>
      <c r="CU620" s="58"/>
    </row>
    <row r="621" spans="1:99" ht="15" thickBot="1" x14ac:dyDescent="0.4">
      <c r="A621" s="14"/>
      <c r="B621" s="14"/>
      <c r="C621" s="14"/>
      <c r="D621" s="14"/>
      <c r="E621" s="14"/>
      <c r="F621" s="14"/>
      <c r="G621" s="14"/>
      <c r="H621" s="14"/>
      <c r="I621" s="14"/>
      <c r="J621" s="41"/>
      <c r="L621" s="58"/>
      <c r="M621" s="58"/>
      <c r="N621" s="58"/>
      <c r="O621" s="58"/>
      <c r="P621" s="269"/>
      <c r="Q621" s="58"/>
      <c r="R621" s="58"/>
      <c r="S621" s="58"/>
      <c r="T621" s="58"/>
      <c r="U621" s="58"/>
      <c r="V621" s="269"/>
      <c r="W621" s="58"/>
      <c r="X621" s="58"/>
      <c r="Y621" s="58"/>
      <c r="Z621" s="58"/>
      <c r="AA621" s="58"/>
      <c r="AB621" s="269"/>
      <c r="AC621" s="58"/>
      <c r="AD621" s="58"/>
      <c r="AE621" s="58"/>
      <c r="AF621" s="58"/>
      <c r="AG621" s="58"/>
      <c r="AH621" s="269"/>
      <c r="AI621" s="58"/>
      <c r="AJ621" s="58"/>
      <c r="AK621" s="58"/>
      <c r="AL621" s="58"/>
      <c r="AM621" s="58"/>
      <c r="AN621" s="59"/>
      <c r="AO621" s="58"/>
      <c r="AP621" s="58"/>
      <c r="AQ621" s="58"/>
      <c r="AR621" s="58"/>
      <c r="AS621" s="58"/>
      <c r="AT621" s="59"/>
      <c r="AU621" s="58"/>
      <c r="AV621" s="58"/>
      <c r="AW621" s="58"/>
      <c r="AX621" s="58"/>
      <c r="AY621" s="58"/>
      <c r="AZ621" s="59"/>
      <c r="BA621" s="58"/>
      <c r="BB621" s="58"/>
      <c r="BC621" s="58"/>
      <c r="BD621" s="58"/>
      <c r="BE621" s="58"/>
      <c r="BF621" s="59"/>
      <c r="BG621" s="58"/>
      <c r="BH621" s="58"/>
      <c r="BI621" s="58"/>
      <c r="BJ621" s="58"/>
      <c r="BK621" s="58"/>
      <c r="BL621" s="59"/>
      <c r="BM621" s="58"/>
      <c r="BN621" s="58"/>
      <c r="BO621" s="58"/>
      <c r="BP621" s="58"/>
      <c r="BQ621" s="58"/>
      <c r="BR621" s="58"/>
      <c r="BS621" s="58"/>
      <c r="BT621" s="58"/>
      <c r="BU621" s="58"/>
      <c r="BV621" s="58"/>
      <c r="BW621" s="58"/>
      <c r="BX621" s="58"/>
      <c r="BY621" s="58"/>
      <c r="BZ621" s="58"/>
      <c r="CA621" s="58"/>
      <c r="CB621" s="58"/>
      <c r="CC621" s="58"/>
      <c r="CD621" s="58"/>
      <c r="CE621" s="58"/>
      <c r="CF621" s="58"/>
      <c r="CG621" s="58"/>
      <c r="CH621" s="58"/>
      <c r="CI621" s="58"/>
      <c r="CJ621" s="58"/>
      <c r="CK621" s="58"/>
      <c r="CL621" s="58"/>
      <c r="CM621" s="58"/>
      <c r="CN621" s="58"/>
      <c r="CO621" s="58"/>
      <c r="CP621" s="58"/>
      <c r="CQ621" s="58"/>
      <c r="CR621" s="58"/>
      <c r="CS621" s="58"/>
      <c r="CT621" s="58"/>
      <c r="CU621" s="58"/>
    </row>
    <row r="622" spans="1:99" ht="15" thickBot="1" x14ac:dyDescent="0.4">
      <c r="A622" s="14"/>
      <c r="B622" s="14"/>
      <c r="C622" s="14"/>
      <c r="D622" s="14"/>
      <c r="E622" s="14"/>
      <c r="F622" s="14"/>
      <c r="G622" s="14"/>
      <c r="H622" s="14"/>
      <c r="I622" s="14"/>
      <c r="J622" s="41"/>
      <c r="L622" s="58"/>
      <c r="M622" s="58"/>
      <c r="N622" s="58"/>
      <c r="O622" s="58"/>
      <c r="P622" s="269"/>
      <c r="Q622" s="58"/>
      <c r="R622" s="58"/>
      <c r="S622" s="58"/>
      <c r="T622" s="58"/>
      <c r="U622" s="58"/>
      <c r="V622" s="269"/>
      <c r="W622" s="58"/>
      <c r="X622" s="58"/>
      <c r="Y622" s="58"/>
      <c r="Z622" s="58"/>
      <c r="AA622" s="58"/>
      <c r="AB622" s="269"/>
      <c r="AC622" s="58"/>
      <c r="AD622" s="58"/>
      <c r="AE622" s="58"/>
      <c r="AF622" s="58"/>
      <c r="AG622" s="58"/>
      <c r="AH622" s="269"/>
      <c r="AI622" s="58"/>
      <c r="AJ622" s="58"/>
      <c r="AK622" s="58"/>
      <c r="AL622" s="58"/>
      <c r="AM622" s="58"/>
      <c r="AN622" s="59"/>
      <c r="AO622" s="58"/>
      <c r="AP622" s="58"/>
      <c r="AQ622" s="58"/>
      <c r="AR622" s="58"/>
      <c r="AS622" s="58"/>
      <c r="AT622" s="59"/>
      <c r="AU622" s="58"/>
      <c r="AV622" s="58"/>
      <c r="AW622" s="58"/>
      <c r="AX622" s="58"/>
      <c r="AY622" s="58"/>
      <c r="AZ622" s="59"/>
      <c r="BA622" s="58"/>
      <c r="BB622" s="58"/>
      <c r="BC622" s="58"/>
      <c r="BD622" s="58"/>
      <c r="BE622" s="58"/>
      <c r="BF622" s="59"/>
      <c r="BG622" s="58"/>
      <c r="BH622" s="58"/>
      <c r="BI622" s="58"/>
      <c r="BJ622" s="58"/>
      <c r="BK622" s="58"/>
      <c r="BL622" s="59"/>
      <c r="BM622" s="58"/>
      <c r="BN622" s="58"/>
      <c r="BO622" s="58"/>
      <c r="BP622" s="58"/>
      <c r="BQ622" s="58"/>
      <c r="BR622" s="58"/>
      <c r="BS622" s="58"/>
      <c r="BT622" s="58"/>
      <c r="BU622" s="58"/>
      <c r="BV622" s="58"/>
      <c r="BW622" s="58"/>
      <c r="BX622" s="58"/>
      <c r="BY622" s="58"/>
      <c r="BZ622" s="58"/>
      <c r="CA622" s="58"/>
      <c r="CB622" s="58"/>
      <c r="CC622" s="58"/>
      <c r="CD622" s="58"/>
      <c r="CE622" s="58"/>
      <c r="CF622" s="58"/>
      <c r="CG622" s="58"/>
      <c r="CH622" s="58"/>
      <c r="CI622" s="58"/>
      <c r="CJ622" s="58"/>
      <c r="CK622" s="58"/>
      <c r="CL622" s="58"/>
      <c r="CM622" s="58"/>
      <c r="CN622" s="58"/>
      <c r="CO622" s="58"/>
      <c r="CP622" s="58"/>
      <c r="CQ622" s="58"/>
      <c r="CR622" s="58"/>
      <c r="CS622" s="58"/>
      <c r="CT622" s="58"/>
      <c r="CU622" s="58"/>
    </row>
    <row r="623" spans="1:99" ht="15" thickBot="1" x14ac:dyDescent="0.4">
      <c r="A623" s="14"/>
      <c r="B623" s="14"/>
      <c r="C623" s="14"/>
      <c r="D623" s="14"/>
      <c r="E623" s="14"/>
      <c r="F623" s="14"/>
      <c r="G623" s="14"/>
      <c r="H623" s="14"/>
      <c r="I623" s="14"/>
      <c r="J623" s="41"/>
      <c r="L623" s="58"/>
      <c r="M623" s="58"/>
      <c r="N623" s="58"/>
      <c r="O623" s="58"/>
      <c r="P623" s="269"/>
      <c r="Q623" s="58"/>
      <c r="R623" s="58"/>
      <c r="S623" s="58"/>
      <c r="T623" s="58"/>
      <c r="U623" s="58"/>
      <c r="V623" s="269"/>
      <c r="W623" s="58"/>
      <c r="X623" s="58"/>
      <c r="Y623" s="58"/>
      <c r="Z623" s="58"/>
      <c r="AA623" s="58"/>
      <c r="AB623" s="269"/>
      <c r="AC623" s="58"/>
      <c r="AD623" s="58"/>
      <c r="AE623" s="58"/>
      <c r="AF623" s="58"/>
      <c r="AG623" s="58"/>
      <c r="AH623" s="269"/>
      <c r="AI623" s="58"/>
      <c r="AJ623" s="58"/>
      <c r="AK623" s="58"/>
      <c r="AL623" s="58"/>
      <c r="AM623" s="58"/>
      <c r="AN623" s="59"/>
      <c r="AO623" s="58"/>
      <c r="AP623" s="58"/>
      <c r="AQ623" s="58"/>
      <c r="AR623" s="58"/>
      <c r="AS623" s="58"/>
      <c r="AT623" s="59"/>
      <c r="AU623" s="58"/>
      <c r="AV623" s="58"/>
      <c r="AW623" s="58"/>
      <c r="AX623" s="58"/>
      <c r="AY623" s="58"/>
      <c r="AZ623" s="59"/>
      <c r="BA623" s="58"/>
      <c r="BB623" s="58"/>
      <c r="BC623" s="58"/>
      <c r="BD623" s="58"/>
      <c r="BE623" s="58"/>
      <c r="BF623" s="59"/>
      <c r="BG623" s="58"/>
      <c r="BH623" s="58"/>
      <c r="BI623" s="58"/>
      <c r="BJ623" s="58"/>
      <c r="BK623" s="58"/>
      <c r="BL623" s="59"/>
      <c r="BM623" s="58"/>
      <c r="BN623" s="58"/>
      <c r="BO623" s="58"/>
      <c r="BP623" s="58"/>
      <c r="BQ623" s="58"/>
      <c r="BR623" s="58"/>
      <c r="BS623" s="58"/>
      <c r="BT623" s="58"/>
      <c r="BU623" s="58"/>
      <c r="BV623" s="58"/>
      <c r="BW623" s="58"/>
      <c r="BX623" s="58"/>
      <c r="BY623" s="58"/>
      <c r="BZ623" s="58"/>
      <c r="CA623" s="58"/>
      <c r="CB623" s="58"/>
      <c r="CC623" s="58"/>
      <c r="CD623" s="58"/>
      <c r="CE623" s="58"/>
      <c r="CF623" s="58"/>
      <c r="CG623" s="58"/>
      <c r="CH623" s="58"/>
      <c r="CI623" s="58"/>
      <c r="CJ623" s="58"/>
      <c r="CK623" s="58"/>
      <c r="CL623" s="58"/>
      <c r="CM623" s="58"/>
      <c r="CN623" s="58"/>
      <c r="CO623" s="58"/>
      <c r="CP623" s="58"/>
      <c r="CQ623" s="58"/>
      <c r="CR623" s="58"/>
      <c r="CS623" s="58"/>
      <c r="CT623" s="58"/>
      <c r="CU623" s="58"/>
    </row>
    <row r="624" spans="1:99" ht="15" thickBot="1" x14ac:dyDescent="0.4">
      <c r="A624" s="14"/>
      <c r="B624" s="14"/>
      <c r="C624" s="14"/>
      <c r="D624" s="14"/>
      <c r="E624" s="14"/>
      <c r="F624" s="14"/>
      <c r="G624" s="14"/>
      <c r="H624" s="14"/>
      <c r="I624" s="14"/>
      <c r="J624" s="41"/>
      <c r="L624" s="58"/>
      <c r="M624" s="58"/>
      <c r="N624" s="58"/>
      <c r="O624" s="58"/>
      <c r="P624" s="269"/>
      <c r="Q624" s="58"/>
      <c r="R624" s="58"/>
      <c r="S624" s="58"/>
      <c r="T624" s="58"/>
      <c r="U624" s="58"/>
      <c r="V624" s="269"/>
      <c r="W624" s="58"/>
      <c r="X624" s="58"/>
      <c r="Y624" s="58"/>
      <c r="Z624" s="58"/>
      <c r="AA624" s="58"/>
      <c r="AB624" s="269"/>
      <c r="AC624" s="58"/>
      <c r="AD624" s="58"/>
      <c r="AE624" s="58"/>
      <c r="AF624" s="58"/>
      <c r="AG624" s="58"/>
      <c r="AH624" s="269"/>
      <c r="AI624" s="58"/>
      <c r="AJ624" s="58"/>
      <c r="AK624" s="58"/>
      <c r="AL624" s="58"/>
      <c r="AM624" s="58"/>
      <c r="AN624" s="59"/>
      <c r="AO624" s="58"/>
      <c r="AP624" s="58"/>
      <c r="AQ624" s="58"/>
      <c r="AR624" s="58"/>
      <c r="AS624" s="58"/>
      <c r="AT624" s="59"/>
      <c r="AU624" s="58"/>
      <c r="AV624" s="58"/>
      <c r="AW624" s="58"/>
      <c r="AX624" s="58"/>
      <c r="AY624" s="58"/>
      <c r="AZ624" s="59"/>
      <c r="BA624" s="58"/>
      <c r="BB624" s="58"/>
      <c r="BC624" s="58"/>
      <c r="BD624" s="58"/>
      <c r="BE624" s="58"/>
      <c r="BF624" s="59"/>
      <c r="BG624" s="58"/>
      <c r="BH624" s="58"/>
      <c r="BI624" s="58"/>
      <c r="BJ624" s="58"/>
      <c r="BK624" s="58"/>
      <c r="BL624" s="59"/>
      <c r="BM624" s="58"/>
      <c r="BN624" s="58"/>
      <c r="BO624" s="58"/>
      <c r="BP624" s="58"/>
      <c r="BQ624" s="58"/>
      <c r="BR624" s="58"/>
      <c r="BS624" s="58"/>
      <c r="BT624" s="58"/>
      <c r="BU624" s="58"/>
      <c r="BV624" s="58"/>
      <c r="BW624" s="58"/>
      <c r="BX624" s="58"/>
      <c r="BY624" s="58"/>
      <c r="BZ624" s="58"/>
      <c r="CA624" s="58"/>
      <c r="CB624" s="58"/>
      <c r="CC624" s="58"/>
      <c r="CD624" s="58"/>
      <c r="CE624" s="58"/>
      <c r="CF624" s="58"/>
      <c r="CG624" s="58"/>
      <c r="CH624" s="58"/>
      <c r="CI624" s="58"/>
      <c r="CJ624" s="58"/>
      <c r="CK624" s="58"/>
      <c r="CL624" s="58"/>
      <c r="CM624" s="58"/>
      <c r="CN624" s="58"/>
      <c r="CO624" s="58"/>
      <c r="CP624" s="58"/>
      <c r="CQ624" s="58"/>
      <c r="CR624" s="58"/>
      <c r="CS624" s="58"/>
      <c r="CT624" s="58"/>
      <c r="CU624" s="58"/>
    </row>
    <row r="625" spans="1:99" ht="15" thickBot="1" x14ac:dyDescent="0.4">
      <c r="A625" s="14"/>
      <c r="B625" s="14"/>
      <c r="C625" s="14"/>
      <c r="D625" s="14"/>
      <c r="E625" s="14"/>
      <c r="F625" s="14"/>
      <c r="G625" s="14"/>
      <c r="H625" s="14"/>
      <c r="I625" s="14"/>
      <c r="J625" s="41"/>
      <c r="L625" s="58"/>
      <c r="M625" s="58"/>
      <c r="N625" s="58"/>
      <c r="O625" s="58"/>
      <c r="P625" s="269"/>
      <c r="Q625" s="58"/>
      <c r="R625" s="58"/>
      <c r="S625" s="58"/>
      <c r="T625" s="58"/>
      <c r="U625" s="58"/>
      <c r="V625" s="269"/>
      <c r="W625" s="58"/>
      <c r="X625" s="58"/>
      <c r="Y625" s="58"/>
      <c r="Z625" s="58"/>
      <c r="AA625" s="58"/>
      <c r="AB625" s="269"/>
      <c r="AC625" s="58"/>
      <c r="AD625" s="58"/>
      <c r="AE625" s="58"/>
      <c r="AF625" s="58"/>
      <c r="AG625" s="58"/>
      <c r="AH625" s="269"/>
      <c r="AI625" s="58"/>
      <c r="AJ625" s="58"/>
      <c r="AK625" s="58"/>
      <c r="AL625" s="58"/>
      <c r="AM625" s="58"/>
      <c r="AN625" s="59"/>
      <c r="AO625" s="58"/>
      <c r="AP625" s="58"/>
      <c r="AQ625" s="58"/>
      <c r="AR625" s="58"/>
      <c r="AS625" s="58"/>
      <c r="AT625" s="59"/>
      <c r="AU625" s="58"/>
      <c r="AV625" s="58"/>
      <c r="AW625" s="58"/>
      <c r="AX625" s="58"/>
      <c r="AY625" s="58"/>
      <c r="AZ625" s="59"/>
      <c r="BA625" s="58"/>
      <c r="BB625" s="58"/>
      <c r="BC625" s="58"/>
      <c r="BD625" s="58"/>
      <c r="BE625" s="58"/>
      <c r="BF625" s="59"/>
      <c r="BG625" s="58"/>
      <c r="BH625" s="58"/>
      <c r="BI625" s="58"/>
      <c r="BJ625" s="58"/>
      <c r="BK625" s="58"/>
      <c r="BL625" s="59"/>
      <c r="BM625" s="58"/>
      <c r="BN625" s="58"/>
      <c r="BO625" s="58"/>
      <c r="BP625" s="58"/>
      <c r="BQ625" s="58"/>
      <c r="BR625" s="58"/>
      <c r="BS625" s="58"/>
      <c r="BT625" s="58"/>
      <c r="BU625" s="58"/>
      <c r="BV625" s="58"/>
      <c r="BW625" s="58"/>
      <c r="BX625" s="58"/>
      <c r="BY625" s="58"/>
      <c r="BZ625" s="58"/>
      <c r="CA625" s="58"/>
      <c r="CB625" s="58"/>
      <c r="CC625" s="58"/>
      <c r="CD625" s="58"/>
      <c r="CE625" s="58"/>
      <c r="CF625" s="58"/>
      <c r="CG625" s="58"/>
      <c r="CH625" s="58"/>
      <c r="CI625" s="58"/>
      <c r="CJ625" s="58"/>
      <c r="CK625" s="58"/>
      <c r="CL625" s="58"/>
      <c r="CM625" s="58"/>
      <c r="CN625" s="58"/>
      <c r="CO625" s="58"/>
      <c r="CP625" s="58"/>
      <c r="CQ625" s="58"/>
      <c r="CR625" s="58"/>
      <c r="CS625" s="58"/>
      <c r="CT625" s="58"/>
      <c r="CU625" s="58"/>
    </row>
    <row r="626" spans="1:99" ht="15" thickBot="1" x14ac:dyDescent="0.4">
      <c r="A626" s="14"/>
      <c r="B626" s="14"/>
      <c r="C626" s="14"/>
      <c r="D626" s="14"/>
      <c r="E626" s="14"/>
      <c r="F626" s="14"/>
      <c r="G626" s="14"/>
      <c r="H626" s="14"/>
      <c r="I626" s="14"/>
      <c r="J626" s="41"/>
      <c r="L626" s="58"/>
      <c r="M626" s="58"/>
      <c r="N626" s="58"/>
      <c r="O626" s="58"/>
      <c r="P626" s="269"/>
      <c r="Q626" s="58"/>
      <c r="R626" s="58"/>
      <c r="S626" s="58"/>
      <c r="T626" s="58"/>
      <c r="U626" s="58"/>
      <c r="V626" s="269"/>
      <c r="W626" s="58"/>
      <c r="X626" s="58"/>
      <c r="Y626" s="58"/>
      <c r="Z626" s="58"/>
      <c r="AA626" s="58"/>
      <c r="AB626" s="269"/>
      <c r="AC626" s="58"/>
      <c r="AD626" s="58"/>
      <c r="AE626" s="58"/>
      <c r="AF626" s="58"/>
      <c r="AG626" s="58"/>
      <c r="AH626" s="269"/>
      <c r="AI626" s="58"/>
      <c r="AJ626" s="58"/>
      <c r="AK626" s="58"/>
      <c r="AL626" s="58"/>
      <c r="AM626" s="58"/>
      <c r="AN626" s="59"/>
      <c r="AO626" s="58"/>
      <c r="AP626" s="58"/>
      <c r="AQ626" s="58"/>
      <c r="AR626" s="58"/>
      <c r="AS626" s="58"/>
      <c r="AT626" s="59"/>
      <c r="AU626" s="58"/>
      <c r="AV626" s="58"/>
      <c r="AW626" s="58"/>
      <c r="AX626" s="58"/>
      <c r="AY626" s="58"/>
      <c r="AZ626" s="59"/>
      <c r="BA626" s="58"/>
      <c r="BB626" s="58"/>
      <c r="BC626" s="58"/>
      <c r="BD626" s="58"/>
      <c r="BE626" s="58"/>
      <c r="BF626" s="59"/>
      <c r="BG626" s="58"/>
      <c r="BH626" s="58"/>
      <c r="BI626" s="58"/>
      <c r="BJ626" s="58"/>
      <c r="BK626" s="58"/>
      <c r="BL626" s="59"/>
      <c r="BM626" s="58"/>
      <c r="BN626" s="58"/>
      <c r="BO626" s="58"/>
      <c r="BP626" s="58"/>
      <c r="BQ626" s="58"/>
      <c r="BR626" s="58"/>
      <c r="BS626" s="58"/>
      <c r="BT626" s="58"/>
      <c r="BU626" s="58"/>
      <c r="BV626" s="58"/>
      <c r="BW626" s="58"/>
      <c r="BX626" s="58"/>
      <c r="BY626" s="58"/>
      <c r="BZ626" s="58"/>
      <c r="CA626" s="58"/>
      <c r="CB626" s="58"/>
      <c r="CC626" s="58"/>
      <c r="CD626" s="58"/>
      <c r="CE626" s="58"/>
      <c r="CF626" s="58"/>
      <c r="CG626" s="58"/>
      <c r="CH626" s="58"/>
      <c r="CI626" s="58"/>
      <c r="CJ626" s="58"/>
      <c r="CK626" s="58"/>
      <c r="CL626" s="58"/>
      <c r="CM626" s="58"/>
      <c r="CN626" s="58"/>
      <c r="CO626" s="58"/>
      <c r="CP626" s="58"/>
      <c r="CQ626" s="58"/>
      <c r="CR626" s="58"/>
      <c r="CS626" s="58"/>
      <c r="CT626" s="58"/>
      <c r="CU626" s="58"/>
    </row>
    <row r="627" spans="1:99" ht="15" thickBot="1" x14ac:dyDescent="0.4">
      <c r="A627" s="14"/>
      <c r="B627" s="14"/>
      <c r="C627" s="14"/>
      <c r="D627" s="14"/>
      <c r="E627" s="14"/>
      <c r="F627" s="14"/>
      <c r="G627" s="14"/>
      <c r="H627" s="14"/>
      <c r="I627" s="14"/>
      <c r="J627" s="41"/>
      <c r="L627" s="58"/>
      <c r="M627" s="58"/>
      <c r="N627" s="58"/>
      <c r="O627" s="58"/>
      <c r="P627" s="269"/>
      <c r="Q627" s="58"/>
      <c r="R627" s="58"/>
      <c r="S627" s="58"/>
      <c r="T627" s="58"/>
      <c r="U627" s="58"/>
      <c r="V627" s="269"/>
      <c r="W627" s="58"/>
      <c r="X627" s="58"/>
      <c r="Y627" s="58"/>
      <c r="Z627" s="58"/>
      <c r="AA627" s="58"/>
      <c r="AB627" s="269"/>
      <c r="AC627" s="58"/>
      <c r="AD627" s="58"/>
      <c r="AE627" s="58"/>
      <c r="AF627" s="58"/>
      <c r="AG627" s="58"/>
      <c r="AH627" s="269"/>
      <c r="AI627" s="58"/>
      <c r="AJ627" s="58"/>
      <c r="AK627" s="58"/>
      <c r="AL627" s="58"/>
      <c r="AM627" s="58"/>
      <c r="AN627" s="59"/>
      <c r="AO627" s="58"/>
      <c r="AP627" s="58"/>
      <c r="AQ627" s="58"/>
      <c r="AR627" s="58"/>
      <c r="AS627" s="58"/>
      <c r="AT627" s="59"/>
      <c r="AU627" s="58"/>
      <c r="AV627" s="58"/>
      <c r="AW627" s="58"/>
      <c r="AX627" s="58"/>
      <c r="AY627" s="58"/>
      <c r="AZ627" s="59"/>
      <c r="BA627" s="58"/>
      <c r="BB627" s="58"/>
      <c r="BC627" s="58"/>
      <c r="BD627" s="58"/>
      <c r="BE627" s="58"/>
      <c r="BF627" s="59"/>
      <c r="BG627" s="58"/>
      <c r="BH627" s="58"/>
      <c r="BI627" s="58"/>
      <c r="BJ627" s="58"/>
      <c r="BK627" s="58"/>
      <c r="BL627" s="59"/>
      <c r="BM627" s="58"/>
      <c r="BN627" s="58"/>
      <c r="BO627" s="58"/>
      <c r="BP627" s="58"/>
      <c r="BQ627" s="58"/>
      <c r="BR627" s="58"/>
      <c r="BS627" s="58"/>
      <c r="BT627" s="58"/>
      <c r="BU627" s="58"/>
      <c r="BV627" s="58"/>
      <c r="BW627" s="58"/>
      <c r="BX627" s="58"/>
      <c r="BY627" s="58"/>
      <c r="BZ627" s="58"/>
      <c r="CA627" s="58"/>
      <c r="CB627" s="58"/>
      <c r="CC627" s="58"/>
      <c r="CD627" s="58"/>
      <c r="CE627" s="58"/>
      <c r="CF627" s="58"/>
      <c r="CG627" s="58"/>
      <c r="CH627" s="58"/>
      <c r="CI627" s="58"/>
      <c r="CJ627" s="58"/>
      <c r="CK627" s="58"/>
      <c r="CL627" s="58"/>
      <c r="CM627" s="58"/>
      <c r="CN627" s="58"/>
      <c r="CO627" s="58"/>
      <c r="CP627" s="58"/>
      <c r="CQ627" s="58"/>
      <c r="CR627" s="58"/>
      <c r="CS627" s="58"/>
      <c r="CT627" s="58"/>
      <c r="CU627" s="58"/>
    </row>
    <row r="628" spans="1:99" ht="15" thickBot="1" x14ac:dyDescent="0.4">
      <c r="A628" s="14"/>
      <c r="B628" s="14"/>
      <c r="C628" s="14"/>
      <c r="D628" s="14"/>
      <c r="E628" s="14"/>
      <c r="F628" s="14"/>
      <c r="G628" s="14"/>
      <c r="H628" s="14"/>
      <c r="I628" s="14"/>
      <c r="J628" s="41"/>
      <c r="L628" s="58"/>
      <c r="M628" s="58"/>
      <c r="N628" s="58"/>
      <c r="O628" s="58"/>
      <c r="P628" s="269"/>
      <c r="Q628" s="58"/>
      <c r="R628" s="58"/>
      <c r="S628" s="58"/>
      <c r="T628" s="58"/>
      <c r="U628" s="58"/>
      <c r="V628" s="269"/>
      <c r="W628" s="58"/>
      <c r="X628" s="58"/>
      <c r="Y628" s="58"/>
      <c r="Z628" s="58"/>
      <c r="AA628" s="58"/>
      <c r="AB628" s="269"/>
      <c r="AC628" s="58"/>
      <c r="AD628" s="58"/>
      <c r="AE628" s="58"/>
      <c r="AF628" s="58"/>
      <c r="AG628" s="58"/>
      <c r="AH628" s="269"/>
      <c r="AI628" s="58"/>
      <c r="AJ628" s="58"/>
      <c r="AK628" s="58"/>
      <c r="AL628" s="58"/>
      <c r="AM628" s="58"/>
      <c r="AN628" s="59"/>
      <c r="AO628" s="58"/>
      <c r="AP628" s="58"/>
      <c r="AQ628" s="58"/>
      <c r="AR628" s="58"/>
      <c r="AS628" s="58"/>
      <c r="AT628" s="59"/>
      <c r="AU628" s="58"/>
      <c r="AV628" s="58"/>
      <c r="AW628" s="58"/>
      <c r="AX628" s="58"/>
      <c r="AY628" s="58"/>
      <c r="AZ628" s="59"/>
      <c r="BA628" s="58"/>
      <c r="BB628" s="58"/>
      <c r="BC628" s="58"/>
      <c r="BD628" s="58"/>
      <c r="BE628" s="58"/>
      <c r="BF628" s="59"/>
      <c r="BG628" s="58"/>
      <c r="BH628" s="58"/>
      <c r="BI628" s="58"/>
      <c r="BJ628" s="58"/>
      <c r="BK628" s="58"/>
      <c r="BL628" s="59"/>
      <c r="BM628" s="58"/>
      <c r="BN628" s="58"/>
      <c r="BO628" s="58"/>
      <c r="BP628" s="58"/>
      <c r="BQ628" s="58"/>
      <c r="BR628" s="58"/>
      <c r="BS628" s="58"/>
      <c r="BT628" s="58"/>
      <c r="BU628" s="58"/>
      <c r="BV628" s="58"/>
      <c r="BW628" s="58"/>
      <c r="BX628" s="58"/>
      <c r="BY628" s="58"/>
      <c r="BZ628" s="58"/>
      <c r="CA628" s="58"/>
      <c r="CB628" s="58"/>
      <c r="CC628" s="58"/>
      <c r="CD628" s="58"/>
      <c r="CE628" s="58"/>
      <c r="CF628" s="58"/>
      <c r="CG628" s="58"/>
      <c r="CH628" s="58"/>
      <c r="CI628" s="58"/>
      <c r="CJ628" s="58"/>
      <c r="CK628" s="58"/>
      <c r="CL628" s="58"/>
      <c r="CM628" s="58"/>
      <c r="CN628" s="58"/>
      <c r="CO628" s="58"/>
      <c r="CP628" s="58"/>
      <c r="CQ628" s="58"/>
      <c r="CR628" s="58"/>
      <c r="CS628" s="58"/>
      <c r="CT628" s="58"/>
      <c r="CU628" s="58"/>
    </row>
    <row r="629" spans="1:99" ht="15" thickBot="1" x14ac:dyDescent="0.4">
      <c r="A629" s="14"/>
      <c r="B629" s="14"/>
      <c r="C629" s="14"/>
      <c r="D629" s="14"/>
      <c r="E629" s="14"/>
      <c r="F629" s="14"/>
      <c r="G629" s="14"/>
      <c r="H629" s="14"/>
      <c r="I629" s="14"/>
      <c r="J629" s="41"/>
      <c r="L629" s="58"/>
      <c r="M629" s="58"/>
      <c r="N629" s="58"/>
      <c r="O629" s="58"/>
      <c r="P629" s="269"/>
      <c r="Q629" s="58"/>
      <c r="R629" s="58"/>
      <c r="S629" s="58"/>
      <c r="T629" s="58"/>
      <c r="U629" s="58"/>
      <c r="V629" s="269"/>
      <c r="W629" s="58"/>
      <c r="X629" s="58"/>
      <c r="Y629" s="58"/>
      <c r="Z629" s="58"/>
      <c r="AA629" s="58"/>
      <c r="AB629" s="269"/>
      <c r="AC629" s="58"/>
      <c r="AD629" s="58"/>
      <c r="AE629" s="58"/>
      <c r="AF629" s="58"/>
      <c r="AG629" s="58"/>
      <c r="AH629" s="269"/>
      <c r="AI629" s="58"/>
      <c r="AJ629" s="58"/>
      <c r="AK629" s="58"/>
      <c r="AL629" s="58"/>
      <c r="AM629" s="58"/>
      <c r="AN629" s="59"/>
      <c r="AO629" s="58"/>
      <c r="AP629" s="58"/>
      <c r="AQ629" s="58"/>
      <c r="AR629" s="58"/>
      <c r="AS629" s="58"/>
      <c r="AT629" s="59"/>
      <c r="AU629" s="58"/>
      <c r="AV629" s="58"/>
      <c r="AW629" s="58"/>
      <c r="AX629" s="58"/>
      <c r="AY629" s="58"/>
      <c r="AZ629" s="59"/>
      <c r="BA629" s="58"/>
      <c r="BB629" s="58"/>
      <c r="BC629" s="58"/>
      <c r="BD629" s="58"/>
      <c r="BE629" s="58"/>
      <c r="BF629" s="59"/>
      <c r="BG629" s="58"/>
      <c r="BH629" s="58"/>
      <c r="BI629" s="58"/>
      <c r="BJ629" s="58"/>
      <c r="BK629" s="58"/>
      <c r="BL629" s="59"/>
      <c r="BM629" s="58"/>
      <c r="BN629" s="58"/>
      <c r="BO629" s="58"/>
      <c r="BP629" s="58"/>
      <c r="BQ629" s="58"/>
      <c r="BR629" s="58"/>
      <c r="BS629" s="58"/>
      <c r="BT629" s="58"/>
      <c r="BU629" s="58"/>
      <c r="BV629" s="58"/>
      <c r="BW629" s="58"/>
      <c r="BX629" s="58"/>
      <c r="BY629" s="58"/>
      <c r="BZ629" s="58"/>
      <c r="CA629" s="58"/>
      <c r="CB629" s="58"/>
      <c r="CC629" s="58"/>
      <c r="CD629" s="58"/>
      <c r="CE629" s="58"/>
      <c r="CF629" s="58"/>
      <c r="CG629" s="58"/>
      <c r="CH629" s="58"/>
      <c r="CI629" s="58"/>
      <c r="CJ629" s="58"/>
      <c r="CK629" s="58"/>
      <c r="CL629" s="58"/>
      <c r="CM629" s="58"/>
      <c r="CN629" s="58"/>
      <c r="CO629" s="58"/>
      <c r="CP629" s="58"/>
      <c r="CQ629" s="58"/>
      <c r="CR629" s="58"/>
      <c r="CS629" s="58"/>
      <c r="CT629" s="58"/>
      <c r="CU629" s="58"/>
    </row>
    <row r="630" spans="1:99" ht="15" thickBot="1" x14ac:dyDescent="0.4">
      <c r="A630" s="14"/>
      <c r="B630" s="14"/>
      <c r="C630" s="14"/>
      <c r="D630" s="14"/>
      <c r="E630" s="14"/>
      <c r="F630" s="14"/>
      <c r="G630" s="14"/>
      <c r="H630" s="14"/>
      <c r="I630" s="14"/>
      <c r="J630" s="41"/>
      <c r="L630" s="58"/>
      <c r="M630" s="58"/>
      <c r="N630" s="58"/>
      <c r="O630" s="58"/>
      <c r="P630" s="269"/>
      <c r="Q630" s="58"/>
      <c r="R630" s="58"/>
      <c r="S630" s="58"/>
      <c r="T630" s="58"/>
      <c r="U630" s="58"/>
      <c r="V630" s="269"/>
      <c r="W630" s="58"/>
      <c r="X630" s="58"/>
      <c r="Y630" s="58"/>
      <c r="Z630" s="58"/>
      <c r="AA630" s="58"/>
      <c r="AB630" s="269"/>
      <c r="AC630" s="58"/>
      <c r="AD630" s="58"/>
      <c r="AE630" s="58"/>
      <c r="AF630" s="58"/>
      <c r="AG630" s="58"/>
      <c r="AH630" s="269"/>
      <c r="AI630" s="58"/>
      <c r="AJ630" s="58"/>
      <c r="AK630" s="58"/>
      <c r="AL630" s="58"/>
      <c r="AM630" s="58"/>
      <c r="AN630" s="59"/>
      <c r="AO630" s="58"/>
      <c r="AP630" s="58"/>
      <c r="AQ630" s="58"/>
      <c r="AR630" s="58"/>
      <c r="AS630" s="58"/>
      <c r="AT630" s="59"/>
      <c r="AU630" s="58"/>
      <c r="AV630" s="58"/>
      <c r="AW630" s="58"/>
      <c r="AX630" s="58"/>
      <c r="AY630" s="58"/>
      <c r="AZ630" s="59"/>
      <c r="BA630" s="58"/>
      <c r="BB630" s="58"/>
      <c r="BC630" s="58"/>
      <c r="BD630" s="58"/>
      <c r="BE630" s="58"/>
      <c r="BF630" s="59"/>
      <c r="BG630" s="58"/>
      <c r="BH630" s="58"/>
      <c r="BI630" s="58"/>
      <c r="BJ630" s="58"/>
      <c r="BK630" s="58"/>
      <c r="BL630" s="59"/>
      <c r="BM630" s="58"/>
      <c r="BN630" s="58"/>
      <c r="BO630" s="58"/>
      <c r="BP630" s="58"/>
      <c r="BQ630" s="58"/>
      <c r="BR630" s="58"/>
      <c r="BS630" s="58"/>
      <c r="BT630" s="58"/>
      <c r="BU630" s="58"/>
      <c r="BV630" s="58"/>
      <c r="BW630" s="58"/>
      <c r="BX630" s="58"/>
      <c r="BY630" s="58"/>
      <c r="BZ630" s="58"/>
      <c r="CA630" s="58"/>
      <c r="CB630" s="58"/>
      <c r="CC630" s="58"/>
      <c r="CD630" s="58"/>
      <c r="CE630" s="58"/>
      <c r="CF630" s="58"/>
      <c r="CG630" s="58"/>
      <c r="CH630" s="58"/>
      <c r="CI630" s="58"/>
      <c r="CJ630" s="58"/>
      <c r="CK630" s="58"/>
      <c r="CL630" s="58"/>
      <c r="CM630" s="58"/>
      <c r="CN630" s="58"/>
      <c r="CO630" s="58"/>
      <c r="CP630" s="58"/>
      <c r="CQ630" s="58"/>
      <c r="CR630" s="58"/>
      <c r="CS630" s="58"/>
      <c r="CT630" s="58"/>
      <c r="CU630" s="58"/>
    </row>
    <row r="631" spans="1:99" ht="15" thickBot="1" x14ac:dyDescent="0.4">
      <c r="A631" s="14"/>
      <c r="B631" s="14"/>
      <c r="C631" s="14"/>
      <c r="D631" s="14"/>
      <c r="E631" s="14"/>
      <c r="F631" s="14"/>
      <c r="G631" s="14"/>
      <c r="H631" s="14"/>
      <c r="I631" s="14"/>
      <c r="J631" s="41"/>
      <c r="L631" s="58"/>
      <c r="M631" s="58"/>
      <c r="N631" s="58"/>
      <c r="O631" s="58"/>
      <c r="P631" s="269"/>
      <c r="Q631" s="58"/>
      <c r="R631" s="58"/>
      <c r="S631" s="58"/>
      <c r="T631" s="58"/>
      <c r="U631" s="58"/>
      <c r="V631" s="269"/>
      <c r="W631" s="58"/>
      <c r="X631" s="58"/>
      <c r="Y631" s="58"/>
      <c r="Z631" s="58"/>
      <c r="AA631" s="58"/>
      <c r="AB631" s="269"/>
      <c r="AC631" s="58"/>
      <c r="AD631" s="58"/>
      <c r="AE631" s="58"/>
      <c r="AF631" s="58"/>
      <c r="AG631" s="58"/>
      <c r="AH631" s="269"/>
      <c r="AI631" s="58"/>
      <c r="AJ631" s="58"/>
      <c r="AK631" s="58"/>
      <c r="AL631" s="58"/>
      <c r="AM631" s="58"/>
      <c r="AN631" s="59"/>
      <c r="AO631" s="58"/>
      <c r="AP631" s="58"/>
      <c r="AQ631" s="58"/>
      <c r="AR631" s="58"/>
      <c r="AS631" s="58"/>
      <c r="AT631" s="59"/>
      <c r="AU631" s="58"/>
      <c r="AV631" s="58"/>
      <c r="AW631" s="58"/>
      <c r="AX631" s="58"/>
      <c r="AY631" s="58"/>
      <c r="AZ631" s="59"/>
      <c r="BA631" s="58"/>
      <c r="BB631" s="58"/>
      <c r="BC631" s="58"/>
      <c r="BD631" s="58"/>
      <c r="BE631" s="58"/>
      <c r="BF631" s="59"/>
      <c r="BG631" s="58"/>
      <c r="BH631" s="58"/>
      <c r="BI631" s="58"/>
      <c r="BJ631" s="58"/>
      <c r="BK631" s="58"/>
      <c r="BL631" s="59"/>
      <c r="BM631" s="58"/>
      <c r="BN631" s="58"/>
      <c r="BO631" s="58"/>
      <c r="BP631" s="58"/>
      <c r="BQ631" s="58"/>
      <c r="BR631" s="58"/>
      <c r="BS631" s="58"/>
      <c r="BT631" s="58"/>
      <c r="BU631" s="58"/>
      <c r="BV631" s="58"/>
      <c r="BW631" s="58"/>
      <c r="BX631" s="58"/>
      <c r="BY631" s="58"/>
      <c r="BZ631" s="58"/>
      <c r="CA631" s="58"/>
      <c r="CB631" s="58"/>
      <c r="CC631" s="58"/>
      <c r="CD631" s="58"/>
      <c r="CE631" s="58"/>
      <c r="CF631" s="58"/>
      <c r="CG631" s="58"/>
      <c r="CH631" s="58"/>
      <c r="CI631" s="58"/>
      <c r="CJ631" s="58"/>
      <c r="CK631" s="58"/>
      <c r="CL631" s="58"/>
      <c r="CM631" s="58"/>
      <c r="CN631" s="58"/>
      <c r="CO631" s="58"/>
      <c r="CP631" s="58"/>
      <c r="CQ631" s="58"/>
      <c r="CR631" s="58"/>
      <c r="CS631" s="58"/>
      <c r="CT631" s="58"/>
      <c r="CU631" s="58"/>
    </row>
    <row r="632" spans="1:99" ht="15" thickBot="1" x14ac:dyDescent="0.4">
      <c r="A632" s="14"/>
      <c r="B632" s="14"/>
      <c r="C632" s="14"/>
      <c r="D632" s="14"/>
      <c r="E632" s="14"/>
      <c r="F632" s="14"/>
      <c r="G632" s="14"/>
      <c r="H632" s="14"/>
      <c r="I632" s="14"/>
      <c r="J632" s="41"/>
      <c r="L632" s="58"/>
      <c r="M632" s="58"/>
      <c r="N632" s="58"/>
      <c r="O632" s="58"/>
      <c r="P632" s="269"/>
      <c r="Q632" s="58"/>
      <c r="R632" s="58"/>
      <c r="S632" s="58"/>
      <c r="T632" s="58"/>
      <c r="U632" s="58"/>
      <c r="V632" s="269"/>
      <c r="W632" s="58"/>
      <c r="X632" s="58"/>
      <c r="Y632" s="58"/>
      <c r="Z632" s="58"/>
      <c r="AA632" s="58"/>
      <c r="AB632" s="269"/>
      <c r="AC632" s="58"/>
      <c r="AD632" s="58"/>
      <c r="AE632" s="58"/>
      <c r="AF632" s="58"/>
      <c r="AG632" s="58"/>
      <c r="AH632" s="269"/>
      <c r="AI632" s="58"/>
      <c r="AJ632" s="58"/>
      <c r="AK632" s="58"/>
      <c r="AL632" s="58"/>
      <c r="AM632" s="58"/>
      <c r="AN632" s="59"/>
      <c r="AO632" s="58"/>
      <c r="AP632" s="58"/>
      <c r="AQ632" s="58"/>
      <c r="AR632" s="58"/>
      <c r="AS632" s="58"/>
      <c r="AT632" s="59"/>
      <c r="AU632" s="58"/>
      <c r="AV632" s="58"/>
      <c r="AW632" s="58"/>
      <c r="AX632" s="58"/>
      <c r="AY632" s="58"/>
      <c r="AZ632" s="59"/>
      <c r="BA632" s="58"/>
      <c r="BB632" s="58"/>
      <c r="BC632" s="58"/>
      <c r="BD632" s="58"/>
      <c r="BE632" s="58"/>
      <c r="BF632" s="59"/>
      <c r="BG632" s="58"/>
      <c r="BH632" s="58"/>
      <c r="BI632" s="58"/>
      <c r="BJ632" s="58"/>
      <c r="BK632" s="58"/>
      <c r="BL632" s="59"/>
      <c r="BM632" s="58"/>
      <c r="BN632" s="58"/>
      <c r="BO632" s="58"/>
      <c r="BP632" s="58"/>
      <c r="BQ632" s="58"/>
      <c r="BR632" s="58"/>
      <c r="BS632" s="58"/>
      <c r="BT632" s="58"/>
      <c r="BU632" s="58"/>
      <c r="BV632" s="58"/>
      <c r="BW632" s="58"/>
      <c r="BX632" s="58"/>
      <c r="BY632" s="58"/>
      <c r="BZ632" s="58"/>
      <c r="CA632" s="58"/>
      <c r="CB632" s="58"/>
      <c r="CC632" s="58"/>
      <c r="CD632" s="58"/>
      <c r="CE632" s="58"/>
      <c r="CF632" s="58"/>
      <c r="CG632" s="58"/>
      <c r="CH632" s="58"/>
      <c r="CI632" s="58"/>
      <c r="CJ632" s="58"/>
      <c r="CK632" s="58"/>
      <c r="CL632" s="58"/>
      <c r="CM632" s="58"/>
      <c r="CN632" s="58"/>
      <c r="CO632" s="58"/>
      <c r="CP632" s="58"/>
      <c r="CQ632" s="58"/>
      <c r="CR632" s="58"/>
      <c r="CS632" s="58"/>
      <c r="CT632" s="58"/>
      <c r="CU632" s="58"/>
    </row>
    <row r="633" spans="1:99" ht="15" thickBot="1" x14ac:dyDescent="0.4">
      <c r="A633" s="14"/>
      <c r="B633" s="14"/>
      <c r="C633" s="14"/>
      <c r="D633" s="14"/>
      <c r="E633" s="14"/>
      <c r="F633" s="14"/>
      <c r="G633" s="14"/>
      <c r="H633" s="14"/>
      <c r="I633" s="14"/>
      <c r="J633" s="41"/>
      <c r="L633" s="58"/>
      <c r="M633" s="58"/>
      <c r="N633" s="58"/>
      <c r="O633" s="58"/>
      <c r="P633" s="269"/>
      <c r="Q633" s="58"/>
      <c r="R633" s="58"/>
      <c r="S633" s="58"/>
      <c r="T633" s="58"/>
      <c r="U633" s="58"/>
      <c r="V633" s="269"/>
      <c r="W633" s="58"/>
      <c r="X633" s="58"/>
      <c r="Y633" s="58"/>
      <c r="Z633" s="58"/>
      <c r="AA633" s="58"/>
      <c r="AB633" s="269"/>
      <c r="AC633" s="58"/>
      <c r="AD633" s="58"/>
      <c r="AE633" s="58"/>
      <c r="AF633" s="58"/>
      <c r="AG633" s="58"/>
      <c r="AH633" s="269"/>
      <c r="AI633" s="58"/>
      <c r="AJ633" s="58"/>
      <c r="AK633" s="58"/>
      <c r="AL633" s="58"/>
      <c r="AM633" s="58"/>
      <c r="AN633" s="59"/>
      <c r="AO633" s="58"/>
      <c r="AP633" s="58"/>
      <c r="AQ633" s="58"/>
      <c r="AR633" s="58"/>
      <c r="AS633" s="58"/>
      <c r="AT633" s="59"/>
      <c r="AU633" s="58"/>
      <c r="AV633" s="58"/>
      <c r="AW633" s="58"/>
      <c r="AX633" s="58"/>
      <c r="AY633" s="58"/>
      <c r="AZ633" s="59"/>
      <c r="BA633" s="58"/>
      <c r="BB633" s="58"/>
      <c r="BC633" s="58"/>
      <c r="BD633" s="58"/>
      <c r="BE633" s="58"/>
      <c r="BF633" s="59"/>
      <c r="BG633" s="58"/>
      <c r="BH633" s="58"/>
      <c r="BI633" s="58"/>
      <c r="BJ633" s="58"/>
      <c r="BK633" s="58"/>
      <c r="BL633" s="59"/>
      <c r="BM633" s="58"/>
      <c r="BN633" s="58"/>
      <c r="BO633" s="58"/>
      <c r="BP633" s="58"/>
      <c r="BQ633" s="58"/>
      <c r="BR633" s="58"/>
      <c r="BS633" s="58"/>
      <c r="BT633" s="58"/>
      <c r="BU633" s="58"/>
      <c r="BV633" s="58"/>
      <c r="BW633" s="58"/>
      <c r="BX633" s="58"/>
      <c r="BY633" s="58"/>
      <c r="BZ633" s="58"/>
      <c r="CA633" s="58"/>
      <c r="CB633" s="58"/>
      <c r="CC633" s="58"/>
      <c r="CD633" s="58"/>
      <c r="CE633" s="58"/>
      <c r="CF633" s="58"/>
      <c r="CG633" s="58"/>
      <c r="CH633" s="58"/>
      <c r="CI633" s="58"/>
      <c r="CJ633" s="58"/>
      <c r="CK633" s="58"/>
      <c r="CL633" s="58"/>
      <c r="CM633" s="58"/>
      <c r="CN633" s="58"/>
      <c r="CO633" s="58"/>
      <c r="CP633" s="58"/>
      <c r="CQ633" s="58"/>
      <c r="CR633" s="58"/>
      <c r="CS633" s="58"/>
      <c r="CT633" s="58"/>
      <c r="CU633" s="58"/>
    </row>
    <row r="634" spans="1:99" ht="15" thickBot="1" x14ac:dyDescent="0.4">
      <c r="A634" s="14"/>
      <c r="B634" s="14"/>
      <c r="C634" s="14"/>
      <c r="D634" s="14"/>
      <c r="E634" s="14"/>
      <c r="F634" s="14"/>
      <c r="G634" s="14"/>
      <c r="H634" s="14"/>
      <c r="I634" s="14"/>
      <c r="J634" s="41"/>
      <c r="L634" s="58"/>
      <c r="M634" s="58"/>
      <c r="N634" s="58"/>
      <c r="O634" s="58"/>
      <c r="P634" s="269"/>
      <c r="Q634" s="58"/>
      <c r="R634" s="58"/>
      <c r="S634" s="58"/>
      <c r="T634" s="58"/>
      <c r="U634" s="58"/>
      <c r="V634" s="269"/>
      <c r="W634" s="58"/>
      <c r="X634" s="58"/>
      <c r="Y634" s="58"/>
      <c r="Z634" s="58"/>
      <c r="AA634" s="58"/>
      <c r="AB634" s="269"/>
      <c r="AC634" s="58"/>
      <c r="AD634" s="58"/>
      <c r="AE634" s="58"/>
      <c r="AF634" s="58"/>
      <c r="AG634" s="58"/>
      <c r="AH634" s="269"/>
      <c r="AI634" s="58"/>
      <c r="AJ634" s="58"/>
      <c r="AK634" s="58"/>
      <c r="AL634" s="58"/>
      <c r="AM634" s="58"/>
      <c r="AN634" s="59"/>
      <c r="AO634" s="58"/>
      <c r="AP634" s="58"/>
      <c r="AQ634" s="58"/>
      <c r="AR634" s="58"/>
      <c r="AS634" s="58"/>
      <c r="AT634" s="59"/>
      <c r="AU634" s="58"/>
      <c r="AV634" s="58"/>
      <c r="AW634" s="58"/>
      <c r="AX634" s="58"/>
      <c r="AY634" s="58"/>
      <c r="AZ634" s="59"/>
      <c r="BA634" s="58"/>
      <c r="BB634" s="58"/>
      <c r="BC634" s="58"/>
      <c r="BD634" s="58"/>
      <c r="BE634" s="58"/>
      <c r="BF634" s="59"/>
      <c r="BG634" s="58"/>
      <c r="BH634" s="58"/>
      <c r="BI634" s="58"/>
      <c r="BJ634" s="58"/>
      <c r="BK634" s="58"/>
      <c r="BL634" s="59"/>
      <c r="BM634" s="58"/>
      <c r="BN634" s="58"/>
      <c r="BO634" s="58"/>
      <c r="BP634" s="58"/>
      <c r="BQ634" s="58"/>
      <c r="BR634" s="58"/>
      <c r="BS634" s="58"/>
      <c r="BT634" s="58"/>
      <c r="BU634" s="58"/>
      <c r="BV634" s="58"/>
      <c r="BW634" s="58"/>
      <c r="BX634" s="58"/>
      <c r="BY634" s="58"/>
      <c r="BZ634" s="58"/>
      <c r="CA634" s="58"/>
      <c r="CB634" s="58"/>
      <c r="CC634" s="58"/>
      <c r="CD634" s="58"/>
      <c r="CE634" s="58"/>
      <c r="CF634" s="58"/>
      <c r="CG634" s="58"/>
      <c r="CH634" s="58"/>
      <c r="CI634" s="58"/>
      <c r="CJ634" s="58"/>
      <c r="CK634" s="58"/>
      <c r="CL634" s="58"/>
      <c r="CM634" s="58"/>
      <c r="CN634" s="58"/>
      <c r="CO634" s="58"/>
      <c r="CP634" s="58"/>
      <c r="CQ634" s="58"/>
      <c r="CR634" s="58"/>
      <c r="CS634" s="58"/>
      <c r="CT634" s="58"/>
      <c r="CU634" s="58"/>
    </row>
    <row r="635" spans="1:99" ht="15" thickBot="1" x14ac:dyDescent="0.4">
      <c r="A635" s="14"/>
      <c r="B635" s="14"/>
      <c r="C635" s="14"/>
      <c r="D635" s="14"/>
      <c r="E635" s="14"/>
      <c r="F635" s="14"/>
      <c r="G635" s="14"/>
      <c r="H635" s="14"/>
      <c r="I635" s="14"/>
      <c r="J635" s="41"/>
      <c r="L635" s="58"/>
      <c r="M635" s="58"/>
      <c r="N635" s="58"/>
      <c r="O635" s="58"/>
      <c r="P635" s="269"/>
      <c r="Q635" s="58"/>
      <c r="R635" s="58"/>
      <c r="S635" s="58"/>
      <c r="T635" s="58"/>
      <c r="U635" s="58"/>
      <c r="V635" s="269"/>
      <c r="W635" s="58"/>
      <c r="X635" s="58"/>
      <c r="Y635" s="58"/>
      <c r="Z635" s="58"/>
      <c r="AA635" s="58"/>
      <c r="AB635" s="269"/>
      <c r="AC635" s="58"/>
      <c r="AD635" s="58"/>
      <c r="AE635" s="58"/>
      <c r="AF635" s="58"/>
      <c r="AG635" s="58"/>
      <c r="AH635" s="269"/>
      <c r="AI635" s="58"/>
      <c r="AJ635" s="58"/>
      <c r="AK635" s="58"/>
      <c r="AL635" s="58"/>
      <c r="AM635" s="58"/>
      <c r="AN635" s="59"/>
      <c r="AO635" s="58"/>
      <c r="AP635" s="58"/>
      <c r="AQ635" s="58"/>
      <c r="AR635" s="58"/>
      <c r="AS635" s="58"/>
      <c r="AT635" s="59"/>
      <c r="AU635" s="58"/>
      <c r="AV635" s="58"/>
      <c r="AW635" s="58"/>
      <c r="AX635" s="58"/>
      <c r="AY635" s="58"/>
      <c r="AZ635" s="59"/>
      <c r="BA635" s="58"/>
      <c r="BB635" s="58"/>
      <c r="BC635" s="58"/>
      <c r="BD635" s="58"/>
      <c r="BE635" s="58"/>
      <c r="BF635" s="59"/>
      <c r="BG635" s="58"/>
      <c r="BH635" s="58"/>
      <c r="BI635" s="58"/>
      <c r="BJ635" s="58"/>
      <c r="BK635" s="58"/>
      <c r="BL635" s="59"/>
      <c r="BM635" s="58"/>
      <c r="BN635" s="58"/>
      <c r="BO635" s="58"/>
      <c r="BP635" s="58"/>
      <c r="BQ635" s="58"/>
      <c r="BR635" s="58"/>
      <c r="BS635" s="58"/>
      <c r="BT635" s="58"/>
      <c r="BU635" s="58"/>
      <c r="BV635" s="58"/>
      <c r="BW635" s="58"/>
      <c r="BX635" s="58"/>
      <c r="BY635" s="58"/>
      <c r="BZ635" s="58"/>
      <c r="CA635" s="58"/>
      <c r="CB635" s="58"/>
      <c r="CC635" s="58"/>
      <c r="CD635" s="58"/>
      <c r="CE635" s="58"/>
      <c r="CF635" s="58"/>
      <c r="CG635" s="58"/>
      <c r="CH635" s="58"/>
      <c r="CI635" s="58"/>
      <c r="CJ635" s="58"/>
      <c r="CK635" s="58"/>
      <c r="CL635" s="58"/>
      <c r="CM635" s="58"/>
      <c r="CN635" s="58"/>
      <c r="CO635" s="58"/>
      <c r="CP635" s="58"/>
      <c r="CQ635" s="58"/>
      <c r="CR635" s="58"/>
      <c r="CS635" s="58"/>
      <c r="CT635" s="58"/>
      <c r="CU635" s="58"/>
    </row>
    <row r="636" spans="1:99" ht="15" thickBot="1" x14ac:dyDescent="0.4">
      <c r="A636" s="14"/>
      <c r="B636" s="14"/>
      <c r="C636" s="14"/>
      <c r="D636" s="14"/>
      <c r="E636" s="14"/>
      <c r="F636" s="14"/>
      <c r="G636" s="14"/>
      <c r="H636" s="14"/>
      <c r="I636" s="14"/>
      <c r="J636" s="41"/>
      <c r="L636" s="58"/>
      <c r="M636" s="58"/>
      <c r="N636" s="58"/>
      <c r="O636" s="58"/>
      <c r="P636" s="269"/>
      <c r="Q636" s="58"/>
      <c r="R636" s="58"/>
      <c r="S636" s="58"/>
      <c r="T636" s="58"/>
      <c r="U636" s="58"/>
      <c r="V636" s="269"/>
      <c r="W636" s="58"/>
      <c r="X636" s="58"/>
      <c r="Y636" s="58"/>
      <c r="Z636" s="58"/>
      <c r="AA636" s="58"/>
      <c r="AB636" s="269"/>
      <c r="AC636" s="58"/>
      <c r="AD636" s="58"/>
      <c r="AE636" s="58"/>
      <c r="AF636" s="58"/>
      <c r="AG636" s="58"/>
      <c r="AH636" s="269"/>
      <c r="AI636" s="58"/>
      <c r="AJ636" s="58"/>
      <c r="AK636" s="58"/>
      <c r="AL636" s="58"/>
      <c r="AM636" s="58"/>
      <c r="AN636" s="59"/>
      <c r="AO636" s="58"/>
      <c r="AP636" s="58"/>
      <c r="AQ636" s="58"/>
      <c r="AR636" s="58"/>
      <c r="AS636" s="58"/>
      <c r="AT636" s="59"/>
      <c r="AU636" s="58"/>
      <c r="AV636" s="58"/>
      <c r="AW636" s="58"/>
      <c r="AX636" s="58"/>
      <c r="AY636" s="58"/>
      <c r="AZ636" s="59"/>
      <c r="BA636" s="58"/>
      <c r="BB636" s="58"/>
      <c r="BC636" s="58"/>
      <c r="BD636" s="58"/>
      <c r="BE636" s="58"/>
      <c r="BF636" s="59"/>
      <c r="BG636" s="58"/>
      <c r="BH636" s="58"/>
      <c r="BI636" s="58"/>
      <c r="BJ636" s="58"/>
      <c r="BK636" s="58"/>
      <c r="BL636" s="59"/>
      <c r="BM636" s="58"/>
      <c r="BN636" s="58"/>
      <c r="BO636" s="58"/>
      <c r="BP636" s="58"/>
      <c r="BQ636" s="58"/>
      <c r="BR636" s="58"/>
      <c r="BS636" s="58"/>
      <c r="BT636" s="58"/>
      <c r="BU636" s="58"/>
      <c r="BV636" s="58"/>
      <c r="BW636" s="58"/>
      <c r="BX636" s="58"/>
      <c r="BY636" s="58"/>
      <c r="BZ636" s="58"/>
      <c r="CA636" s="58"/>
      <c r="CB636" s="58"/>
      <c r="CC636" s="58"/>
      <c r="CD636" s="58"/>
      <c r="CE636" s="58"/>
      <c r="CF636" s="58"/>
      <c r="CG636" s="58"/>
      <c r="CH636" s="58"/>
      <c r="CI636" s="58"/>
      <c r="CJ636" s="58"/>
      <c r="CK636" s="58"/>
      <c r="CL636" s="58"/>
      <c r="CM636" s="58"/>
      <c r="CN636" s="58"/>
      <c r="CO636" s="58"/>
      <c r="CP636" s="58"/>
      <c r="CQ636" s="58"/>
      <c r="CR636" s="58"/>
      <c r="CS636" s="58"/>
      <c r="CT636" s="58"/>
      <c r="CU636" s="58"/>
    </row>
    <row r="637" spans="1:99" ht="15" thickBot="1" x14ac:dyDescent="0.4">
      <c r="A637" s="14"/>
      <c r="B637" s="14"/>
      <c r="C637" s="14"/>
      <c r="D637" s="14"/>
      <c r="E637" s="14"/>
      <c r="F637" s="14"/>
      <c r="G637" s="14"/>
      <c r="H637" s="14"/>
      <c r="I637" s="14"/>
      <c r="J637" s="41"/>
      <c r="L637" s="58"/>
      <c r="M637" s="58"/>
      <c r="N637" s="58"/>
      <c r="O637" s="58"/>
      <c r="P637" s="269"/>
      <c r="Q637" s="58"/>
      <c r="R637" s="58"/>
      <c r="S637" s="58"/>
      <c r="T637" s="58"/>
      <c r="U637" s="58"/>
      <c r="V637" s="269"/>
      <c r="W637" s="58"/>
      <c r="X637" s="58"/>
      <c r="Y637" s="58"/>
      <c r="Z637" s="58"/>
      <c r="AA637" s="58"/>
      <c r="AB637" s="269"/>
      <c r="AC637" s="58"/>
      <c r="AD637" s="58"/>
      <c r="AE637" s="58"/>
      <c r="AF637" s="58"/>
      <c r="AG637" s="58"/>
      <c r="AH637" s="269"/>
      <c r="AI637" s="58"/>
      <c r="AJ637" s="58"/>
      <c r="AK637" s="58"/>
      <c r="AL637" s="58"/>
      <c r="AM637" s="58"/>
      <c r="AN637" s="59"/>
      <c r="AO637" s="58"/>
      <c r="AP637" s="58"/>
      <c r="AQ637" s="58"/>
      <c r="AR637" s="58"/>
      <c r="AS637" s="58"/>
      <c r="AT637" s="59"/>
      <c r="AU637" s="58"/>
      <c r="AV637" s="58"/>
      <c r="AW637" s="58"/>
      <c r="AX637" s="58"/>
      <c r="AY637" s="58"/>
      <c r="AZ637" s="59"/>
      <c r="BA637" s="58"/>
      <c r="BB637" s="58"/>
      <c r="BC637" s="58"/>
      <c r="BD637" s="58"/>
      <c r="BE637" s="58"/>
      <c r="BF637" s="59"/>
      <c r="BG637" s="58"/>
      <c r="BH637" s="58"/>
      <c r="BI637" s="58"/>
      <c r="BJ637" s="58"/>
      <c r="BK637" s="58"/>
      <c r="BL637" s="59"/>
      <c r="BM637" s="58"/>
      <c r="BN637" s="58"/>
      <c r="BO637" s="58"/>
      <c r="BP637" s="58"/>
      <c r="BQ637" s="58"/>
      <c r="BR637" s="58"/>
      <c r="BS637" s="58"/>
      <c r="BT637" s="58"/>
      <c r="BU637" s="58"/>
      <c r="BV637" s="58"/>
      <c r="BW637" s="58"/>
      <c r="BX637" s="58"/>
      <c r="BY637" s="58"/>
      <c r="BZ637" s="58"/>
      <c r="CA637" s="58"/>
      <c r="CB637" s="58"/>
      <c r="CC637" s="58"/>
      <c r="CD637" s="58"/>
      <c r="CE637" s="58"/>
      <c r="CF637" s="58"/>
      <c r="CG637" s="58"/>
      <c r="CH637" s="58"/>
      <c r="CI637" s="58"/>
      <c r="CJ637" s="58"/>
      <c r="CK637" s="58"/>
      <c r="CL637" s="58"/>
      <c r="CM637" s="58"/>
      <c r="CN637" s="58"/>
      <c r="CO637" s="58"/>
      <c r="CP637" s="58"/>
      <c r="CQ637" s="58"/>
      <c r="CR637" s="58"/>
      <c r="CS637" s="58"/>
      <c r="CT637" s="58"/>
      <c r="CU637" s="58"/>
    </row>
    <row r="638" spans="1:99" ht="15" thickBot="1" x14ac:dyDescent="0.4">
      <c r="A638" s="14"/>
      <c r="B638" s="14"/>
      <c r="C638" s="14"/>
      <c r="D638" s="14"/>
      <c r="E638" s="14"/>
      <c r="F638" s="14"/>
      <c r="G638" s="14"/>
      <c r="H638" s="14"/>
      <c r="I638" s="14"/>
      <c r="J638" s="41"/>
      <c r="L638" s="58"/>
      <c r="M638" s="58"/>
      <c r="N638" s="58"/>
      <c r="O638" s="58"/>
      <c r="P638" s="269"/>
      <c r="Q638" s="58"/>
      <c r="R638" s="58"/>
      <c r="S638" s="58"/>
      <c r="T638" s="58"/>
      <c r="U638" s="58"/>
      <c r="V638" s="269"/>
      <c r="W638" s="58"/>
      <c r="X638" s="58"/>
      <c r="Y638" s="58"/>
      <c r="Z638" s="58"/>
      <c r="AA638" s="58"/>
      <c r="AB638" s="269"/>
      <c r="AC638" s="58"/>
      <c r="AD638" s="58"/>
      <c r="AE638" s="58"/>
      <c r="AF638" s="58"/>
      <c r="AG638" s="58"/>
      <c r="AH638" s="269"/>
      <c r="AI638" s="58"/>
      <c r="AJ638" s="58"/>
      <c r="AK638" s="58"/>
      <c r="AL638" s="58"/>
      <c r="AM638" s="58"/>
      <c r="AN638" s="59"/>
      <c r="AO638" s="58"/>
      <c r="AP638" s="58"/>
      <c r="AQ638" s="58"/>
      <c r="AR638" s="58"/>
      <c r="AS638" s="58"/>
      <c r="AT638" s="59"/>
      <c r="AU638" s="58"/>
      <c r="AV638" s="58"/>
      <c r="AW638" s="58"/>
      <c r="AX638" s="58"/>
      <c r="AY638" s="58"/>
      <c r="AZ638" s="59"/>
      <c r="BA638" s="58"/>
      <c r="BB638" s="58"/>
      <c r="BC638" s="58"/>
      <c r="BD638" s="58"/>
      <c r="BE638" s="58"/>
      <c r="BF638" s="59"/>
      <c r="BG638" s="58"/>
      <c r="BH638" s="58"/>
      <c r="BI638" s="58"/>
      <c r="BJ638" s="58"/>
      <c r="BK638" s="58"/>
      <c r="BL638" s="59"/>
      <c r="BM638" s="58"/>
      <c r="BN638" s="58"/>
      <c r="BO638" s="58"/>
      <c r="BP638" s="58"/>
      <c r="BQ638" s="58"/>
      <c r="BR638" s="58"/>
      <c r="BS638" s="58"/>
      <c r="BT638" s="58"/>
      <c r="BU638" s="58"/>
      <c r="BV638" s="58"/>
      <c r="BW638" s="58"/>
      <c r="BX638" s="58"/>
      <c r="BY638" s="58"/>
      <c r="BZ638" s="58"/>
      <c r="CA638" s="58"/>
      <c r="CB638" s="58"/>
      <c r="CC638" s="58"/>
      <c r="CD638" s="58"/>
      <c r="CE638" s="58"/>
      <c r="CF638" s="58"/>
      <c r="CG638" s="58"/>
      <c r="CH638" s="58"/>
      <c r="CI638" s="58"/>
      <c r="CJ638" s="58"/>
      <c r="CK638" s="58"/>
      <c r="CL638" s="58"/>
      <c r="CM638" s="58"/>
      <c r="CN638" s="58"/>
      <c r="CO638" s="58"/>
      <c r="CP638" s="58"/>
      <c r="CQ638" s="58"/>
      <c r="CR638" s="58"/>
      <c r="CS638" s="58"/>
      <c r="CT638" s="58"/>
      <c r="CU638" s="58"/>
    </row>
    <row r="639" spans="1:99" ht="15" thickBot="1" x14ac:dyDescent="0.4">
      <c r="A639" s="14"/>
      <c r="B639" s="14"/>
      <c r="C639" s="14"/>
      <c r="D639" s="14"/>
      <c r="E639" s="14"/>
      <c r="F639" s="14"/>
      <c r="G639" s="14"/>
      <c r="H639" s="14"/>
      <c r="I639" s="14"/>
      <c r="J639" s="41"/>
      <c r="L639" s="58"/>
      <c r="M639" s="58"/>
      <c r="N639" s="58"/>
      <c r="O639" s="58"/>
      <c r="P639" s="269"/>
      <c r="Q639" s="58"/>
      <c r="R639" s="58"/>
      <c r="S639" s="58"/>
      <c r="T639" s="58"/>
      <c r="U639" s="58"/>
      <c r="V639" s="269"/>
      <c r="W639" s="58"/>
      <c r="X639" s="58"/>
      <c r="Y639" s="58"/>
      <c r="Z639" s="58"/>
      <c r="AA639" s="58"/>
      <c r="AB639" s="269"/>
      <c r="AC639" s="58"/>
      <c r="AD639" s="58"/>
      <c r="AE639" s="58"/>
      <c r="AF639" s="58"/>
      <c r="AG639" s="58"/>
      <c r="AH639" s="269"/>
      <c r="AI639" s="58"/>
      <c r="AJ639" s="58"/>
      <c r="AK639" s="58"/>
      <c r="AL639" s="58"/>
      <c r="AM639" s="58"/>
      <c r="AN639" s="59"/>
      <c r="AO639" s="58"/>
      <c r="AP639" s="58"/>
      <c r="AQ639" s="58"/>
      <c r="AR639" s="58"/>
      <c r="AS639" s="58"/>
      <c r="AT639" s="59"/>
      <c r="AU639" s="58"/>
      <c r="AV639" s="58"/>
      <c r="AW639" s="58"/>
      <c r="AX639" s="58"/>
      <c r="AY639" s="58"/>
      <c r="AZ639" s="59"/>
      <c r="BA639" s="58"/>
      <c r="BB639" s="58"/>
      <c r="BC639" s="58"/>
      <c r="BD639" s="58"/>
      <c r="BE639" s="58"/>
      <c r="BF639" s="59"/>
      <c r="BG639" s="58"/>
      <c r="BH639" s="58"/>
      <c r="BI639" s="58"/>
      <c r="BJ639" s="58"/>
      <c r="BK639" s="58"/>
      <c r="BL639" s="59"/>
      <c r="BM639" s="58"/>
      <c r="BN639" s="58"/>
      <c r="BO639" s="58"/>
      <c r="BP639" s="58"/>
      <c r="BQ639" s="58"/>
      <c r="BR639" s="58"/>
      <c r="BS639" s="58"/>
      <c r="BT639" s="58"/>
      <c r="BU639" s="58"/>
      <c r="BV639" s="58"/>
      <c r="BW639" s="58"/>
      <c r="BX639" s="58"/>
      <c r="BY639" s="58"/>
      <c r="BZ639" s="58"/>
      <c r="CA639" s="58"/>
      <c r="CB639" s="58"/>
      <c r="CC639" s="58"/>
      <c r="CD639" s="58"/>
      <c r="CE639" s="58"/>
      <c r="CF639" s="58"/>
      <c r="CG639" s="58"/>
      <c r="CH639" s="58"/>
      <c r="CI639" s="58"/>
      <c r="CJ639" s="58"/>
      <c r="CK639" s="58"/>
      <c r="CL639" s="58"/>
      <c r="CM639" s="58"/>
      <c r="CN639" s="58"/>
      <c r="CO639" s="58"/>
      <c r="CP639" s="58"/>
      <c r="CQ639" s="58"/>
      <c r="CR639" s="58"/>
      <c r="CS639" s="58"/>
      <c r="CT639" s="58"/>
      <c r="CU639" s="58"/>
    </row>
    <row r="640" spans="1:99" ht="15" thickBot="1" x14ac:dyDescent="0.4">
      <c r="A640" s="14"/>
      <c r="B640" s="14"/>
      <c r="C640" s="14"/>
      <c r="D640" s="14"/>
      <c r="E640" s="14"/>
      <c r="F640" s="14"/>
      <c r="G640" s="14"/>
      <c r="H640" s="14"/>
      <c r="I640" s="14"/>
      <c r="J640" s="41"/>
      <c r="L640" s="58"/>
      <c r="M640" s="58"/>
      <c r="N640" s="58"/>
      <c r="O640" s="58"/>
      <c r="P640" s="269"/>
      <c r="Q640" s="58"/>
      <c r="R640" s="58"/>
      <c r="S640" s="58"/>
      <c r="T640" s="58"/>
      <c r="U640" s="58"/>
      <c r="V640" s="269"/>
      <c r="W640" s="58"/>
      <c r="X640" s="58"/>
      <c r="Y640" s="58"/>
      <c r="Z640" s="58"/>
      <c r="AA640" s="58"/>
      <c r="AB640" s="269"/>
      <c r="AC640" s="58"/>
      <c r="AD640" s="58"/>
      <c r="AE640" s="58"/>
      <c r="AF640" s="58"/>
      <c r="AG640" s="58"/>
      <c r="AH640" s="269"/>
      <c r="AI640" s="58"/>
      <c r="AJ640" s="58"/>
      <c r="AK640" s="58"/>
      <c r="AL640" s="58"/>
      <c r="AM640" s="58"/>
      <c r="AN640" s="59"/>
      <c r="AO640" s="58"/>
      <c r="AP640" s="58"/>
      <c r="AQ640" s="58"/>
      <c r="AR640" s="58"/>
      <c r="AS640" s="58"/>
      <c r="AT640" s="59"/>
      <c r="AU640" s="58"/>
      <c r="AV640" s="58"/>
      <c r="AW640" s="58"/>
      <c r="AX640" s="58"/>
      <c r="AY640" s="58"/>
      <c r="AZ640" s="59"/>
      <c r="BA640" s="58"/>
      <c r="BB640" s="58"/>
      <c r="BC640" s="58"/>
      <c r="BD640" s="58"/>
      <c r="BE640" s="58"/>
      <c r="BF640" s="59"/>
      <c r="BG640" s="58"/>
      <c r="BH640" s="58"/>
      <c r="BI640" s="58"/>
      <c r="BJ640" s="58"/>
      <c r="BK640" s="58"/>
      <c r="BL640" s="59"/>
      <c r="BM640" s="58"/>
      <c r="BN640" s="58"/>
      <c r="BO640" s="58"/>
      <c r="BP640" s="58"/>
      <c r="BQ640" s="58"/>
      <c r="BR640" s="58"/>
      <c r="BS640" s="58"/>
      <c r="BT640" s="58"/>
      <c r="BU640" s="58"/>
      <c r="BV640" s="58"/>
      <c r="BW640" s="58"/>
      <c r="BX640" s="58"/>
      <c r="BY640" s="58"/>
      <c r="BZ640" s="58"/>
      <c r="CA640" s="58"/>
      <c r="CB640" s="58"/>
      <c r="CC640" s="58"/>
      <c r="CD640" s="58"/>
      <c r="CE640" s="58"/>
      <c r="CF640" s="58"/>
      <c r="CG640" s="58"/>
      <c r="CH640" s="58"/>
      <c r="CI640" s="58"/>
      <c r="CJ640" s="58"/>
      <c r="CK640" s="58"/>
      <c r="CL640" s="58"/>
      <c r="CM640" s="58"/>
      <c r="CN640" s="58"/>
      <c r="CO640" s="58"/>
      <c r="CP640" s="58"/>
      <c r="CQ640" s="58"/>
      <c r="CR640" s="58"/>
      <c r="CS640" s="58"/>
      <c r="CT640" s="58"/>
      <c r="CU640" s="58"/>
    </row>
    <row r="641" spans="1:99" ht="15" thickBot="1" x14ac:dyDescent="0.4">
      <c r="A641" s="14"/>
      <c r="B641" s="14"/>
      <c r="C641" s="14"/>
      <c r="D641" s="14"/>
      <c r="E641" s="14"/>
      <c r="F641" s="14"/>
      <c r="G641" s="14"/>
      <c r="H641" s="14"/>
      <c r="I641" s="14"/>
      <c r="J641" s="41"/>
      <c r="L641" s="58"/>
      <c r="M641" s="58"/>
      <c r="N641" s="58"/>
      <c r="O641" s="58"/>
      <c r="P641" s="269"/>
      <c r="Q641" s="58"/>
      <c r="R641" s="58"/>
      <c r="S641" s="58"/>
      <c r="T641" s="58"/>
      <c r="U641" s="58"/>
      <c r="V641" s="269"/>
      <c r="W641" s="58"/>
      <c r="X641" s="58"/>
      <c r="Y641" s="58"/>
      <c r="Z641" s="58"/>
      <c r="AA641" s="58"/>
      <c r="AB641" s="269"/>
      <c r="AC641" s="58"/>
      <c r="AD641" s="58"/>
      <c r="AE641" s="58"/>
      <c r="AF641" s="58"/>
      <c r="AG641" s="58"/>
      <c r="AH641" s="269"/>
      <c r="AI641" s="58"/>
      <c r="AJ641" s="58"/>
      <c r="AK641" s="58"/>
      <c r="AL641" s="58"/>
      <c r="AM641" s="58"/>
      <c r="AN641" s="59"/>
      <c r="AO641" s="58"/>
      <c r="AP641" s="58"/>
      <c r="AQ641" s="58"/>
      <c r="AR641" s="58"/>
      <c r="AS641" s="58"/>
      <c r="AT641" s="59"/>
      <c r="AU641" s="58"/>
      <c r="AV641" s="58"/>
      <c r="AW641" s="58"/>
      <c r="AX641" s="58"/>
      <c r="AY641" s="58"/>
      <c r="AZ641" s="59"/>
      <c r="BA641" s="58"/>
      <c r="BB641" s="58"/>
      <c r="BC641" s="58"/>
      <c r="BD641" s="58"/>
      <c r="BE641" s="58"/>
      <c r="BF641" s="59"/>
      <c r="BG641" s="58"/>
      <c r="BH641" s="58"/>
      <c r="BI641" s="58"/>
      <c r="BJ641" s="58"/>
      <c r="BK641" s="58"/>
      <c r="BL641" s="59"/>
      <c r="BM641" s="58"/>
      <c r="BN641" s="58"/>
      <c r="BO641" s="58"/>
      <c r="BP641" s="58"/>
      <c r="BQ641" s="58"/>
      <c r="BR641" s="58"/>
      <c r="BS641" s="58"/>
      <c r="BT641" s="58"/>
      <c r="BU641" s="58"/>
      <c r="BV641" s="58"/>
      <c r="BW641" s="58"/>
      <c r="BX641" s="58"/>
      <c r="BY641" s="58"/>
      <c r="BZ641" s="58"/>
      <c r="CA641" s="58"/>
      <c r="CB641" s="58"/>
      <c r="CC641" s="58"/>
      <c r="CD641" s="58"/>
      <c r="CE641" s="58"/>
      <c r="CF641" s="58"/>
      <c r="CG641" s="58"/>
      <c r="CH641" s="58"/>
      <c r="CI641" s="58"/>
      <c r="CJ641" s="58"/>
      <c r="CK641" s="58"/>
      <c r="CL641" s="58"/>
      <c r="CM641" s="58"/>
      <c r="CN641" s="58"/>
      <c r="CO641" s="58"/>
      <c r="CP641" s="58"/>
      <c r="CQ641" s="58"/>
      <c r="CR641" s="58"/>
      <c r="CS641" s="58"/>
      <c r="CT641" s="58"/>
      <c r="CU641" s="58"/>
    </row>
    <row r="642" spans="1:99" ht="15" thickBot="1" x14ac:dyDescent="0.4">
      <c r="A642" s="14"/>
      <c r="B642" s="14"/>
      <c r="C642" s="14"/>
      <c r="D642" s="14"/>
      <c r="E642" s="14"/>
      <c r="F642" s="14"/>
      <c r="G642" s="14"/>
      <c r="H642" s="14"/>
      <c r="I642" s="14"/>
      <c r="J642" s="41"/>
      <c r="L642" s="58"/>
      <c r="M642" s="58"/>
      <c r="N642" s="58"/>
      <c r="O642" s="58"/>
      <c r="P642" s="269"/>
      <c r="Q642" s="58"/>
      <c r="R642" s="58"/>
      <c r="S642" s="58"/>
      <c r="T642" s="58"/>
      <c r="U642" s="58"/>
      <c r="V642" s="269"/>
      <c r="W642" s="58"/>
      <c r="X642" s="58"/>
      <c r="Y642" s="58"/>
      <c r="Z642" s="58"/>
      <c r="AA642" s="58"/>
      <c r="AB642" s="269"/>
      <c r="AC642" s="58"/>
      <c r="AD642" s="58"/>
      <c r="AE642" s="58"/>
      <c r="AF642" s="58"/>
      <c r="AG642" s="58"/>
      <c r="AH642" s="269"/>
      <c r="AI642" s="58"/>
      <c r="AJ642" s="58"/>
      <c r="AK642" s="58"/>
      <c r="AL642" s="58"/>
      <c r="AM642" s="58"/>
      <c r="AN642" s="59"/>
      <c r="AO642" s="58"/>
      <c r="AP642" s="58"/>
      <c r="AQ642" s="58"/>
      <c r="AR642" s="58"/>
      <c r="AS642" s="58"/>
      <c r="AT642" s="59"/>
      <c r="AU642" s="58"/>
      <c r="AV642" s="58"/>
      <c r="AW642" s="58"/>
      <c r="AX642" s="58"/>
      <c r="AY642" s="58"/>
      <c r="AZ642" s="59"/>
      <c r="BA642" s="58"/>
      <c r="BB642" s="58"/>
      <c r="BC642" s="58"/>
      <c r="BD642" s="58"/>
      <c r="BE642" s="58"/>
      <c r="BF642" s="59"/>
      <c r="BG642" s="58"/>
      <c r="BH642" s="58"/>
      <c r="BI642" s="58"/>
      <c r="BJ642" s="58"/>
      <c r="BK642" s="58"/>
      <c r="BL642" s="59"/>
      <c r="BM642" s="58"/>
      <c r="BN642" s="58"/>
      <c r="BO642" s="58"/>
      <c r="BP642" s="58"/>
      <c r="BQ642" s="58"/>
      <c r="BR642" s="58"/>
      <c r="BS642" s="58"/>
      <c r="BT642" s="58"/>
      <c r="BU642" s="58"/>
      <c r="BV642" s="58"/>
      <c r="BW642" s="58"/>
      <c r="BX642" s="58"/>
      <c r="BY642" s="58"/>
      <c r="BZ642" s="58"/>
      <c r="CA642" s="58"/>
      <c r="CB642" s="58"/>
      <c r="CC642" s="58"/>
      <c r="CD642" s="58"/>
      <c r="CE642" s="58"/>
      <c r="CF642" s="58"/>
      <c r="CG642" s="58"/>
      <c r="CH642" s="58"/>
      <c r="CI642" s="58"/>
      <c r="CJ642" s="58"/>
      <c r="CK642" s="58"/>
      <c r="CL642" s="58"/>
      <c r="CM642" s="58"/>
      <c r="CN642" s="58"/>
      <c r="CO642" s="58"/>
      <c r="CP642" s="58"/>
      <c r="CQ642" s="58"/>
      <c r="CR642" s="58"/>
      <c r="CS642" s="58"/>
      <c r="CT642" s="58"/>
      <c r="CU642" s="58"/>
    </row>
    <row r="643" spans="1:99" ht="15" thickBot="1" x14ac:dyDescent="0.4">
      <c r="A643" s="14"/>
      <c r="B643" s="14"/>
      <c r="C643" s="14"/>
      <c r="D643" s="14"/>
      <c r="E643" s="14"/>
      <c r="F643" s="14"/>
      <c r="G643" s="14"/>
      <c r="H643" s="14"/>
      <c r="I643" s="14"/>
      <c r="J643" s="41"/>
      <c r="L643" s="58"/>
      <c r="M643" s="58"/>
      <c r="N643" s="58"/>
      <c r="O643" s="58"/>
      <c r="P643" s="269"/>
      <c r="Q643" s="58"/>
      <c r="R643" s="58"/>
      <c r="S643" s="58"/>
      <c r="T643" s="58"/>
      <c r="U643" s="58"/>
      <c r="V643" s="269"/>
      <c r="W643" s="58"/>
      <c r="X643" s="58"/>
      <c r="Y643" s="58"/>
      <c r="Z643" s="58"/>
      <c r="AA643" s="58"/>
      <c r="AB643" s="269"/>
      <c r="AC643" s="58"/>
      <c r="AD643" s="58"/>
      <c r="AE643" s="58"/>
      <c r="AF643" s="58"/>
      <c r="AG643" s="58"/>
      <c r="AH643" s="269"/>
      <c r="AI643" s="58"/>
      <c r="AJ643" s="58"/>
      <c r="AK643" s="58"/>
      <c r="AL643" s="58"/>
      <c r="AM643" s="58"/>
      <c r="AN643" s="59"/>
      <c r="AO643" s="58"/>
      <c r="AP643" s="58"/>
      <c r="AQ643" s="58"/>
      <c r="AR643" s="58"/>
      <c r="AS643" s="58"/>
      <c r="AT643" s="59"/>
      <c r="AU643" s="58"/>
      <c r="AV643" s="58"/>
      <c r="AW643" s="58"/>
      <c r="AX643" s="58"/>
      <c r="AY643" s="58"/>
      <c r="AZ643" s="59"/>
      <c r="BA643" s="58"/>
      <c r="BB643" s="58"/>
      <c r="BC643" s="58"/>
      <c r="BD643" s="58"/>
      <c r="BE643" s="58"/>
      <c r="BF643" s="59"/>
      <c r="BG643" s="58"/>
      <c r="BH643" s="58"/>
      <c r="BI643" s="58"/>
      <c r="BJ643" s="58"/>
      <c r="BK643" s="58"/>
      <c r="BL643" s="59"/>
      <c r="BM643" s="58"/>
      <c r="BN643" s="58"/>
      <c r="BO643" s="58"/>
      <c r="BP643" s="58"/>
      <c r="BQ643" s="58"/>
      <c r="BR643" s="58"/>
      <c r="BS643" s="58"/>
      <c r="BT643" s="58"/>
      <c r="BU643" s="58"/>
      <c r="BV643" s="58"/>
      <c r="BW643" s="58"/>
      <c r="BX643" s="58"/>
      <c r="BY643" s="58"/>
      <c r="BZ643" s="58"/>
      <c r="CA643" s="58"/>
      <c r="CB643" s="58"/>
      <c r="CC643" s="58"/>
      <c r="CD643" s="58"/>
      <c r="CE643" s="58"/>
      <c r="CF643" s="58"/>
      <c r="CG643" s="58"/>
      <c r="CH643" s="58"/>
      <c r="CI643" s="58"/>
      <c r="CJ643" s="58"/>
      <c r="CK643" s="58"/>
      <c r="CL643" s="58"/>
      <c r="CM643" s="58"/>
      <c r="CN643" s="58"/>
      <c r="CO643" s="58"/>
      <c r="CP643" s="58"/>
      <c r="CQ643" s="58"/>
      <c r="CR643" s="58"/>
      <c r="CS643" s="58"/>
      <c r="CT643" s="58"/>
      <c r="CU643" s="58"/>
    </row>
    <row r="644" spans="1:99" ht="15" thickBot="1" x14ac:dyDescent="0.4">
      <c r="A644" s="14"/>
      <c r="B644" s="14"/>
      <c r="C644" s="14"/>
      <c r="D644" s="14"/>
      <c r="E644" s="14"/>
      <c r="F644" s="14"/>
      <c r="G644" s="14"/>
      <c r="H644" s="14"/>
      <c r="I644" s="14"/>
      <c r="J644" s="41"/>
      <c r="L644" s="58"/>
      <c r="M644" s="58"/>
      <c r="N644" s="58"/>
      <c r="O644" s="58"/>
      <c r="P644" s="269"/>
      <c r="Q644" s="58"/>
      <c r="R644" s="58"/>
      <c r="S644" s="58"/>
      <c r="T644" s="58"/>
      <c r="U644" s="58"/>
      <c r="V644" s="269"/>
      <c r="W644" s="58"/>
      <c r="X644" s="58"/>
      <c r="Y644" s="58"/>
      <c r="Z644" s="58"/>
      <c r="AA644" s="58"/>
      <c r="AB644" s="269"/>
      <c r="AC644" s="58"/>
      <c r="AD644" s="58"/>
      <c r="AE644" s="58"/>
      <c r="AF644" s="58"/>
      <c r="AG644" s="58"/>
      <c r="AH644" s="269"/>
      <c r="AI644" s="58"/>
      <c r="AJ644" s="58"/>
      <c r="AK644" s="58"/>
      <c r="AL644" s="58"/>
      <c r="AM644" s="58"/>
      <c r="AN644" s="59"/>
      <c r="AO644" s="58"/>
      <c r="AP644" s="58"/>
      <c r="AQ644" s="58"/>
      <c r="AR644" s="58"/>
      <c r="AS644" s="58"/>
      <c r="AT644" s="59"/>
      <c r="AU644" s="58"/>
      <c r="AV644" s="58"/>
      <c r="AW644" s="58"/>
      <c r="AX644" s="58"/>
      <c r="AY644" s="58"/>
      <c r="AZ644" s="59"/>
      <c r="BA644" s="58"/>
      <c r="BB644" s="58"/>
      <c r="BC644" s="58"/>
      <c r="BD644" s="58"/>
      <c r="BE644" s="58"/>
      <c r="BF644" s="59"/>
      <c r="BG644" s="58"/>
      <c r="BH644" s="58"/>
      <c r="BI644" s="58"/>
      <c r="BJ644" s="58"/>
      <c r="BK644" s="58"/>
      <c r="BL644" s="59"/>
      <c r="BM644" s="58"/>
      <c r="BN644" s="58"/>
      <c r="BO644" s="58"/>
      <c r="BP644" s="58"/>
      <c r="BQ644" s="58"/>
      <c r="BR644" s="58"/>
      <c r="BS644" s="58"/>
      <c r="BT644" s="58"/>
      <c r="BU644" s="58"/>
      <c r="BV644" s="58"/>
      <c r="BW644" s="58"/>
      <c r="BX644" s="58"/>
      <c r="BY644" s="58"/>
      <c r="BZ644" s="58"/>
      <c r="CA644" s="58"/>
      <c r="CB644" s="58"/>
      <c r="CC644" s="58"/>
      <c r="CD644" s="58"/>
      <c r="CE644" s="58"/>
      <c r="CF644" s="58"/>
      <c r="CG644" s="58"/>
      <c r="CH644" s="58"/>
      <c r="CI644" s="58"/>
      <c r="CJ644" s="58"/>
      <c r="CK644" s="58"/>
      <c r="CL644" s="58"/>
      <c r="CM644" s="58"/>
      <c r="CN644" s="58"/>
      <c r="CO644" s="58"/>
      <c r="CP644" s="58"/>
      <c r="CQ644" s="58"/>
      <c r="CR644" s="58"/>
      <c r="CS644" s="58"/>
      <c r="CT644" s="58"/>
      <c r="CU644" s="58"/>
    </row>
    <row r="645" spans="1:99" ht="15" thickBot="1" x14ac:dyDescent="0.4">
      <c r="A645" s="14"/>
      <c r="B645" s="14"/>
      <c r="C645" s="14"/>
      <c r="D645" s="14"/>
      <c r="E645" s="14"/>
      <c r="F645" s="14"/>
      <c r="G645" s="14"/>
      <c r="H645" s="14"/>
      <c r="I645" s="14"/>
      <c r="J645" s="41"/>
      <c r="L645" s="58"/>
      <c r="M645" s="58"/>
      <c r="N645" s="58"/>
      <c r="O645" s="58"/>
      <c r="P645" s="269"/>
      <c r="Q645" s="58"/>
      <c r="R645" s="58"/>
      <c r="S645" s="58"/>
      <c r="T645" s="58"/>
      <c r="U645" s="58"/>
      <c r="V645" s="269"/>
      <c r="W645" s="58"/>
      <c r="X645" s="58"/>
      <c r="Y645" s="58"/>
      <c r="Z645" s="58"/>
      <c r="AA645" s="58"/>
      <c r="AB645" s="269"/>
      <c r="AC645" s="58"/>
      <c r="AD645" s="58"/>
      <c r="AE645" s="58"/>
      <c r="AF645" s="58"/>
      <c r="AG645" s="58"/>
      <c r="AH645" s="269"/>
      <c r="AI645" s="58"/>
      <c r="AJ645" s="58"/>
      <c r="AK645" s="58"/>
      <c r="AL645" s="58"/>
      <c r="AM645" s="58"/>
      <c r="AN645" s="59"/>
      <c r="AO645" s="58"/>
      <c r="AP645" s="58"/>
      <c r="AQ645" s="58"/>
      <c r="AR645" s="58"/>
      <c r="AS645" s="58"/>
      <c r="AT645" s="59"/>
      <c r="AU645" s="58"/>
      <c r="AV645" s="58"/>
      <c r="AW645" s="58"/>
      <c r="AX645" s="58"/>
      <c r="AY645" s="58"/>
      <c r="AZ645" s="59"/>
      <c r="BA645" s="58"/>
      <c r="BB645" s="58"/>
      <c r="BC645" s="58"/>
      <c r="BD645" s="58"/>
      <c r="BE645" s="58"/>
      <c r="BF645" s="59"/>
      <c r="BG645" s="58"/>
      <c r="BH645" s="58"/>
      <c r="BI645" s="58"/>
      <c r="BJ645" s="58"/>
      <c r="BK645" s="58"/>
      <c r="BL645" s="59"/>
      <c r="BM645" s="58"/>
      <c r="BN645" s="58"/>
      <c r="BO645" s="58"/>
      <c r="BP645" s="58"/>
      <c r="BQ645" s="58"/>
      <c r="BR645" s="58"/>
      <c r="BS645" s="58"/>
      <c r="BT645" s="58"/>
      <c r="BU645" s="58"/>
      <c r="BV645" s="58"/>
      <c r="BW645" s="58"/>
      <c r="BX645" s="58"/>
      <c r="BY645" s="58"/>
      <c r="BZ645" s="58"/>
      <c r="CA645" s="58"/>
      <c r="CB645" s="58"/>
      <c r="CC645" s="58"/>
      <c r="CD645" s="58"/>
      <c r="CE645" s="58"/>
      <c r="CF645" s="58"/>
      <c r="CG645" s="58"/>
      <c r="CH645" s="58"/>
      <c r="CI645" s="58"/>
      <c r="CJ645" s="58"/>
      <c r="CK645" s="58"/>
      <c r="CL645" s="58"/>
      <c r="CM645" s="58"/>
      <c r="CN645" s="58"/>
      <c r="CO645" s="58"/>
      <c r="CP645" s="58"/>
      <c r="CQ645" s="58"/>
      <c r="CR645" s="58"/>
      <c r="CS645" s="58"/>
      <c r="CT645" s="58"/>
      <c r="CU645" s="58"/>
    </row>
    <row r="646" spans="1:99" ht="15" thickBot="1" x14ac:dyDescent="0.4">
      <c r="A646" s="14"/>
      <c r="B646" s="14"/>
      <c r="C646" s="14"/>
      <c r="D646" s="14"/>
      <c r="E646" s="14"/>
      <c r="F646" s="14"/>
      <c r="G646" s="14"/>
      <c r="H646" s="14"/>
      <c r="I646" s="14"/>
      <c r="J646" s="41"/>
      <c r="L646" s="58"/>
      <c r="M646" s="58"/>
      <c r="N646" s="58"/>
      <c r="O646" s="58"/>
      <c r="P646" s="269"/>
      <c r="Q646" s="58"/>
      <c r="R646" s="58"/>
      <c r="S646" s="58"/>
      <c r="T646" s="58"/>
      <c r="U646" s="58"/>
      <c r="V646" s="269"/>
      <c r="W646" s="58"/>
      <c r="X646" s="58"/>
      <c r="Y646" s="58"/>
      <c r="Z646" s="58"/>
      <c r="AA646" s="58"/>
      <c r="AB646" s="269"/>
      <c r="AC646" s="58"/>
      <c r="AD646" s="58"/>
      <c r="AE646" s="58"/>
      <c r="AF646" s="58"/>
      <c r="AG646" s="58"/>
      <c r="AH646" s="269"/>
      <c r="AI646" s="58"/>
      <c r="AJ646" s="58"/>
      <c r="AK646" s="58"/>
      <c r="AL646" s="58"/>
      <c r="AM646" s="58"/>
      <c r="AN646" s="59"/>
      <c r="AO646" s="58"/>
      <c r="AP646" s="58"/>
      <c r="AQ646" s="58"/>
      <c r="AR646" s="58"/>
      <c r="AS646" s="58"/>
      <c r="AT646" s="59"/>
      <c r="AU646" s="58"/>
      <c r="AV646" s="58"/>
      <c r="AW646" s="58"/>
      <c r="AX646" s="58"/>
      <c r="AY646" s="58"/>
      <c r="AZ646" s="59"/>
      <c r="BA646" s="58"/>
      <c r="BB646" s="58"/>
      <c r="BC646" s="58"/>
      <c r="BD646" s="58"/>
      <c r="BE646" s="58"/>
      <c r="BF646" s="59"/>
      <c r="BG646" s="58"/>
      <c r="BH646" s="58"/>
      <c r="BI646" s="58"/>
      <c r="BJ646" s="58"/>
      <c r="BK646" s="58"/>
      <c r="BL646" s="59"/>
      <c r="BM646" s="58"/>
      <c r="BN646" s="58"/>
      <c r="BO646" s="58"/>
      <c r="BP646" s="58"/>
      <c r="BQ646" s="58"/>
      <c r="BR646" s="58"/>
      <c r="BS646" s="58"/>
      <c r="BT646" s="58"/>
      <c r="BU646" s="58"/>
      <c r="BV646" s="58"/>
      <c r="BW646" s="58"/>
      <c r="BX646" s="58"/>
      <c r="BY646" s="58"/>
      <c r="BZ646" s="58"/>
      <c r="CA646" s="58"/>
      <c r="CB646" s="58"/>
      <c r="CC646" s="58"/>
      <c r="CD646" s="58"/>
      <c r="CE646" s="58"/>
      <c r="CF646" s="58"/>
      <c r="CG646" s="58"/>
      <c r="CH646" s="58"/>
      <c r="CI646" s="58"/>
      <c r="CJ646" s="58"/>
      <c r="CK646" s="58"/>
      <c r="CL646" s="58"/>
      <c r="CM646" s="58"/>
      <c r="CN646" s="58"/>
      <c r="CO646" s="58"/>
      <c r="CP646" s="58"/>
      <c r="CQ646" s="58"/>
      <c r="CR646" s="58"/>
      <c r="CS646" s="58"/>
      <c r="CT646" s="58"/>
      <c r="CU646" s="58"/>
    </row>
    <row r="647" spans="1:99" ht="15" thickBot="1" x14ac:dyDescent="0.4">
      <c r="A647" s="14"/>
      <c r="B647" s="14"/>
      <c r="C647" s="14"/>
      <c r="D647" s="14"/>
      <c r="E647" s="14"/>
      <c r="F647" s="14"/>
      <c r="G647" s="14"/>
      <c r="H647" s="14"/>
      <c r="I647" s="14"/>
      <c r="J647" s="41"/>
      <c r="L647" s="58"/>
      <c r="M647" s="58"/>
      <c r="N647" s="58"/>
      <c r="O647" s="58"/>
      <c r="P647" s="269"/>
      <c r="Q647" s="58"/>
      <c r="R647" s="58"/>
      <c r="S647" s="58"/>
      <c r="T647" s="58"/>
      <c r="U647" s="58"/>
      <c r="V647" s="269"/>
      <c r="W647" s="58"/>
      <c r="X647" s="58"/>
      <c r="Y647" s="58"/>
      <c r="Z647" s="58"/>
      <c r="AA647" s="58"/>
      <c r="AB647" s="269"/>
      <c r="AC647" s="58"/>
      <c r="AD647" s="58"/>
      <c r="AE647" s="58"/>
      <c r="AF647" s="58"/>
      <c r="AG647" s="58"/>
      <c r="AH647" s="269"/>
      <c r="AI647" s="58"/>
      <c r="AJ647" s="58"/>
      <c r="AK647" s="58"/>
      <c r="AL647" s="58"/>
      <c r="AM647" s="58"/>
      <c r="AN647" s="59"/>
      <c r="AO647" s="58"/>
      <c r="AP647" s="58"/>
      <c r="AQ647" s="58"/>
      <c r="AR647" s="58"/>
      <c r="AS647" s="58"/>
      <c r="AT647" s="59"/>
      <c r="AU647" s="58"/>
      <c r="AV647" s="58"/>
      <c r="AW647" s="58"/>
      <c r="AX647" s="58"/>
      <c r="AY647" s="58"/>
      <c r="AZ647" s="59"/>
      <c r="BA647" s="58"/>
      <c r="BB647" s="58"/>
      <c r="BC647" s="58"/>
      <c r="BD647" s="58"/>
      <c r="BE647" s="58"/>
      <c r="BF647" s="59"/>
      <c r="BG647" s="58"/>
      <c r="BH647" s="58"/>
      <c r="BI647" s="58"/>
      <c r="BJ647" s="58"/>
      <c r="BK647" s="58"/>
      <c r="BL647" s="59"/>
      <c r="BM647" s="58"/>
      <c r="BN647" s="58"/>
      <c r="BO647" s="58"/>
      <c r="BP647" s="58"/>
      <c r="BQ647" s="58"/>
      <c r="BR647" s="58"/>
      <c r="BS647" s="58"/>
      <c r="BT647" s="58"/>
      <c r="BU647" s="58"/>
      <c r="BV647" s="58"/>
      <c r="BW647" s="58"/>
      <c r="BX647" s="58"/>
      <c r="BY647" s="58"/>
      <c r="BZ647" s="58"/>
      <c r="CA647" s="58"/>
      <c r="CB647" s="58"/>
      <c r="CC647" s="58"/>
      <c r="CD647" s="58"/>
      <c r="CE647" s="58"/>
      <c r="CF647" s="58"/>
      <c r="CG647" s="58"/>
      <c r="CH647" s="58"/>
      <c r="CI647" s="58"/>
      <c r="CJ647" s="58"/>
      <c r="CK647" s="58"/>
      <c r="CL647" s="58"/>
      <c r="CM647" s="58"/>
      <c r="CN647" s="58"/>
      <c r="CO647" s="58"/>
      <c r="CP647" s="58"/>
      <c r="CQ647" s="58"/>
      <c r="CR647" s="58"/>
      <c r="CS647" s="58"/>
      <c r="CT647" s="58"/>
      <c r="CU647" s="58"/>
    </row>
    <row r="648" spans="1:99" ht="15" thickBot="1" x14ac:dyDescent="0.4">
      <c r="A648" s="14"/>
      <c r="B648" s="14"/>
      <c r="C648" s="14"/>
      <c r="D648" s="14"/>
      <c r="E648" s="14"/>
      <c r="F648" s="14"/>
      <c r="G648" s="14"/>
      <c r="H648" s="14"/>
      <c r="I648" s="14"/>
      <c r="J648" s="41"/>
      <c r="L648" s="58"/>
      <c r="M648" s="58"/>
      <c r="N648" s="58"/>
      <c r="O648" s="58"/>
      <c r="P648" s="269"/>
      <c r="Q648" s="58"/>
      <c r="R648" s="58"/>
      <c r="S648" s="58"/>
      <c r="T648" s="58"/>
      <c r="U648" s="58"/>
      <c r="V648" s="269"/>
      <c r="W648" s="58"/>
      <c r="X648" s="58"/>
      <c r="Y648" s="58"/>
      <c r="Z648" s="58"/>
      <c r="AA648" s="58"/>
      <c r="AB648" s="269"/>
      <c r="AC648" s="58"/>
      <c r="AD648" s="58"/>
      <c r="AE648" s="58"/>
      <c r="AF648" s="58"/>
      <c r="AG648" s="58"/>
      <c r="AH648" s="269"/>
      <c r="AI648" s="58"/>
      <c r="AJ648" s="58"/>
      <c r="AK648" s="58"/>
      <c r="AL648" s="58"/>
      <c r="AM648" s="58"/>
      <c r="AN648" s="59"/>
      <c r="AO648" s="58"/>
      <c r="AP648" s="58"/>
      <c r="AQ648" s="58"/>
      <c r="AR648" s="58"/>
      <c r="AS648" s="58"/>
      <c r="AT648" s="59"/>
      <c r="AU648" s="58"/>
      <c r="AV648" s="58"/>
      <c r="AW648" s="58"/>
      <c r="AX648" s="58"/>
      <c r="AY648" s="58"/>
      <c r="AZ648" s="59"/>
      <c r="BA648" s="58"/>
      <c r="BB648" s="58"/>
      <c r="BC648" s="58"/>
      <c r="BD648" s="58"/>
      <c r="BE648" s="58"/>
      <c r="BF648" s="59"/>
      <c r="BG648" s="58"/>
      <c r="BH648" s="58"/>
      <c r="BI648" s="58"/>
      <c r="BJ648" s="58"/>
      <c r="BK648" s="58"/>
      <c r="BL648" s="59"/>
      <c r="BM648" s="58"/>
      <c r="BN648" s="58"/>
      <c r="BO648" s="58"/>
      <c r="BP648" s="58"/>
      <c r="BQ648" s="58"/>
      <c r="BR648" s="58"/>
      <c r="BS648" s="58"/>
      <c r="BT648" s="58"/>
      <c r="BU648" s="58"/>
      <c r="BV648" s="58"/>
      <c r="BW648" s="58"/>
      <c r="BX648" s="58"/>
      <c r="BY648" s="58"/>
      <c r="BZ648" s="58"/>
      <c r="CA648" s="58"/>
      <c r="CB648" s="58"/>
      <c r="CC648" s="58"/>
      <c r="CD648" s="58"/>
      <c r="CE648" s="58"/>
      <c r="CF648" s="58"/>
      <c r="CG648" s="58"/>
      <c r="CH648" s="58"/>
      <c r="CI648" s="58"/>
      <c r="CJ648" s="58"/>
      <c r="CK648" s="58"/>
      <c r="CL648" s="58"/>
      <c r="CM648" s="58"/>
      <c r="CN648" s="58"/>
      <c r="CO648" s="58"/>
      <c r="CP648" s="58"/>
      <c r="CQ648" s="58"/>
      <c r="CR648" s="58"/>
      <c r="CS648" s="58"/>
      <c r="CT648" s="58"/>
      <c r="CU648" s="58"/>
    </row>
    <row r="649" spans="1:99" ht="15" thickBot="1" x14ac:dyDescent="0.4">
      <c r="A649" s="14"/>
      <c r="B649" s="14"/>
      <c r="C649" s="14"/>
      <c r="D649" s="14"/>
      <c r="E649" s="14"/>
      <c r="F649" s="14"/>
      <c r="G649" s="14"/>
      <c r="H649" s="14"/>
      <c r="I649" s="14"/>
      <c r="J649" s="41"/>
      <c r="L649" s="58"/>
      <c r="M649" s="58"/>
      <c r="N649" s="58"/>
      <c r="O649" s="58"/>
      <c r="P649" s="269"/>
      <c r="Q649" s="58"/>
      <c r="R649" s="58"/>
      <c r="S649" s="58"/>
      <c r="T649" s="58"/>
      <c r="U649" s="58"/>
      <c r="V649" s="269"/>
      <c r="W649" s="58"/>
      <c r="X649" s="58"/>
      <c r="Y649" s="58"/>
      <c r="Z649" s="58"/>
      <c r="AA649" s="58"/>
      <c r="AB649" s="269"/>
      <c r="AC649" s="58"/>
      <c r="AD649" s="58"/>
      <c r="AE649" s="58"/>
      <c r="AF649" s="58"/>
      <c r="AG649" s="58"/>
      <c r="AH649" s="269"/>
      <c r="AI649" s="58"/>
      <c r="AJ649" s="58"/>
      <c r="AK649" s="58"/>
      <c r="AL649" s="58"/>
      <c r="AM649" s="58"/>
      <c r="AN649" s="59"/>
      <c r="AO649" s="58"/>
      <c r="AP649" s="58"/>
      <c r="AQ649" s="58"/>
      <c r="AR649" s="58"/>
      <c r="AS649" s="58"/>
      <c r="AT649" s="59"/>
      <c r="AU649" s="58"/>
      <c r="AV649" s="58"/>
      <c r="AW649" s="58"/>
      <c r="AX649" s="58"/>
      <c r="AY649" s="58"/>
      <c r="AZ649" s="59"/>
      <c r="BA649" s="58"/>
      <c r="BB649" s="58"/>
      <c r="BC649" s="58"/>
      <c r="BD649" s="58"/>
      <c r="BE649" s="58"/>
      <c r="BF649" s="59"/>
      <c r="BG649" s="58"/>
      <c r="BH649" s="58"/>
      <c r="BI649" s="58"/>
      <c r="BJ649" s="58"/>
      <c r="BK649" s="58"/>
      <c r="BL649" s="59"/>
      <c r="BM649" s="58"/>
      <c r="BN649" s="58"/>
      <c r="BO649" s="58"/>
      <c r="BP649" s="58"/>
      <c r="BQ649" s="58"/>
      <c r="BR649" s="58"/>
      <c r="BS649" s="58"/>
      <c r="BT649" s="58"/>
      <c r="BU649" s="58"/>
      <c r="BV649" s="58"/>
      <c r="BW649" s="58"/>
      <c r="BX649" s="58"/>
      <c r="BY649" s="58"/>
      <c r="BZ649" s="58"/>
      <c r="CA649" s="58"/>
      <c r="CB649" s="58"/>
      <c r="CC649" s="58"/>
      <c r="CD649" s="58"/>
      <c r="CE649" s="58"/>
      <c r="CF649" s="58"/>
      <c r="CG649" s="58"/>
      <c r="CH649" s="58"/>
      <c r="CI649" s="58"/>
      <c r="CJ649" s="58"/>
      <c r="CK649" s="58"/>
      <c r="CL649" s="58"/>
      <c r="CM649" s="58"/>
      <c r="CN649" s="58"/>
      <c r="CO649" s="58"/>
      <c r="CP649" s="58"/>
      <c r="CQ649" s="58"/>
      <c r="CR649" s="58"/>
      <c r="CS649" s="58"/>
      <c r="CT649" s="58"/>
      <c r="CU649" s="58"/>
    </row>
    <row r="650" spans="1:99" ht="15" thickBot="1" x14ac:dyDescent="0.4">
      <c r="A650" s="14"/>
      <c r="B650" s="14"/>
      <c r="C650" s="14"/>
      <c r="D650" s="14"/>
      <c r="E650" s="14"/>
      <c r="F650" s="14"/>
      <c r="G650" s="14"/>
      <c r="H650" s="14"/>
      <c r="I650" s="14"/>
      <c r="J650" s="41"/>
      <c r="L650" s="58"/>
      <c r="M650" s="58"/>
      <c r="N650" s="58"/>
      <c r="O650" s="58"/>
      <c r="P650" s="269"/>
      <c r="Q650" s="58"/>
      <c r="R650" s="58"/>
      <c r="S650" s="58"/>
      <c r="T650" s="58"/>
      <c r="U650" s="58"/>
      <c r="V650" s="269"/>
      <c r="W650" s="58"/>
      <c r="X650" s="58"/>
      <c r="Y650" s="58"/>
      <c r="Z650" s="58"/>
      <c r="AA650" s="58"/>
      <c r="AB650" s="269"/>
      <c r="AC650" s="58"/>
      <c r="AD650" s="58"/>
      <c r="AE650" s="58"/>
      <c r="AF650" s="58"/>
      <c r="AG650" s="58"/>
      <c r="AH650" s="269"/>
      <c r="AI650" s="58"/>
      <c r="AJ650" s="58"/>
      <c r="AK650" s="58"/>
      <c r="AL650" s="58"/>
      <c r="AM650" s="58"/>
      <c r="AN650" s="59"/>
      <c r="AO650" s="58"/>
      <c r="AP650" s="58"/>
      <c r="AQ650" s="58"/>
      <c r="AR650" s="58"/>
      <c r="AS650" s="58"/>
      <c r="AT650" s="59"/>
      <c r="AU650" s="58"/>
      <c r="AV650" s="58"/>
      <c r="AW650" s="58"/>
      <c r="AX650" s="58"/>
      <c r="AY650" s="58"/>
      <c r="AZ650" s="59"/>
      <c r="BA650" s="58"/>
      <c r="BB650" s="58"/>
      <c r="BC650" s="58"/>
      <c r="BD650" s="58"/>
      <c r="BE650" s="58"/>
      <c r="BF650" s="59"/>
      <c r="BG650" s="58"/>
      <c r="BH650" s="58"/>
      <c r="BI650" s="58"/>
      <c r="BJ650" s="58"/>
      <c r="BK650" s="58"/>
      <c r="BL650" s="59"/>
      <c r="BM650" s="58"/>
      <c r="BN650" s="58"/>
      <c r="BO650" s="58"/>
      <c r="BP650" s="58"/>
      <c r="BQ650" s="58"/>
      <c r="BR650" s="58"/>
      <c r="BS650" s="58"/>
      <c r="BT650" s="58"/>
      <c r="BU650" s="58"/>
      <c r="BV650" s="58"/>
      <c r="BW650" s="58"/>
      <c r="BX650" s="58"/>
      <c r="BY650" s="58"/>
      <c r="BZ650" s="58"/>
      <c r="CA650" s="58"/>
      <c r="CB650" s="58"/>
      <c r="CC650" s="58"/>
      <c r="CD650" s="58"/>
      <c r="CE650" s="58"/>
      <c r="CF650" s="58"/>
      <c r="CG650" s="58"/>
      <c r="CH650" s="58"/>
      <c r="CI650" s="58"/>
      <c r="CJ650" s="58"/>
      <c r="CK650" s="58"/>
      <c r="CL650" s="58"/>
      <c r="CM650" s="58"/>
      <c r="CN650" s="58"/>
      <c r="CO650" s="58"/>
      <c r="CP650" s="58"/>
      <c r="CQ650" s="58"/>
      <c r="CR650" s="58"/>
      <c r="CS650" s="58"/>
      <c r="CT650" s="58"/>
      <c r="CU650" s="58"/>
    </row>
    <row r="651" spans="1:99" ht="15" thickBot="1" x14ac:dyDescent="0.4">
      <c r="A651" s="14"/>
      <c r="B651" s="14"/>
      <c r="C651" s="14"/>
      <c r="D651" s="14"/>
      <c r="E651" s="14"/>
      <c r="F651" s="14"/>
      <c r="G651" s="14"/>
      <c r="H651" s="14"/>
      <c r="I651" s="14"/>
      <c r="J651" s="41"/>
      <c r="L651" s="58"/>
      <c r="M651" s="58"/>
      <c r="N651" s="58"/>
      <c r="O651" s="58"/>
      <c r="P651" s="269"/>
      <c r="Q651" s="58"/>
      <c r="R651" s="58"/>
      <c r="S651" s="58"/>
      <c r="T651" s="58"/>
      <c r="U651" s="58"/>
      <c r="V651" s="269"/>
      <c r="W651" s="58"/>
      <c r="X651" s="58"/>
      <c r="Y651" s="58"/>
      <c r="Z651" s="58"/>
      <c r="AA651" s="58"/>
      <c r="AB651" s="269"/>
      <c r="AC651" s="58"/>
      <c r="AD651" s="58"/>
      <c r="AE651" s="58"/>
      <c r="AF651" s="58"/>
      <c r="AG651" s="58"/>
      <c r="AH651" s="269"/>
      <c r="AI651" s="58"/>
      <c r="AJ651" s="58"/>
      <c r="AK651" s="58"/>
      <c r="AL651" s="58"/>
      <c r="AM651" s="58"/>
      <c r="AN651" s="59"/>
      <c r="AO651" s="58"/>
      <c r="AP651" s="58"/>
      <c r="AQ651" s="58"/>
      <c r="AR651" s="58"/>
      <c r="AS651" s="58"/>
      <c r="AT651" s="59"/>
      <c r="AU651" s="58"/>
      <c r="AV651" s="58"/>
      <c r="AW651" s="58"/>
      <c r="AX651" s="58"/>
      <c r="AY651" s="58"/>
      <c r="AZ651" s="59"/>
      <c r="BA651" s="58"/>
      <c r="BB651" s="58"/>
      <c r="BC651" s="58"/>
      <c r="BD651" s="58"/>
      <c r="BE651" s="58"/>
      <c r="BF651" s="59"/>
      <c r="BG651" s="58"/>
      <c r="BH651" s="58"/>
      <c r="BI651" s="58"/>
      <c r="BJ651" s="58"/>
      <c r="BK651" s="58"/>
      <c r="BL651" s="59"/>
      <c r="BM651" s="58"/>
      <c r="BN651" s="58"/>
      <c r="BO651" s="58"/>
      <c r="BP651" s="58"/>
      <c r="BQ651" s="58"/>
      <c r="BR651" s="58"/>
      <c r="BS651" s="58"/>
      <c r="BT651" s="58"/>
      <c r="BU651" s="58"/>
      <c r="BV651" s="58"/>
      <c r="BW651" s="58"/>
      <c r="BX651" s="58"/>
      <c r="BY651" s="58"/>
      <c r="BZ651" s="58"/>
      <c r="CA651" s="58"/>
      <c r="CB651" s="58"/>
      <c r="CC651" s="58"/>
      <c r="CD651" s="58"/>
      <c r="CE651" s="58"/>
      <c r="CF651" s="58"/>
      <c r="CG651" s="58"/>
      <c r="CH651" s="58"/>
      <c r="CI651" s="58"/>
      <c r="CJ651" s="58"/>
      <c r="CK651" s="58"/>
      <c r="CL651" s="58"/>
      <c r="CM651" s="58"/>
      <c r="CN651" s="58"/>
      <c r="CO651" s="58"/>
      <c r="CP651" s="58"/>
      <c r="CQ651" s="58"/>
      <c r="CR651" s="58"/>
      <c r="CS651" s="58"/>
      <c r="CT651" s="58"/>
      <c r="CU651" s="58"/>
    </row>
    <row r="652" spans="1:99" ht="15" thickBot="1" x14ac:dyDescent="0.4">
      <c r="A652" s="14"/>
      <c r="B652" s="14"/>
      <c r="C652" s="14"/>
      <c r="D652" s="14"/>
      <c r="E652" s="14"/>
      <c r="F652" s="14"/>
      <c r="G652" s="14"/>
      <c r="H652" s="14"/>
      <c r="I652" s="14"/>
      <c r="J652" s="41"/>
      <c r="L652" s="58"/>
      <c r="M652" s="58"/>
      <c r="N652" s="58"/>
      <c r="O652" s="58"/>
      <c r="P652" s="269"/>
      <c r="Q652" s="58"/>
      <c r="R652" s="58"/>
      <c r="S652" s="58"/>
      <c r="T652" s="58"/>
      <c r="U652" s="58"/>
      <c r="V652" s="269"/>
      <c r="W652" s="58"/>
      <c r="X652" s="58"/>
      <c r="Y652" s="58"/>
      <c r="Z652" s="58"/>
      <c r="AA652" s="58"/>
      <c r="AB652" s="269"/>
      <c r="AC652" s="58"/>
      <c r="AD652" s="58"/>
      <c r="AE652" s="58"/>
      <c r="AF652" s="58"/>
      <c r="AG652" s="58"/>
      <c r="AH652" s="269"/>
      <c r="AI652" s="58"/>
      <c r="AJ652" s="58"/>
      <c r="AK652" s="58"/>
      <c r="AL652" s="58"/>
      <c r="AM652" s="58"/>
      <c r="AN652" s="59"/>
      <c r="AO652" s="58"/>
      <c r="AP652" s="58"/>
      <c r="AQ652" s="58"/>
      <c r="AR652" s="58"/>
      <c r="AS652" s="58"/>
      <c r="AT652" s="59"/>
      <c r="AU652" s="58"/>
      <c r="AV652" s="58"/>
      <c r="AW652" s="58"/>
      <c r="AX652" s="58"/>
      <c r="AY652" s="58"/>
      <c r="AZ652" s="59"/>
      <c r="BA652" s="58"/>
      <c r="BB652" s="58"/>
      <c r="BC652" s="58"/>
      <c r="BD652" s="58"/>
      <c r="BE652" s="58"/>
      <c r="BF652" s="59"/>
      <c r="BG652" s="58"/>
      <c r="BH652" s="58"/>
      <c r="BI652" s="58"/>
      <c r="BJ652" s="58"/>
      <c r="BK652" s="58"/>
      <c r="BL652" s="59"/>
      <c r="BM652" s="58"/>
      <c r="BN652" s="58"/>
      <c r="BO652" s="58"/>
      <c r="BP652" s="58"/>
      <c r="BQ652" s="58"/>
      <c r="BR652" s="58"/>
      <c r="BS652" s="58"/>
      <c r="BT652" s="58"/>
      <c r="BU652" s="58"/>
      <c r="BV652" s="58"/>
      <c r="BW652" s="58"/>
      <c r="BX652" s="58"/>
      <c r="BY652" s="58"/>
      <c r="BZ652" s="58"/>
      <c r="CA652" s="58"/>
      <c r="CB652" s="58"/>
      <c r="CC652" s="58"/>
      <c r="CD652" s="58"/>
      <c r="CE652" s="58"/>
      <c r="CF652" s="58"/>
      <c r="CG652" s="58"/>
      <c r="CH652" s="58"/>
      <c r="CI652" s="58"/>
      <c r="CJ652" s="58"/>
      <c r="CK652" s="58"/>
      <c r="CL652" s="58"/>
      <c r="CM652" s="58"/>
      <c r="CN652" s="58"/>
      <c r="CO652" s="58"/>
      <c r="CP652" s="58"/>
      <c r="CQ652" s="58"/>
      <c r="CR652" s="58"/>
      <c r="CS652" s="58"/>
      <c r="CT652" s="58"/>
      <c r="CU652" s="58"/>
    </row>
    <row r="653" spans="1:99" ht="15" thickBot="1" x14ac:dyDescent="0.4">
      <c r="A653" s="14"/>
      <c r="B653" s="14"/>
      <c r="C653" s="14"/>
      <c r="D653" s="14"/>
      <c r="E653" s="14"/>
      <c r="F653" s="14"/>
      <c r="G653" s="14"/>
      <c r="H653" s="14"/>
      <c r="I653" s="14"/>
      <c r="J653" s="41"/>
      <c r="L653" s="58"/>
      <c r="M653" s="58"/>
      <c r="N653" s="58"/>
      <c r="O653" s="58"/>
      <c r="P653" s="269"/>
      <c r="Q653" s="58"/>
      <c r="R653" s="58"/>
      <c r="S653" s="58"/>
      <c r="T653" s="58"/>
      <c r="U653" s="58"/>
      <c r="V653" s="269"/>
      <c r="W653" s="58"/>
      <c r="X653" s="58"/>
      <c r="Y653" s="58"/>
      <c r="Z653" s="58"/>
      <c r="AA653" s="58"/>
      <c r="AB653" s="269"/>
      <c r="AC653" s="58"/>
      <c r="AD653" s="58"/>
      <c r="AE653" s="58"/>
      <c r="AF653" s="58"/>
      <c r="AG653" s="58"/>
      <c r="AH653" s="269"/>
      <c r="AI653" s="58"/>
      <c r="AJ653" s="58"/>
      <c r="AK653" s="58"/>
      <c r="AL653" s="58"/>
      <c r="AM653" s="58"/>
      <c r="AN653" s="59"/>
      <c r="AO653" s="58"/>
      <c r="AP653" s="58"/>
      <c r="AQ653" s="58"/>
      <c r="AR653" s="58"/>
      <c r="AS653" s="58"/>
      <c r="AT653" s="59"/>
      <c r="AU653" s="58"/>
      <c r="AV653" s="58"/>
      <c r="AW653" s="58"/>
      <c r="AX653" s="58"/>
      <c r="AY653" s="58"/>
      <c r="AZ653" s="59"/>
      <c r="BA653" s="58"/>
      <c r="BB653" s="58"/>
      <c r="BC653" s="58"/>
      <c r="BD653" s="58"/>
      <c r="BE653" s="58"/>
      <c r="BF653" s="59"/>
      <c r="BG653" s="58"/>
      <c r="BH653" s="58"/>
      <c r="BI653" s="58"/>
      <c r="BJ653" s="58"/>
      <c r="BK653" s="58"/>
      <c r="BL653" s="59"/>
      <c r="BM653" s="58"/>
      <c r="BN653" s="58"/>
      <c r="BO653" s="58"/>
      <c r="BP653" s="58"/>
      <c r="BQ653" s="58"/>
      <c r="BR653" s="58"/>
      <c r="BS653" s="58"/>
      <c r="BT653" s="58"/>
      <c r="BU653" s="58"/>
      <c r="BV653" s="58"/>
      <c r="BW653" s="58"/>
      <c r="BX653" s="58"/>
      <c r="BY653" s="58"/>
      <c r="BZ653" s="58"/>
      <c r="CA653" s="58"/>
      <c r="CB653" s="58"/>
      <c r="CC653" s="58"/>
      <c r="CD653" s="58"/>
      <c r="CE653" s="58"/>
      <c r="CF653" s="58"/>
      <c r="CG653" s="58"/>
      <c r="CH653" s="58"/>
      <c r="CI653" s="58"/>
      <c r="CJ653" s="58"/>
      <c r="CK653" s="58"/>
      <c r="CL653" s="58"/>
      <c r="CM653" s="58"/>
      <c r="CN653" s="58"/>
      <c r="CO653" s="58"/>
      <c r="CP653" s="58"/>
      <c r="CQ653" s="58"/>
      <c r="CR653" s="58"/>
      <c r="CS653" s="58"/>
      <c r="CT653" s="58"/>
      <c r="CU653" s="58"/>
    </row>
    <row r="654" spans="1:99" ht="15" thickBot="1" x14ac:dyDescent="0.4">
      <c r="A654" s="14"/>
      <c r="B654" s="14"/>
      <c r="C654" s="14"/>
      <c r="D654" s="14"/>
      <c r="E654" s="14"/>
      <c r="F654" s="14"/>
      <c r="G654" s="14"/>
      <c r="H654" s="14"/>
      <c r="I654" s="14"/>
      <c r="J654" s="41"/>
      <c r="L654" s="58"/>
      <c r="M654" s="58"/>
      <c r="N654" s="58"/>
      <c r="O654" s="58"/>
      <c r="P654" s="269"/>
      <c r="Q654" s="58"/>
      <c r="R654" s="58"/>
      <c r="S654" s="58"/>
      <c r="T654" s="58"/>
      <c r="U654" s="58"/>
      <c r="V654" s="269"/>
      <c r="W654" s="58"/>
      <c r="X654" s="58"/>
      <c r="Y654" s="58"/>
      <c r="Z654" s="58"/>
      <c r="AA654" s="58"/>
      <c r="AB654" s="269"/>
      <c r="AC654" s="58"/>
      <c r="AD654" s="58"/>
      <c r="AE654" s="58"/>
      <c r="AF654" s="58"/>
      <c r="AG654" s="58"/>
      <c r="AH654" s="269"/>
      <c r="AI654" s="58"/>
      <c r="AJ654" s="58"/>
      <c r="AK654" s="58"/>
      <c r="AL654" s="58"/>
      <c r="AM654" s="58"/>
      <c r="AN654" s="59"/>
      <c r="AO654" s="58"/>
      <c r="AP654" s="58"/>
      <c r="AQ654" s="58"/>
      <c r="AR654" s="58"/>
      <c r="AS654" s="58"/>
      <c r="AT654" s="59"/>
      <c r="AU654" s="58"/>
      <c r="AV654" s="58"/>
      <c r="AW654" s="58"/>
      <c r="AX654" s="58"/>
      <c r="AY654" s="58"/>
      <c r="AZ654" s="59"/>
      <c r="BA654" s="58"/>
      <c r="BB654" s="58"/>
      <c r="BC654" s="58"/>
      <c r="BD654" s="58"/>
      <c r="BE654" s="58"/>
      <c r="BF654" s="59"/>
      <c r="BG654" s="58"/>
      <c r="BH654" s="58"/>
      <c r="BI654" s="58"/>
      <c r="BJ654" s="58"/>
      <c r="BK654" s="58"/>
      <c r="BL654" s="59"/>
      <c r="BM654" s="58"/>
      <c r="BN654" s="58"/>
      <c r="BO654" s="58"/>
      <c r="BP654" s="58"/>
      <c r="BQ654" s="58"/>
      <c r="BR654" s="58"/>
      <c r="BS654" s="58"/>
      <c r="BT654" s="58"/>
      <c r="BU654" s="58"/>
      <c r="BV654" s="58"/>
      <c r="BW654" s="58"/>
      <c r="BX654" s="58"/>
      <c r="BY654" s="58"/>
      <c r="BZ654" s="58"/>
      <c r="CA654" s="58"/>
      <c r="CB654" s="58"/>
      <c r="CC654" s="58"/>
      <c r="CD654" s="58"/>
      <c r="CE654" s="58"/>
      <c r="CF654" s="58"/>
      <c r="CG654" s="58"/>
      <c r="CH654" s="58"/>
      <c r="CI654" s="58"/>
      <c r="CJ654" s="58"/>
      <c r="CK654" s="58"/>
      <c r="CL654" s="58"/>
      <c r="CM654" s="58"/>
      <c r="CN654" s="58"/>
      <c r="CO654" s="58"/>
      <c r="CP654" s="58"/>
      <c r="CQ654" s="58"/>
      <c r="CR654" s="58"/>
      <c r="CS654" s="58"/>
      <c r="CT654" s="58"/>
      <c r="CU654" s="58"/>
    </row>
    <row r="655" spans="1:99" ht="15" thickBot="1" x14ac:dyDescent="0.4">
      <c r="A655" s="14"/>
      <c r="B655" s="14"/>
      <c r="C655" s="14"/>
      <c r="D655" s="14"/>
      <c r="E655" s="14"/>
      <c r="F655" s="14"/>
      <c r="G655" s="14"/>
      <c r="H655" s="14"/>
      <c r="I655" s="14"/>
      <c r="J655" s="41"/>
      <c r="L655" s="58"/>
      <c r="M655" s="58"/>
      <c r="N655" s="58"/>
      <c r="O655" s="58"/>
      <c r="P655" s="269"/>
      <c r="Q655" s="58"/>
      <c r="R655" s="58"/>
      <c r="S655" s="58"/>
      <c r="T655" s="58"/>
      <c r="U655" s="58"/>
      <c r="V655" s="269"/>
      <c r="W655" s="58"/>
      <c r="X655" s="58"/>
      <c r="Y655" s="58"/>
      <c r="Z655" s="58"/>
      <c r="AA655" s="58"/>
      <c r="AB655" s="269"/>
      <c r="AC655" s="58"/>
      <c r="AD655" s="58"/>
      <c r="AE655" s="58"/>
      <c r="AF655" s="58"/>
      <c r="AG655" s="58"/>
      <c r="AH655" s="269"/>
      <c r="AI655" s="58"/>
      <c r="AJ655" s="58"/>
      <c r="AK655" s="58"/>
      <c r="AL655" s="58"/>
      <c r="AM655" s="58"/>
      <c r="AN655" s="59"/>
      <c r="AO655" s="58"/>
      <c r="AP655" s="58"/>
      <c r="AQ655" s="58"/>
      <c r="AR655" s="58"/>
      <c r="AS655" s="58"/>
      <c r="AT655" s="59"/>
      <c r="AU655" s="58"/>
      <c r="AV655" s="58"/>
      <c r="AW655" s="58"/>
      <c r="AX655" s="58"/>
      <c r="AY655" s="58"/>
      <c r="AZ655" s="59"/>
      <c r="BA655" s="58"/>
      <c r="BB655" s="58"/>
      <c r="BC655" s="58"/>
      <c r="BD655" s="58"/>
      <c r="BE655" s="58"/>
      <c r="BF655" s="59"/>
      <c r="BG655" s="58"/>
      <c r="BH655" s="58"/>
      <c r="BI655" s="58"/>
      <c r="BJ655" s="58"/>
      <c r="BK655" s="58"/>
      <c r="BL655" s="59"/>
      <c r="BM655" s="58"/>
      <c r="BN655" s="58"/>
      <c r="BO655" s="58"/>
      <c r="BP655" s="58"/>
      <c r="BQ655" s="58"/>
      <c r="BR655" s="58"/>
      <c r="BS655" s="58"/>
      <c r="BT655" s="58"/>
      <c r="BU655" s="58"/>
      <c r="BV655" s="58"/>
      <c r="BW655" s="58"/>
      <c r="BX655" s="58"/>
      <c r="BY655" s="58"/>
      <c r="BZ655" s="58"/>
      <c r="CA655" s="58"/>
      <c r="CB655" s="58"/>
      <c r="CC655" s="58"/>
      <c r="CD655" s="58"/>
      <c r="CE655" s="58"/>
      <c r="CF655" s="58"/>
      <c r="CG655" s="58"/>
      <c r="CH655" s="58"/>
      <c r="CI655" s="58"/>
      <c r="CJ655" s="58"/>
      <c r="CK655" s="58"/>
      <c r="CL655" s="58"/>
      <c r="CM655" s="58"/>
      <c r="CN655" s="58"/>
      <c r="CO655" s="58"/>
      <c r="CP655" s="58"/>
      <c r="CQ655" s="58"/>
      <c r="CR655" s="58"/>
      <c r="CS655" s="58"/>
      <c r="CT655" s="58"/>
      <c r="CU655" s="58"/>
    </row>
    <row r="656" spans="1:99" ht="15" thickBot="1" x14ac:dyDescent="0.4">
      <c r="A656" s="14"/>
      <c r="B656" s="14"/>
      <c r="C656" s="14"/>
      <c r="D656" s="14"/>
      <c r="E656" s="14"/>
      <c r="F656" s="14"/>
      <c r="G656" s="14"/>
      <c r="H656" s="14"/>
      <c r="I656" s="14"/>
      <c r="J656" s="41"/>
      <c r="L656" s="58"/>
      <c r="M656" s="58"/>
      <c r="N656" s="58"/>
      <c r="O656" s="58"/>
      <c r="P656" s="269"/>
      <c r="Q656" s="58"/>
      <c r="R656" s="58"/>
      <c r="S656" s="58"/>
      <c r="T656" s="58"/>
      <c r="U656" s="58"/>
      <c r="V656" s="269"/>
      <c r="W656" s="58"/>
      <c r="X656" s="58"/>
      <c r="Y656" s="58"/>
      <c r="Z656" s="58"/>
      <c r="AA656" s="58"/>
      <c r="AB656" s="269"/>
      <c r="AC656" s="58"/>
      <c r="AD656" s="58"/>
      <c r="AE656" s="58"/>
      <c r="AF656" s="58"/>
      <c r="AG656" s="58"/>
      <c r="AH656" s="269"/>
      <c r="AI656" s="58"/>
      <c r="AJ656" s="58"/>
      <c r="AK656" s="58"/>
      <c r="AL656" s="58"/>
      <c r="AM656" s="58"/>
      <c r="AN656" s="59"/>
      <c r="AO656" s="58"/>
      <c r="AP656" s="58"/>
      <c r="AQ656" s="58"/>
      <c r="AR656" s="58"/>
      <c r="AS656" s="58"/>
      <c r="AT656" s="59"/>
      <c r="AU656" s="58"/>
      <c r="AV656" s="58"/>
      <c r="AW656" s="58"/>
      <c r="AX656" s="58"/>
      <c r="AY656" s="58"/>
      <c r="AZ656" s="59"/>
      <c r="BA656" s="58"/>
      <c r="BB656" s="58"/>
      <c r="BC656" s="58"/>
      <c r="BD656" s="58"/>
      <c r="BE656" s="58"/>
      <c r="BF656" s="59"/>
      <c r="BG656" s="58"/>
      <c r="BH656" s="58"/>
      <c r="BI656" s="58"/>
      <c r="BJ656" s="58"/>
      <c r="BK656" s="58"/>
      <c r="BL656" s="59"/>
      <c r="BM656" s="58"/>
      <c r="BN656" s="58"/>
      <c r="BO656" s="58"/>
      <c r="BP656" s="58"/>
      <c r="BQ656" s="58"/>
      <c r="BR656" s="58"/>
      <c r="BS656" s="58"/>
      <c r="BT656" s="58"/>
      <c r="BU656" s="58"/>
      <c r="BV656" s="58"/>
      <c r="BW656" s="58"/>
      <c r="BX656" s="58"/>
      <c r="BY656" s="58"/>
      <c r="BZ656" s="58"/>
      <c r="CA656" s="58"/>
      <c r="CB656" s="58"/>
      <c r="CC656" s="58"/>
      <c r="CD656" s="58"/>
      <c r="CE656" s="58"/>
      <c r="CF656" s="58"/>
      <c r="CG656" s="58"/>
      <c r="CH656" s="58"/>
      <c r="CI656" s="58"/>
      <c r="CJ656" s="58"/>
      <c r="CK656" s="58"/>
      <c r="CL656" s="58"/>
      <c r="CM656" s="58"/>
      <c r="CN656" s="58"/>
      <c r="CO656" s="58"/>
      <c r="CP656" s="58"/>
      <c r="CQ656" s="58"/>
      <c r="CR656" s="58"/>
      <c r="CS656" s="58"/>
      <c r="CT656" s="58"/>
      <c r="CU656" s="58"/>
    </row>
    <row r="657" spans="1:99" ht="15" thickBot="1" x14ac:dyDescent="0.4">
      <c r="A657" s="14"/>
      <c r="B657" s="14"/>
      <c r="C657" s="14"/>
      <c r="D657" s="14"/>
      <c r="E657" s="14"/>
      <c r="F657" s="14"/>
      <c r="G657" s="14"/>
      <c r="H657" s="14"/>
      <c r="I657" s="14"/>
      <c r="J657" s="41"/>
      <c r="L657" s="58"/>
      <c r="M657" s="58"/>
      <c r="N657" s="58"/>
      <c r="O657" s="58"/>
      <c r="P657" s="269"/>
      <c r="Q657" s="58"/>
      <c r="R657" s="58"/>
      <c r="S657" s="58"/>
      <c r="T657" s="58"/>
      <c r="U657" s="58"/>
      <c r="V657" s="269"/>
      <c r="W657" s="58"/>
      <c r="X657" s="58"/>
      <c r="Y657" s="58"/>
      <c r="Z657" s="58"/>
      <c r="AA657" s="58"/>
      <c r="AB657" s="269"/>
      <c r="AC657" s="58"/>
      <c r="AD657" s="58"/>
      <c r="AE657" s="58"/>
      <c r="AF657" s="58"/>
      <c r="AG657" s="58"/>
      <c r="AH657" s="269"/>
      <c r="AI657" s="58"/>
      <c r="AJ657" s="58"/>
      <c r="AK657" s="58"/>
      <c r="AL657" s="58"/>
      <c r="AM657" s="58"/>
      <c r="AN657" s="59"/>
      <c r="AO657" s="58"/>
      <c r="AP657" s="58"/>
      <c r="AQ657" s="58"/>
      <c r="AR657" s="58"/>
      <c r="AS657" s="58"/>
      <c r="AT657" s="59"/>
      <c r="AU657" s="58"/>
      <c r="AV657" s="58"/>
      <c r="AW657" s="58"/>
      <c r="AX657" s="58"/>
      <c r="AY657" s="58"/>
      <c r="AZ657" s="59"/>
      <c r="BA657" s="58"/>
      <c r="BB657" s="58"/>
      <c r="BC657" s="58"/>
      <c r="BD657" s="58"/>
      <c r="BE657" s="58"/>
      <c r="BF657" s="59"/>
      <c r="BG657" s="58"/>
      <c r="BH657" s="58"/>
      <c r="BI657" s="58"/>
      <c r="BJ657" s="58"/>
      <c r="BK657" s="58"/>
      <c r="BL657" s="59"/>
      <c r="BM657" s="58"/>
      <c r="BN657" s="58"/>
      <c r="BO657" s="58"/>
      <c r="BP657" s="58"/>
      <c r="BQ657" s="58"/>
      <c r="BR657" s="58"/>
      <c r="BS657" s="58"/>
      <c r="BT657" s="58"/>
      <c r="BU657" s="58"/>
      <c r="BV657" s="58"/>
      <c r="BW657" s="58"/>
      <c r="BX657" s="58"/>
      <c r="BY657" s="58"/>
      <c r="BZ657" s="58"/>
      <c r="CA657" s="58"/>
      <c r="CB657" s="58"/>
      <c r="CC657" s="58"/>
      <c r="CD657" s="58"/>
      <c r="CE657" s="58"/>
      <c r="CF657" s="58"/>
      <c r="CG657" s="58"/>
      <c r="CH657" s="58"/>
      <c r="CI657" s="58"/>
      <c r="CJ657" s="58"/>
      <c r="CK657" s="58"/>
      <c r="CL657" s="58"/>
      <c r="CM657" s="58"/>
      <c r="CN657" s="58"/>
      <c r="CO657" s="58"/>
      <c r="CP657" s="58"/>
      <c r="CQ657" s="58"/>
      <c r="CR657" s="58"/>
      <c r="CS657" s="58"/>
      <c r="CT657" s="58"/>
      <c r="CU657" s="58"/>
    </row>
    <row r="658" spans="1:99" ht="15" thickBot="1" x14ac:dyDescent="0.4">
      <c r="A658" s="14"/>
      <c r="B658" s="14"/>
      <c r="C658" s="14"/>
      <c r="D658" s="14"/>
      <c r="E658" s="14"/>
      <c r="F658" s="14"/>
      <c r="G658" s="14"/>
      <c r="H658" s="14"/>
      <c r="I658" s="14"/>
      <c r="J658" s="41"/>
      <c r="L658" s="58"/>
      <c r="M658" s="58"/>
      <c r="N658" s="58"/>
      <c r="O658" s="58"/>
      <c r="P658" s="269"/>
      <c r="Q658" s="58"/>
      <c r="R658" s="58"/>
      <c r="S658" s="58"/>
      <c r="T658" s="58"/>
      <c r="U658" s="58"/>
      <c r="V658" s="269"/>
      <c r="W658" s="58"/>
      <c r="X658" s="58"/>
      <c r="Y658" s="58"/>
      <c r="Z658" s="58"/>
      <c r="AA658" s="58"/>
      <c r="AB658" s="269"/>
      <c r="AC658" s="58"/>
      <c r="AD658" s="58"/>
      <c r="AE658" s="58"/>
      <c r="AF658" s="58"/>
      <c r="AG658" s="58"/>
      <c r="AH658" s="269"/>
      <c r="AI658" s="58"/>
      <c r="AJ658" s="58"/>
      <c r="AK658" s="58"/>
      <c r="AL658" s="58"/>
      <c r="AM658" s="58"/>
      <c r="AN658" s="59"/>
      <c r="AO658" s="58"/>
      <c r="AP658" s="58"/>
      <c r="AQ658" s="58"/>
      <c r="AR658" s="58"/>
      <c r="AS658" s="58"/>
      <c r="AT658" s="59"/>
      <c r="AU658" s="58"/>
      <c r="AV658" s="58"/>
      <c r="AW658" s="58"/>
      <c r="AX658" s="58"/>
      <c r="AY658" s="58"/>
      <c r="AZ658" s="59"/>
      <c r="BA658" s="58"/>
      <c r="BB658" s="58"/>
      <c r="BC658" s="58"/>
      <c r="BD658" s="58"/>
      <c r="BE658" s="58"/>
      <c r="BF658" s="59"/>
      <c r="BG658" s="58"/>
      <c r="BH658" s="58"/>
      <c r="BI658" s="58"/>
      <c r="BJ658" s="58"/>
      <c r="BK658" s="58"/>
      <c r="BL658" s="59"/>
      <c r="BM658" s="58"/>
      <c r="BN658" s="58"/>
      <c r="BO658" s="58"/>
      <c r="BP658" s="58"/>
      <c r="BQ658" s="58"/>
      <c r="BR658" s="58"/>
      <c r="BS658" s="58"/>
      <c r="BT658" s="58"/>
      <c r="BU658" s="58"/>
      <c r="BV658" s="58"/>
      <c r="BW658" s="58"/>
      <c r="BX658" s="58"/>
      <c r="BY658" s="58"/>
      <c r="BZ658" s="58"/>
      <c r="CA658" s="58"/>
      <c r="CB658" s="58"/>
      <c r="CC658" s="58"/>
      <c r="CD658" s="58"/>
      <c r="CE658" s="58"/>
      <c r="CF658" s="58"/>
      <c r="CG658" s="58"/>
      <c r="CH658" s="58"/>
      <c r="CI658" s="58"/>
      <c r="CJ658" s="58"/>
      <c r="CK658" s="58"/>
      <c r="CL658" s="58"/>
      <c r="CM658" s="58"/>
      <c r="CN658" s="58"/>
      <c r="CO658" s="58"/>
      <c r="CP658" s="58"/>
      <c r="CQ658" s="58"/>
      <c r="CR658" s="58"/>
      <c r="CS658" s="58"/>
      <c r="CT658" s="58"/>
      <c r="CU658" s="58"/>
    </row>
    <row r="659" spans="1:99" ht="15" thickBot="1" x14ac:dyDescent="0.4">
      <c r="A659" s="14"/>
      <c r="B659" s="14"/>
      <c r="C659" s="14"/>
      <c r="D659" s="14"/>
      <c r="E659" s="14"/>
      <c r="F659" s="14"/>
      <c r="G659" s="14"/>
      <c r="H659" s="14"/>
      <c r="I659" s="14"/>
      <c r="J659" s="41"/>
      <c r="L659" s="58"/>
      <c r="M659" s="58"/>
      <c r="N659" s="58"/>
      <c r="O659" s="58"/>
      <c r="P659" s="269"/>
      <c r="Q659" s="58"/>
      <c r="R659" s="58"/>
      <c r="S659" s="58"/>
      <c r="T659" s="58"/>
      <c r="U659" s="58"/>
      <c r="V659" s="269"/>
      <c r="W659" s="58"/>
      <c r="X659" s="58"/>
      <c r="Y659" s="58"/>
      <c r="Z659" s="58"/>
      <c r="AA659" s="58"/>
      <c r="AB659" s="269"/>
      <c r="AC659" s="58"/>
      <c r="AD659" s="58"/>
      <c r="AE659" s="58"/>
      <c r="AF659" s="58"/>
      <c r="AG659" s="58"/>
      <c r="AH659" s="269"/>
      <c r="AI659" s="58"/>
      <c r="AJ659" s="58"/>
      <c r="AK659" s="58"/>
      <c r="AL659" s="58"/>
      <c r="AM659" s="58"/>
      <c r="AN659" s="59"/>
      <c r="AO659" s="58"/>
      <c r="AP659" s="58"/>
      <c r="AQ659" s="58"/>
      <c r="AR659" s="58"/>
      <c r="AS659" s="58"/>
      <c r="AT659" s="59"/>
      <c r="AU659" s="58"/>
      <c r="AV659" s="58"/>
      <c r="AW659" s="58"/>
      <c r="AX659" s="58"/>
      <c r="AY659" s="58"/>
      <c r="AZ659" s="59"/>
      <c r="BA659" s="58"/>
      <c r="BB659" s="58"/>
      <c r="BC659" s="58"/>
      <c r="BD659" s="58"/>
      <c r="BE659" s="58"/>
      <c r="BF659" s="59"/>
      <c r="BG659" s="58"/>
      <c r="BH659" s="58"/>
      <c r="BI659" s="58"/>
      <c r="BJ659" s="58"/>
      <c r="BK659" s="58"/>
      <c r="BL659" s="59"/>
      <c r="BM659" s="58"/>
      <c r="BN659" s="58"/>
      <c r="BO659" s="58"/>
      <c r="BP659" s="58"/>
      <c r="BQ659" s="58"/>
      <c r="BR659" s="58"/>
      <c r="BS659" s="58"/>
      <c r="BT659" s="58"/>
      <c r="BU659" s="58"/>
      <c r="BV659" s="58"/>
      <c r="BW659" s="58"/>
      <c r="BX659" s="58"/>
      <c r="BY659" s="58"/>
      <c r="BZ659" s="58"/>
      <c r="CA659" s="58"/>
      <c r="CB659" s="58"/>
      <c r="CC659" s="58"/>
      <c r="CD659" s="58"/>
      <c r="CE659" s="58"/>
      <c r="CF659" s="58"/>
      <c r="CG659" s="58"/>
      <c r="CH659" s="58"/>
      <c r="CI659" s="58"/>
      <c r="CJ659" s="58"/>
      <c r="CK659" s="58"/>
      <c r="CL659" s="58"/>
      <c r="CM659" s="58"/>
      <c r="CN659" s="58"/>
      <c r="CO659" s="58"/>
      <c r="CP659" s="58"/>
      <c r="CQ659" s="58"/>
      <c r="CR659" s="58"/>
      <c r="CS659" s="58"/>
      <c r="CT659" s="58"/>
      <c r="CU659" s="58"/>
    </row>
    <row r="660" spans="1:99" ht="15" thickBot="1" x14ac:dyDescent="0.4">
      <c r="A660" s="14"/>
      <c r="B660" s="14"/>
      <c r="C660" s="14"/>
      <c r="D660" s="14"/>
      <c r="E660" s="14"/>
      <c r="F660" s="14"/>
      <c r="G660" s="14"/>
      <c r="H660" s="14"/>
      <c r="I660" s="14"/>
      <c r="J660" s="41"/>
      <c r="L660" s="58"/>
      <c r="M660" s="58"/>
      <c r="N660" s="58"/>
      <c r="O660" s="58"/>
      <c r="P660" s="269"/>
      <c r="Q660" s="58"/>
      <c r="R660" s="58"/>
      <c r="S660" s="58"/>
      <c r="T660" s="58"/>
      <c r="U660" s="58"/>
      <c r="V660" s="269"/>
      <c r="W660" s="58"/>
      <c r="X660" s="58"/>
      <c r="Y660" s="58"/>
      <c r="Z660" s="58"/>
      <c r="AA660" s="58"/>
      <c r="AB660" s="269"/>
      <c r="AC660" s="58"/>
      <c r="AD660" s="58"/>
      <c r="AE660" s="58"/>
      <c r="AF660" s="58"/>
      <c r="AG660" s="58"/>
      <c r="AH660" s="269"/>
      <c r="AI660" s="58"/>
      <c r="AJ660" s="58"/>
      <c r="AK660" s="58"/>
      <c r="AL660" s="58"/>
      <c r="AM660" s="58"/>
      <c r="AN660" s="59"/>
      <c r="AO660" s="58"/>
      <c r="AP660" s="58"/>
      <c r="AQ660" s="58"/>
      <c r="AR660" s="58"/>
      <c r="AS660" s="58"/>
      <c r="AT660" s="59"/>
      <c r="AU660" s="58"/>
      <c r="AV660" s="58"/>
      <c r="AW660" s="58"/>
      <c r="AX660" s="58"/>
      <c r="AY660" s="58"/>
      <c r="AZ660" s="59"/>
      <c r="BA660" s="58"/>
      <c r="BB660" s="58"/>
      <c r="BC660" s="58"/>
      <c r="BD660" s="58"/>
      <c r="BE660" s="58"/>
      <c r="BF660" s="59"/>
      <c r="BG660" s="58"/>
      <c r="BH660" s="58"/>
      <c r="BI660" s="58"/>
      <c r="BJ660" s="58"/>
      <c r="BK660" s="58"/>
      <c r="BL660" s="59"/>
      <c r="BM660" s="58"/>
      <c r="BN660" s="58"/>
      <c r="BO660" s="58"/>
      <c r="BP660" s="58"/>
      <c r="BQ660" s="58"/>
      <c r="BR660" s="58"/>
      <c r="BS660" s="58"/>
      <c r="BT660" s="58"/>
      <c r="BU660" s="58"/>
      <c r="BV660" s="58"/>
      <c r="BW660" s="58"/>
      <c r="BX660" s="58"/>
      <c r="BY660" s="58"/>
      <c r="BZ660" s="58"/>
      <c r="CA660" s="58"/>
      <c r="CB660" s="58"/>
      <c r="CC660" s="58"/>
      <c r="CD660" s="58"/>
      <c r="CE660" s="58"/>
      <c r="CF660" s="58"/>
      <c r="CG660" s="58"/>
      <c r="CH660" s="58"/>
      <c r="CI660" s="58"/>
      <c r="CJ660" s="58"/>
      <c r="CK660" s="58"/>
      <c r="CL660" s="58"/>
      <c r="CM660" s="58"/>
      <c r="CN660" s="58"/>
      <c r="CO660" s="58"/>
      <c r="CP660" s="58"/>
      <c r="CQ660" s="58"/>
      <c r="CR660" s="58"/>
      <c r="CS660" s="58"/>
      <c r="CT660" s="58"/>
      <c r="CU660" s="58"/>
    </row>
    <row r="661" spans="1:99" ht="15" thickBot="1" x14ac:dyDescent="0.4">
      <c r="A661" s="14"/>
      <c r="B661" s="14"/>
      <c r="C661" s="14"/>
      <c r="D661" s="14"/>
      <c r="E661" s="14"/>
      <c r="F661" s="14"/>
      <c r="G661" s="14"/>
      <c r="H661" s="14"/>
      <c r="I661" s="14"/>
      <c r="J661" s="41"/>
      <c r="L661" s="58"/>
      <c r="M661" s="58"/>
      <c r="N661" s="58"/>
      <c r="O661" s="58"/>
      <c r="P661" s="269"/>
      <c r="Q661" s="58"/>
      <c r="R661" s="58"/>
      <c r="S661" s="58"/>
      <c r="T661" s="58"/>
      <c r="U661" s="58"/>
      <c r="V661" s="269"/>
      <c r="W661" s="58"/>
      <c r="X661" s="58"/>
      <c r="Y661" s="58"/>
      <c r="Z661" s="58"/>
      <c r="AA661" s="58"/>
      <c r="AB661" s="269"/>
      <c r="AC661" s="58"/>
      <c r="AD661" s="58"/>
      <c r="AE661" s="58"/>
      <c r="AF661" s="58"/>
      <c r="AG661" s="58"/>
      <c r="AH661" s="269"/>
      <c r="AI661" s="58"/>
      <c r="AJ661" s="58"/>
      <c r="AK661" s="58"/>
      <c r="AL661" s="58"/>
      <c r="AM661" s="58"/>
      <c r="AN661" s="59"/>
      <c r="AO661" s="58"/>
      <c r="AP661" s="58"/>
      <c r="AQ661" s="58"/>
      <c r="AR661" s="58"/>
      <c r="AS661" s="58"/>
      <c r="AT661" s="59"/>
      <c r="AU661" s="58"/>
      <c r="AV661" s="58"/>
      <c r="AW661" s="58"/>
      <c r="AX661" s="58"/>
      <c r="AY661" s="58"/>
      <c r="AZ661" s="59"/>
      <c r="BA661" s="58"/>
      <c r="BB661" s="58"/>
      <c r="BC661" s="58"/>
      <c r="BD661" s="58"/>
      <c r="BE661" s="58"/>
      <c r="BF661" s="59"/>
      <c r="BG661" s="58"/>
      <c r="BH661" s="58"/>
      <c r="BI661" s="58"/>
      <c r="BJ661" s="58"/>
      <c r="BK661" s="58"/>
      <c r="BL661" s="59"/>
      <c r="BM661" s="58"/>
      <c r="BN661" s="58"/>
      <c r="BO661" s="58"/>
      <c r="BP661" s="58"/>
      <c r="BQ661" s="58"/>
      <c r="BR661" s="58"/>
      <c r="BS661" s="58"/>
      <c r="BT661" s="58"/>
      <c r="BU661" s="58"/>
      <c r="BV661" s="58"/>
      <c r="BW661" s="58"/>
      <c r="BX661" s="58"/>
      <c r="BY661" s="58"/>
      <c r="BZ661" s="58"/>
      <c r="CA661" s="58"/>
      <c r="CB661" s="58"/>
      <c r="CC661" s="58"/>
      <c r="CD661" s="58"/>
      <c r="CE661" s="58"/>
      <c r="CF661" s="58"/>
      <c r="CG661" s="58"/>
      <c r="CH661" s="58"/>
      <c r="CI661" s="58"/>
      <c r="CJ661" s="58"/>
      <c r="CK661" s="58"/>
      <c r="CL661" s="58"/>
      <c r="CM661" s="58"/>
      <c r="CN661" s="58"/>
      <c r="CO661" s="58"/>
      <c r="CP661" s="58"/>
      <c r="CQ661" s="58"/>
      <c r="CR661" s="58"/>
      <c r="CS661" s="58"/>
      <c r="CT661" s="58"/>
      <c r="CU661" s="58"/>
    </row>
    <row r="662" spans="1:99" ht="15" thickBot="1" x14ac:dyDescent="0.4">
      <c r="A662" s="14"/>
      <c r="B662" s="14"/>
      <c r="C662" s="14"/>
      <c r="D662" s="14"/>
      <c r="E662" s="14"/>
      <c r="F662" s="14"/>
      <c r="G662" s="14"/>
      <c r="H662" s="14"/>
      <c r="I662" s="14"/>
      <c r="J662" s="41"/>
      <c r="L662" s="58"/>
      <c r="M662" s="58"/>
      <c r="N662" s="58"/>
      <c r="O662" s="58"/>
      <c r="P662" s="269"/>
      <c r="Q662" s="58"/>
      <c r="R662" s="58"/>
      <c r="S662" s="58"/>
      <c r="T662" s="58"/>
      <c r="U662" s="58"/>
      <c r="V662" s="269"/>
      <c r="W662" s="58"/>
      <c r="X662" s="58"/>
      <c r="Y662" s="58"/>
      <c r="Z662" s="58"/>
      <c r="AA662" s="58"/>
      <c r="AB662" s="269"/>
      <c r="AC662" s="58"/>
      <c r="AD662" s="58"/>
      <c r="AE662" s="58"/>
      <c r="AF662" s="58"/>
      <c r="AG662" s="58"/>
      <c r="AH662" s="269"/>
      <c r="AI662" s="58"/>
      <c r="AJ662" s="58"/>
      <c r="AK662" s="58"/>
      <c r="AL662" s="58"/>
      <c r="AM662" s="58"/>
      <c r="AN662" s="59"/>
      <c r="AO662" s="58"/>
      <c r="AP662" s="58"/>
      <c r="AQ662" s="58"/>
      <c r="AR662" s="58"/>
      <c r="AS662" s="58"/>
      <c r="AT662" s="59"/>
      <c r="AU662" s="58"/>
      <c r="AV662" s="58"/>
      <c r="AW662" s="58"/>
      <c r="AX662" s="58"/>
      <c r="AY662" s="58"/>
      <c r="AZ662" s="59"/>
      <c r="BA662" s="58"/>
      <c r="BB662" s="58"/>
      <c r="BC662" s="58"/>
      <c r="BD662" s="58"/>
      <c r="BE662" s="58"/>
      <c r="BF662" s="59"/>
      <c r="BG662" s="58"/>
      <c r="BH662" s="58"/>
      <c r="BI662" s="58"/>
      <c r="BJ662" s="58"/>
      <c r="BK662" s="58"/>
      <c r="BL662" s="59"/>
      <c r="BM662" s="58"/>
      <c r="BN662" s="58"/>
      <c r="BO662" s="58"/>
      <c r="BP662" s="58"/>
      <c r="BQ662" s="58"/>
      <c r="BR662" s="58"/>
      <c r="BS662" s="58"/>
      <c r="BT662" s="58"/>
      <c r="BU662" s="58"/>
      <c r="BV662" s="58"/>
      <c r="BW662" s="58"/>
      <c r="BX662" s="58"/>
      <c r="BY662" s="58"/>
      <c r="BZ662" s="58"/>
      <c r="CA662" s="58"/>
      <c r="CB662" s="58"/>
      <c r="CC662" s="58"/>
      <c r="CD662" s="58"/>
      <c r="CE662" s="58"/>
      <c r="CF662" s="58"/>
      <c r="CG662" s="58"/>
      <c r="CH662" s="58"/>
      <c r="CI662" s="58"/>
      <c r="CJ662" s="58"/>
      <c r="CK662" s="58"/>
      <c r="CL662" s="58"/>
      <c r="CM662" s="58"/>
      <c r="CN662" s="58"/>
      <c r="CO662" s="58"/>
      <c r="CP662" s="58"/>
      <c r="CQ662" s="58"/>
      <c r="CR662" s="58"/>
      <c r="CS662" s="58"/>
      <c r="CT662" s="58"/>
      <c r="CU662" s="58"/>
    </row>
    <row r="663" spans="1:99" ht="15" thickBot="1" x14ac:dyDescent="0.4">
      <c r="A663" s="14"/>
      <c r="B663" s="14"/>
      <c r="C663" s="14"/>
      <c r="D663" s="14"/>
      <c r="E663" s="14"/>
      <c r="F663" s="14"/>
      <c r="G663" s="14"/>
      <c r="H663" s="14"/>
      <c r="I663" s="14"/>
      <c r="J663" s="41"/>
      <c r="M663" s="149"/>
      <c r="N663" s="270"/>
      <c r="P663" s="271"/>
      <c r="S663" s="270"/>
      <c r="T663" s="270"/>
      <c r="V663" s="272"/>
      <c r="Y663" s="270"/>
      <c r="Z663" s="270"/>
      <c r="AB663" s="273"/>
      <c r="AE663" s="270"/>
      <c r="AF663" s="270"/>
      <c r="AH663" s="274"/>
      <c r="AK663" s="270"/>
      <c r="AL663" s="270"/>
      <c r="AN663" s="57"/>
      <c r="AQ663" s="270"/>
      <c r="AR663" s="270"/>
      <c r="AT663" s="61"/>
      <c r="AW663" s="270"/>
      <c r="AX663" s="270"/>
      <c r="AZ663" s="63"/>
      <c r="BC663" s="270"/>
      <c r="BD663" s="270"/>
      <c r="BF663" s="65"/>
      <c r="BI663" s="270"/>
      <c r="BJ663" s="270"/>
      <c r="BL663" s="68"/>
      <c r="BO663" s="270"/>
      <c r="BP663" s="270"/>
      <c r="BU663" s="270"/>
      <c r="BV663" s="270"/>
      <c r="CA663" s="270"/>
      <c r="CB663" s="270"/>
      <c r="CG663" s="270"/>
      <c r="CH663" s="270"/>
      <c r="CM663" s="270"/>
      <c r="CN663" s="270"/>
      <c r="CS663" s="270"/>
      <c r="CT663" s="270"/>
    </row>
    <row r="664" spans="1:99" ht="15" thickBot="1" x14ac:dyDescent="0.4">
      <c r="A664" s="14"/>
      <c r="B664" s="14"/>
      <c r="C664" s="14"/>
      <c r="D664" s="14"/>
      <c r="E664" s="14"/>
      <c r="F664" s="14"/>
      <c r="G664" s="14"/>
      <c r="H664" s="14"/>
      <c r="I664" s="14"/>
      <c r="J664" s="41"/>
      <c r="P664" s="17"/>
      <c r="V664" s="50"/>
      <c r="AB664" s="18"/>
      <c r="AH664" s="54"/>
      <c r="AN664" s="41"/>
      <c r="AT664" s="60"/>
      <c r="AZ664" s="62"/>
      <c r="BF664" s="64"/>
      <c r="BL664" s="66"/>
    </row>
    <row r="665" spans="1:99" ht="15" thickBot="1" x14ac:dyDescent="0.4">
      <c r="A665" s="14"/>
      <c r="B665" s="14"/>
      <c r="C665" s="14"/>
      <c r="D665" s="14"/>
      <c r="E665" s="14"/>
      <c r="F665" s="14"/>
      <c r="G665" s="14"/>
      <c r="H665" s="14"/>
      <c r="I665" s="14"/>
      <c r="J665" s="41"/>
      <c r="P665" s="17"/>
      <c r="V665" s="50"/>
      <c r="AB665" s="18"/>
      <c r="AH665" s="54"/>
      <c r="AN665" s="41"/>
      <c r="AT665" s="60"/>
      <c r="AZ665" s="62"/>
      <c r="BF665" s="64"/>
      <c r="BL665" s="66"/>
    </row>
    <row r="666" spans="1:99" ht="15" thickBot="1" x14ac:dyDescent="0.4">
      <c r="A666" s="14"/>
      <c r="B666" s="14"/>
      <c r="C666" s="14"/>
      <c r="D666" s="14"/>
      <c r="E666" s="14"/>
      <c r="F666" s="14"/>
      <c r="G666" s="14"/>
      <c r="H666" s="14"/>
      <c r="I666" s="14"/>
      <c r="J666" s="41"/>
      <c r="P666" s="17"/>
      <c r="V666" s="50"/>
      <c r="AB666" s="18"/>
      <c r="AH666" s="54"/>
      <c r="AN666" s="41"/>
      <c r="AT666" s="60"/>
      <c r="AZ666" s="62"/>
      <c r="BF666" s="64"/>
      <c r="BL666" s="66"/>
    </row>
    <row r="667" spans="1:99" ht="15" thickBot="1" x14ac:dyDescent="0.4">
      <c r="A667" s="14"/>
      <c r="B667" s="14"/>
      <c r="C667" s="14"/>
      <c r="D667" s="14"/>
      <c r="E667" s="14"/>
      <c r="F667" s="14"/>
      <c r="G667" s="14"/>
      <c r="H667" s="14"/>
      <c r="I667" s="14"/>
      <c r="J667" s="41"/>
      <c r="P667" s="17"/>
      <c r="V667" s="50"/>
      <c r="AB667" s="18"/>
      <c r="AH667" s="54"/>
      <c r="AN667" s="41"/>
      <c r="AT667" s="60"/>
      <c r="AZ667" s="62"/>
      <c r="BF667" s="64"/>
      <c r="BL667" s="66"/>
    </row>
    <row r="668" spans="1:99" ht="15" thickBot="1" x14ac:dyDescent="0.4">
      <c r="A668" s="14"/>
      <c r="B668" s="14"/>
      <c r="C668" s="14"/>
      <c r="D668" s="14"/>
      <c r="E668" s="14"/>
      <c r="F668" s="14"/>
      <c r="G668" s="14"/>
      <c r="H668" s="14"/>
      <c r="I668" s="14"/>
      <c r="J668" s="41"/>
      <c r="P668" s="17"/>
      <c r="V668" s="50"/>
      <c r="AB668" s="18"/>
      <c r="AH668" s="54"/>
      <c r="AN668" s="41"/>
      <c r="AT668" s="60"/>
      <c r="AZ668" s="62"/>
      <c r="BF668" s="64"/>
      <c r="BL668" s="66"/>
    </row>
    <row r="669" spans="1:99" ht="15" thickBot="1" x14ac:dyDescent="0.4">
      <c r="A669" s="14"/>
      <c r="B669" s="14"/>
      <c r="C669" s="14"/>
      <c r="D669" s="14"/>
      <c r="E669" s="14"/>
      <c r="F669" s="14"/>
      <c r="G669" s="14"/>
      <c r="H669" s="14"/>
      <c r="I669" s="14"/>
      <c r="J669" s="41"/>
      <c r="P669" s="17"/>
      <c r="V669" s="50"/>
      <c r="AB669" s="18"/>
      <c r="AH669" s="54"/>
      <c r="AN669" s="41"/>
      <c r="AT669" s="60"/>
      <c r="AZ669" s="62"/>
      <c r="BF669" s="64"/>
      <c r="BL669" s="66"/>
    </row>
    <row r="670" spans="1:99" ht="15" thickBot="1" x14ac:dyDescent="0.4">
      <c r="A670" s="14"/>
      <c r="B670" s="14"/>
      <c r="C670" s="14"/>
      <c r="D670" s="14"/>
      <c r="E670" s="14"/>
      <c r="F670" s="14"/>
      <c r="G670" s="14"/>
      <c r="H670" s="14"/>
      <c r="I670" s="14"/>
      <c r="J670" s="41"/>
      <c r="P670" s="17"/>
      <c r="V670" s="50"/>
      <c r="AB670" s="18"/>
      <c r="AH670" s="54"/>
      <c r="AN670" s="41"/>
      <c r="AT670" s="60"/>
      <c r="AZ670" s="62"/>
      <c r="BF670" s="64"/>
      <c r="BL670" s="66"/>
    </row>
    <row r="671" spans="1:99" ht="15" thickBot="1" x14ac:dyDescent="0.4">
      <c r="A671" s="14"/>
      <c r="B671" s="14"/>
      <c r="C671" s="14"/>
      <c r="D671" s="14"/>
      <c r="E671" s="14"/>
      <c r="F671" s="14"/>
      <c r="G671" s="14"/>
      <c r="H671" s="14"/>
      <c r="I671" s="14"/>
      <c r="J671" s="41"/>
      <c r="P671" s="17"/>
      <c r="V671" s="50"/>
      <c r="AB671" s="18"/>
      <c r="AH671" s="54"/>
      <c r="AN671" s="41"/>
      <c r="AT671" s="60"/>
      <c r="AZ671" s="62"/>
      <c r="BF671" s="64"/>
      <c r="BL671" s="66"/>
    </row>
    <row r="672" spans="1:99" ht="15" thickBot="1" x14ac:dyDescent="0.4">
      <c r="A672" s="14"/>
      <c r="B672" s="14"/>
      <c r="C672" s="14"/>
      <c r="D672" s="14"/>
      <c r="E672" s="14"/>
      <c r="F672" s="14"/>
      <c r="G672" s="14"/>
      <c r="H672" s="14"/>
      <c r="I672" s="14"/>
      <c r="J672" s="41"/>
      <c r="P672" s="17"/>
      <c r="V672" s="50"/>
      <c r="AB672" s="18"/>
      <c r="AH672" s="54"/>
      <c r="AN672" s="41"/>
      <c r="AT672" s="60"/>
      <c r="AZ672" s="62"/>
      <c r="BF672" s="64"/>
      <c r="BL672" s="66"/>
    </row>
    <row r="673" spans="1:64" ht="15" thickBot="1" x14ac:dyDescent="0.4">
      <c r="A673" s="14"/>
      <c r="B673" s="14"/>
      <c r="C673" s="14"/>
      <c r="D673" s="14"/>
      <c r="E673" s="14"/>
      <c r="F673" s="14"/>
      <c r="G673" s="14"/>
      <c r="H673" s="14"/>
      <c r="I673" s="14"/>
      <c r="J673" s="41"/>
      <c r="P673" s="17"/>
      <c r="V673" s="50"/>
      <c r="AB673" s="18"/>
      <c r="AH673" s="54"/>
      <c r="AN673" s="41"/>
      <c r="AT673" s="60"/>
      <c r="AZ673" s="62"/>
      <c r="BF673" s="64"/>
      <c r="BL673" s="66"/>
    </row>
    <row r="674" spans="1:64" ht="15" thickBot="1" x14ac:dyDescent="0.4">
      <c r="A674" s="14"/>
      <c r="B674" s="14"/>
      <c r="C674" s="14"/>
      <c r="D674" s="14"/>
      <c r="E674" s="14"/>
      <c r="F674" s="14"/>
      <c r="G674" s="14"/>
      <c r="H674" s="14"/>
      <c r="I674" s="14"/>
      <c r="J674" s="41"/>
      <c r="P674" s="17"/>
      <c r="V674" s="50"/>
      <c r="AB674" s="18"/>
      <c r="AH674" s="54"/>
      <c r="AN674" s="41"/>
      <c r="AT674" s="60"/>
      <c r="AZ674" s="62"/>
      <c r="BF674" s="64"/>
      <c r="BL674" s="66"/>
    </row>
    <row r="675" spans="1:64" ht="15" thickBot="1" x14ac:dyDescent="0.4">
      <c r="A675" s="14"/>
      <c r="B675" s="14"/>
      <c r="C675" s="14"/>
      <c r="D675" s="14"/>
      <c r="E675" s="14"/>
      <c r="F675" s="14"/>
      <c r="G675" s="14"/>
      <c r="H675" s="14"/>
      <c r="I675" s="14"/>
      <c r="J675" s="41"/>
      <c r="P675" s="17"/>
      <c r="V675" s="50"/>
      <c r="AB675" s="18"/>
      <c r="AH675" s="54"/>
      <c r="AN675" s="41"/>
      <c r="AT675" s="60"/>
      <c r="AZ675" s="62"/>
      <c r="BF675" s="64"/>
      <c r="BL675" s="66"/>
    </row>
    <row r="676" spans="1:64" ht="15" thickBot="1" x14ac:dyDescent="0.4">
      <c r="A676" s="14"/>
      <c r="B676" s="14"/>
      <c r="C676" s="14"/>
      <c r="D676" s="14"/>
      <c r="E676" s="14"/>
      <c r="F676" s="14"/>
      <c r="G676" s="14"/>
      <c r="H676" s="14"/>
      <c r="I676" s="14"/>
      <c r="J676" s="41"/>
      <c r="P676" s="17"/>
      <c r="V676" s="50"/>
      <c r="AB676" s="18"/>
      <c r="AH676" s="54"/>
      <c r="AN676" s="41"/>
      <c r="AT676" s="60"/>
      <c r="AZ676" s="62"/>
      <c r="BF676" s="64"/>
      <c r="BL676" s="66"/>
    </row>
    <row r="677" spans="1:64" ht="15" thickBot="1" x14ac:dyDescent="0.4">
      <c r="A677" s="14"/>
      <c r="B677" s="14"/>
      <c r="C677" s="14"/>
      <c r="D677" s="14"/>
      <c r="E677" s="14"/>
      <c r="F677" s="14"/>
      <c r="G677" s="14"/>
      <c r="H677" s="14"/>
      <c r="I677" s="14"/>
      <c r="J677" s="41"/>
      <c r="P677" s="17"/>
      <c r="V677" s="50"/>
      <c r="AB677" s="18"/>
      <c r="AH677" s="54"/>
      <c r="AN677" s="41"/>
      <c r="AT677" s="60"/>
      <c r="AZ677" s="62"/>
      <c r="BF677" s="64"/>
      <c r="BL677" s="66"/>
    </row>
    <row r="678" spans="1:64" ht="15" thickBot="1" x14ac:dyDescent="0.4">
      <c r="A678" s="14"/>
      <c r="B678" s="14"/>
      <c r="C678" s="14"/>
      <c r="D678" s="14"/>
      <c r="E678" s="14"/>
      <c r="F678" s="14"/>
      <c r="G678" s="14"/>
      <c r="H678" s="14"/>
      <c r="I678" s="14"/>
      <c r="J678" s="41"/>
      <c r="P678" s="17"/>
      <c r="V678" s="50"/>
      <c r="AB678" s="18"/>
      <c r="AH678" s="54"/>
      <c r="AN678" s="41"/>
      <c r="AT678" s="60"/>
      <c r="AZ678" s="62"/>
      <c r="BF678" s="64"/>
      <c r="BL678" s="66"/>
    </row>
    <row r="679" spans="1:64" ht="15" thickBot="1" x14ac:dyDescent="0.4">
      <c r="A679" s="14"/>
      <c r="B679" s="14"/>
      <c r="C679" s="14"/>
      <c r="D679" s="14"/>
      <c r="E679" s="14"/>
      <c r="F679" s="14"/>
      <c r="G679" s="14"/>
      <c r="H679" s="14"/>
      <c r="I679" s="14"/>
      <c r="J679" s="41"/>
      <c r="P679" s="17"/>
      <c r="V679" s="50"/>
      <c r="AB679" s="18"/>
      <c r="AH679" s="54"/>
      <c r="AN679" s="41"/>
      <c r="AT679" s="60"/>
      <c r="AZ679" s="62"/>
      <c r="BF679" s="64"/>
      <c r="BL679" s="66"/>
    </row>
    <row r="680" spans="1:64" ht="15" thickBot="1" x14ac:dyDescent="0.4">
      <c r="A680" s="14"/>
      <c r="B680" s="14"/>
      <c r="C680" s="14"/>
      <c r="D680" s="14"/>
      <c r="E680" s="14"/>
      <c r="F680" s="14"/>
      <c r="G680" s="14"/>
      <c r="H680" s="14"/>
      <c r="I680" s="14"/>
      <c r="J680" s="41"/>
      <c r="P680" s="17"/>
      <c r="V680" s="50"/>
      <c r="AB680" s="18"/>
      <c r="AH680" s="54"/>
      <c r="AN680" s="41"/>
      <c r="AT680" s="60"/>
      <c r="AZ680" s="62"/>
      <c r="BF680" s="64"/>
      <c r="BL680" s="66"/>
    </row>
    <row r="681" spans="1:64" ht="15" thickBot="1" x14ac:dyDescent="0.4">
      <c r="A681" s="14"/>
      <c r="B681" s="14"/>
      <c r="C681" s="14"/>
      <c r="D681" s="14"/>
      <c r="E681" s="14"/>
      <c r="F681" s="14"/>
      <c r="G681" s="14"/>
      <c r="H681" s="14"/>
      <c r="I681" s="14"/>
      <c r="J681" s="41"/>
      <c r="P681" s="17"/>
      <c r="V681" s="50"/>
      <c r="AB681" s="18"/>
      <c r="AH681" s="54"/>
      <c r="AN681" s="41"/>
      <c r="AT681" s="60"/>
      <c r="AZ681" s="62"/>
      <c r="BF681" s="64"/>
      <c r="BL681" s="66"/>
    </row>
    <row r="682" spans="1:64" ht="15" thickBot="1" x14ac:dyDescent="0.4">
      <c r="A682" s="14"/>
      <c r="B682" s="14"/>
      <c r="C682" s="14"/>
      <c r="D682" s="14"/>
      <c r="E682" s="14"/>
      <c r="F682" s="14"/>
      <c r="G682" s="14"/>
      <c r="H682" s="14"/>
      <c r="I682" s="14"/>
      <c r="J682" s="41"/>
      <c r="P682" s="17"/>
      <c r="V682" s="50"/>
      <c r="AB682" s="18"/>
      <c r="AH682" s="54"/>
      <c r="AN682" s="41"/>
      <c r="AT682" s="60"/>
      <c r="AZ682" s="62"/>
      <c r="BF682" s="64"/>
      <c r="BL682" s="66"/>
    </row>
    <row r="683" spans="1:64" ht="15" thickBot="1" x14ac:dyDescent="0.4">
      <c r="A683" s="14"/>
      <c r="B683" s="14"/>
      <c r="C683" s="14"/>
      <c r="D683" s="14"/>
      <c r="E683" s="14"/>
      <c r="F683" s="14"/>
      <c r="G683" s="14"/>
      <c r="H683" s="14"/>
      <c r="I683" s="14"/>
      <c r="J683" s="41"/>
      <c r="P683" s="17"/>
      <c r="V683" s="50"/>
      <c r="AB683" s="18"/>
      <c r="AH683" s="54"/>
      <c r="AN683" s="41"/>
      <c r="AT683" s="60"/>
      <c r="AZ683" s="62"/>
      <c r="BF683" s="64"/>
      <c r="BL683" s="66"/>
    </row>
    <row r="684" spans="1:64" ht="15" thickBot="1" x14ac:dyDescent="0.4">
      <c r="A684" s="14"/>
      <c r="B684" s="14"/>
      <c r="C684" s="14"/>
      <c r="D684" s="14"/>
      <c r="E684" s="14"/>
      <c r="F684" s="14"/>
      <c r="G684" s="14"/>
      <c r="H684" s="14"/>
      <c r="I684" s="14"/>
      <c r="J684" s="41"/>
      <c r="P684" s="17"/>
      <c r="V684" s="50"/>
      <c r="AB684" s="18"/>
      <c r="AH684" s="54"/>
      <c r="AN684" s="41"/>
      <c r="AT684" s="60"/>
      <c r="AZ684" s="62"/>
      <c r="BF684" s="64"/>
      <c r="BL684" s="66"/>
    </row>
    <row r="685" spans="1:64" ht="15" thickBot="1" x14ac:dyDescent="0.4">
      <c r="A685" s="14"/>
      <c r="B685" s="14"/>
      <c r="C685" s="14"/>
      <c r="D685" s="14"/>
      <c r="E685" s="14"/>
      <c r="F685" s="14"/>
      <c r="G685" s="14"/>
      <c r="H685" s="14"/>
      <c r="I685" s="14"/>
      <c r="J685" s="41"/>
      <c r="P685" s="17"/>
      <c r="V685" s="50"/>
      <c r="AB685" s="18"/>
      <c r="AH685" s="54"/>
      <c r="AN685" s="41"/>
      <c r="AT685" s="60"/>
      <c r="AZ685" s="62"/>
      <c r="BF685" s="64"/>
      <c r="BL685" s="66"/>
    </row>
    <row r="686" spans="1:64" ht="15" thickBot="1" x14ac:dyDescent="0.4">
      <c r="A686" s="14"/>
      <c r="B686" s="14"/>
      <c r="C686" s="14"/>
      <c r="D686" s="14"/>
      <c r="E686" s="14"/>
      <c r="F686" s="14"/>
      <c r="G686" s="14"/>
      <c r="H686" s="14"/>
      <c r="I686" s="14"/>
      <c r="J686" s="41"/>
      <c r="P686" s="17"/>
      <c r="V686" s="50"/>
      <c r="AB686" s="18"/>
      <c r="AH686" s="54"/>
      <c r="AN686" s="41"/>
      <c r="AT686" s="60"/>
      <c r="AZ686" s="62"/>
      <c r="BF686" s="64"/>
      <c r="BL686" s="66"/>
    </row>
    <row r="687" spans="1:64" ht="15" thickBot="1" x14ac:dyDescent="0.4">
      <c r="A687" s="14"/>
      <c r="B687" s="14"/>
      <c r="C687" s="14"/>
      <c r="D687" s="14"/>
      <c r="E687" s="14"/>
      <c r="F687" s="14"/>
      <c r="G687" s="14"/>
      <c r="H687" s="14"/>
      <c r="I687" s="14"/>
      <c r="J687" s="41"/>
      <c r="P687" s="17"/>
      <c r="V687" s="50"/>
      <c r="AB687" s="18"/>
      <c r="AH687" s="54"/>
      <c r="AN687" s="41"/>
      <c r="AT687" s="60"/>
      <c r="AZ687" s="62"/>
      <c r="BF687" s="64"/>
      <c r="BL687" s="66"/>
    </row>
    <row r="688" spans="1:64" ht="15" thickBot="1" x14ac:dyDescent="0.4">
      <c r="A688" s="14"/>
      <c r="B688" s="14"/>
      <c r="C688" s="14"/>
      <c r="D688" s="14"/>
      <c r="E688" s="14"/>
      <c r="F688" s="14"/>
      <c r="G688" s="14"/>
      <c r="H688" s="14"/>
      <c r="I688" s="14"/>
      <c r="J688" s="41"/>
      <c r="P688" s="17"/>
      <c r="V688" s="50"/>
      <c r="AB688" s="18"/>
      <c r="AH688" s="54"/>
      <c r="AN688" s="41"/>
      <c r="AT688" s="60"/>
      <c r="AZ688" s="62"/>
      <c r="BF688" s="64"/>
      <c r="BL688" s="66"/>
    </row>
    <row r="689" spans="1:64" ht="15" thickBot="1" x14ac:dyDescent="0.4">
      <c r="A689" s="14"/>
      <c r="B689" s="14"/>
      <c r="C689" s="14"/>
      <c r="D689" s="14"/>
      <c r="E689" s="14"/>
      <c r="F689" s="14"/>
      <c r="G689" s="14"/>
      <c r="H689" s="14"/>
      <c r="I689" s="14"/>
      <c r="J689" s="41"/>
      <c r="P689" s="17"/>
      <c r="V689" s="50"/>
      <c r="AB689" s="18"/>
      <c r="AH689" s="54"/>
      <c r="AN689" s="41"/>
      <c r="AT689" s="60"/>
      <c r="AZ689" s="62"/>
      <c r="BF689" s="64"/>
      <c r="BL689" s="66"/>
    </row>
    <row r="690" spans="1:64" ht="15" thickBot="1" x14ac:dyDescent="0.4">
      <c r="A690" s="14"/>
      <c r="B690" s="14"/>
      <c r="C690" s="14"/>
      <c r="D690" s="14"/>
      <c r="E690" s="14"/>
      <c r="F690" s="14"/>
      <c r="G690" s="14"/>
      <c r="H690" s="14"/>
      <c r="I690" s="14"/>
      <c r="J690" s="41"/>
      <c r="P690" s="17"/>
      <c r="V690" s="50"/>
      <c r="AB690" s="18"/>
      <c r="AH690" s="54"/>
      <c r="AN690" s="41"/>
      <c r="AT690" s="60"/>
      <c r="AZ690" s="62"/>
      <c r="BF690" s="64"/>
      <c r="BL690" s="66"/>
    </row>
    <row r="691" spans="1:64" ht="15" thickBot="1" x14ac:dyDescent="0.4">
      <c r="A691" s="14"/>
      <c r="B691" s="14"/>
      <c r="C691" s="14"/>
      <c r="D691" s="14"/>
      <c r="E691" s="14"/>
      <c r="F691" s="14"/>
      <c r="G691" s="14"/>
      <c r="H691" s="14"/>
      <c r="I691" s="14"/>
      <c r="J691" s="41"/>
      <c r="P691" s="17"/>
      <c r="V691" s="50"/>
      <c r="AB691" s="18"/>
      <c r="AH691" s="54"/>
      <c r="AN691" s="41"/>
      <c r="AT691" s="60"/>
      <c r="AZ691" s="62"/>
      <c r="BF691" s="64"/>
      <c r="BL691" s="66"/>
    </row>
    <row r="692" spans="1:64" ht="15" thickBot="1" x14ac:dyDescent="0.4">
      <c r="A692" s="14"/>
      <c r="B692" s="14"/>
      <c r="C692" s="14"/>
      <c r="D692" s="14"/>
      <c r="E692" s="14"/>
      <c r="F692" s="14"/>
      <c r="G692" s="14"/>
      <c r="H692" s="14"/>
      <c r="I692" s="14"/>
      <c r="J692" s="41"/>
      <c r="P692" s="17"/>
      <c r="V692" s="50"/>
      <c r="AB692" s="18"/>
      <c r="AH692" s="54"/>
      <c r="AN692" s="41"/>
      <c r="AT692" s="60"/>
      <c r="AZ692" s="62"/>
      <c r="BF692" s="64"/>
      <c r="BL692" s="66"/>
    </row>
    <row r="693" spans="1:64" ht="15" thickBot="1" x14ac:dyDescent="0.4">
      <c r="A693" s="14"/>
      <c r="B693" s="14"/>
      <c r="C693" s="14"/>
      <c r="D693" s="14"/>
      <c r="E693" s="14"/>
      <c r="F693" s="14"/>
      <c r="G693" s="14"/>
      <c r="H693" s="14"/>
      <c r="I693" s="14"/>
      <c r="J693" s="41"/>
      <c r="P693" s="17"/>
      <c r="V693" s="50"/>
      <c r="AB693" s="18"/>
      <c r="AH693" s="54"/>
      <c r="AN693" s="41"/>
      <c r="AT693" s="60"/>
      <c r="AZ693" s="62"/>
      <c r="BF693" s="64"/>
      <c r="BL693" s="66"/>
    </row>
    <row r="694" spans="1:64" ht="15" thickBot="1" x14ac:dyDescent="0.4">
      <c r="A694" s="14"/>
      <c r="B694" s="14"/>
      <c r="C694" s="14"/>
      <c r="D694" s="14"/>
      <c r="E694" s="14"/>
      <c r="F694" s="14"/>
      <c r="G694" s="14"/>
      <c r="H694" s="14"/>
      <c r="I694" s="14"/>
      <c r="J694" s="41"/>
      <c r="P694" s="17"/>
      <c r="V694" s="50"/>
      <c r="AB694" s="18"/>
      <c r="AH694" s="54"/>
      <c r="AN694" s="41"/>
      <c r="AT694" s="60"/>
      <c r="AZ694" s="62"/>
      <c r="BF694" s="64"/>
      <c r="BL694" s="66"/>
    </row>
    <row r="695" spans="1:64" ht="15" thickBot="1" x14ac:dyDescent="0.4">
      <c r="A695" s="14"/>
      <c r="B695" s="14"/>
      <c r="C695" s="14"/>
      <c r="D695" s="14"/>
      <c r="E695" s="14"/>
      <c r="F695" s="14"/>
      <c r="G695" s="14"/>
      <c r="H695" s="14"/>
      <c r="I695" s="14"/>
      <c r="J695" s="41"/>
      <c r="P695" s="17"/>
      <c r="V695" s="50"/>
      <c r="AB695" s="18"/>
      <c r="AH695" s="54"/>
      <c r="AN695" s="41"/>
      <c r="AT695" s="60"/>
      <c r="AZ695" s="62"/>
      <c r="BF695" s="64"/>
      <c r="BL695" s="66"/>
    </row>
    <row r="696" spans="1:64" ht="15" thickBot="1" x14ac:dyDescent="0.4">
      <c r="A696" s="14"/>
      <c r="B696" s="14"/>
      <c r="C696" s="14"/>
      <c r="D696" s="14"/>
      <c r="E696" s="14"/>
      <c r="F696" s="14"/>
      <c r="G696" s="14"/>
      <c r="H696" s="14"/>
      <c r="I696" s="14"/>
      <c r="J696" s="41"/>
      <c r="P696" s="17"/>
      <c r="V696" s="50"/>
      <c r="AB696" s="18"/>
      <c r="AH696" s="54"/>
      <c r="AN696" s="41"/>
      <c r="AT696" s="60"/>
      <c r="AZ696" s="62"/>
      <c r="BF696" s="64"/>
      <c r="BL696" s="66"/>
    </row>
    <row r="697" spans="1:64" ht="15" thickBot="1" x14ac:dyDescent="0.4">
      <c r="A697" s="14"/>
      <c r="B697" s="14"/>
      <c r="C697" s="14"/>
      <c r="D697" s="14"/>
      <c r="E697" s="14"/>
      <c r="F697" s="14"/>
      <c r="G697" s="14"/>
      <c r="H697" s="14"/>
      <c r="I697" s="14"/>
      <c r="J697" s="41"/>
      <c r="P697" s="17"/>
      <c r="V697" s="50"/>
      <c r="AB697" s="18"/>
      <c r="AH697" s="54"/>
      <c r="AN697" s="41"/>
      <c r="AT697" s="60"/>
      <c r="AZ697" s="62"/>
      <c r="BF697" s="64"/>
      <c r="BL697" s="66"/>
    </row>
    <row r="698" spans="1:64" ht="15" thickBot="1" x14ac:dyDescent="0.4">
      <c r="A698" s="14"/>
      <c r="B698" s="14"/>
      <c r="C698" s="14"/>
      <c r="D698" s="14"/>
      <c r="E698" s="14"/>
      <c r="F698" s="14"/>
      <c r="G698" s="14"/>
      <c r="H698" s="14"/>
      <c r="I698" s="14"/>
      <c r="J698" s="41"/>
      <c r="P698" s="17"/>
      <c r="V698" s="50"/>
      <c r="AB698" s="18"/>
      <c r="AH698" s="54"/>
      <c r="AN698" s="41"/>
      <c r="AT698" s="60"/>
      <c r="AZ698" s="62"/>
      <c r="BF698" s="64"/>
      <c r="BL698" s="66"/>
    </row>
    <row r="699" spans="1:64" ht="15" thickBot="1" x14ac:dyDescent="0.4">
      <c r="A699" s="14"/>
      <c r="B699" s="14"/>
      <c r="C699" s="14"/>
      <c r="D699" s="14"/>
      <c r="E699" s="14"/>
      <c r="F699" s="14"/>
      <c r="G699" s="14"/>
      <c r="H699" s="14"/>
      <c r="I699" s="14"/>
      <c r="J699" s="41"/>
      <c r="P699" s="17"/>
      <c r="V699" s="50"/>
      <c r="AB699" s="18"/>
      <c r="AH699" s="54"/>
      <c r="AN699" s="41"/>
      <c r="AT699" s="60"/>
      <c r="AZ699" s="62"/>
      <c r="BF699" s="64"/>
      <c r="BL699" s="66"/>
    </row>
    <row r="700" spans="1:64" ht="15" thickBot="1" x14ac:dyDescent="0.4">
      <c r="A700" s="14"/>
      <c r="B700" s="14"/>
      <c r="C700" s="14"/>
      <c r="D700" s="14"/>
      <c r="E700" s="14"/>
      <c r="F700" s="14"/>
      <c r="G700" s="14"/>
      <c r="H700" s="14"/>
      <c r="I700" s="14"/>
      <c r="J700" s="41"/>
      <c r="P700" s="17"/>
      <c r="V700" s="50"/>
      <c r="AB700" s="18"/>
      <c r="AH700" s="54"/>
      <c r="AN700" s="41"/>
      <c r="AT700" s="60"/>
      <c r="AZ700" s="62"/>
      <c r="BF700" s="64"/>
      <c r="BL700" s="66"/>
    </row>
    <row r="701" spans="1:64" ht="15" thickBot="1" x14ac:dyDescent="0.4">
      <c r="A701" s="14"/>
      <c r="B701" s="14"/>
      <c r="C701" s="14"/>
      <c r="D701" s="14"/>
      <c r="E701" s="14"/>
      <c r="F701" s="14"/>
      <c r="G701" s="14"/>
      <c r="H701" s="14"/>
      <c r="I701" s="14"/>
      <c r="J701" s="41"/>
      <c r="P701" s="17"/>
      <c r="V701" s="50"/>
      <c r="AB701" s="18"/>
      <c r="AH701" s="54"/>
      <c r="AN701" s="41"/>
      <c r="AT701" s="60"/>
      <c r="AZ701" s="62"/>
      <c r="BF701" s="64"/>
      <c r="BL701" s="66"/>
    </row>
    <row r="702" spans="1:64" ht="15" thickBot="1" x14ac:dyDescent="0.4">
      <c r="A702" s="14"/>
      <c r="B702" s="14"/>
      <c r="C702" s="14"/>
      <c r="D702" s="14"/>
      <c r="E702" s="14"/>
      <c r="F702" s="14"/>
      <c r="G702" s="14"/>
      <c r="H702" s="14"/>
      <c r="I702" s="14"/>
      <c r="J702" s="41"/>
      <c r="P702" s="17"/>
      <c r="V702" s="50"/>
      <c r="AB702" s="18"/>
      <c r="AH702" s="54"/>
      <c r="AN702" s="41"/>
      <c r="AT702" s="60"/>
      <c r="AZ702" s="62"/>
      <c r="BF702" s="64"/>
      <c r="BL702" s="66"/>
    </row>
    <row r="703" spans="1:64" ht="15" thickBot="1" x14ac:dyDescent="0.4">
      <c r="A703" s="14"/>
      <c r="B703" s="14"/>
      <c r="C703" s="14"/>
      <c r="D703" s="14"/>
      <c r="E703" s="14"/>
      <c r="F703" s="14"/>
      <c r="G703" s="14"/>
      <c r="H703" s="14"/>
      <c r="I703" s="14"/>
      <c r="J703" s="41"/>
      <c r="P703" s="17"/>
      <c r="V703" s="50"/>
      <c r="AB703" s="18"/>
      <c r="AH703" s="54"/>
      <c r="AN703" s="41"/>
      <c r="AT703" s="60"/>
      <c r="AZ703" s="62"/>
      <c r="BF703" s="64"/>
      <c r="BL703" s="66"/>
    </row>
    <row r="704" spans="1:64" ht="15" thickBot="1" x14ac:dyDescent="0.4">
      <c r="A704" s="14"/>
      <c r="B704" s="14"/>
      <c r="C704" s="14"/>
      <c r="D704" s="14"/>
      <c r="E704" s="14"/>
      <c r="F704" s="14"/>
      <c r="G704" s="14"/>
      <c r="H704" s="14"/>
      <c r="I704" s="14"/>
      <c r="J704" s="41"/>
      <c r="P704" s="17"/>
      <c r="V704" s="50"/>
      <c r="AB704" s="18"/>
      <c r="AH704" s="54"/>
      <c r="AN704" s="41"/>
      <c r="AT704" s="60"/>
      <c r="AZ704" s="62"/>
      <c r="BF704" s="64"/>
      <c r="BL704" s="66"/>
    </row>
    <row r="705" spans="1:64" ht="15" thickBot="1" x14ac:dyDescent="0.4">
      <c r="A705" s="14"/>
      <c r="B705" s="14"/>
      <c r="C705" s="14"/>
      <c r="D705" s="14"/>
      <c r="E705" s="14"/>
      <c r="F705" s="14"/>
      <c r="G705" s="14"/>
      <c r="H705" s="14"/>
      <c r="I705" s="14"/>
      <c r="J705" s="41"/>
      <c r="P705" s="17"/>
      <c r="V705" s="50"/>
      <c r="AB705" s="18"/>
      <c r="AH705" s="54"/>
      <c r="AN705" s="41"/>
      <c r="AT705" s="60"/>
      <c r="AZ705" s="62"/>
      <c r="BF705" s="64"/>
      <c r="BL705" s="66"/>
    </row>
    <row r="706" spans="1:64" ht="15" thickBot="1" x14ac:dyDescent="0.4">
      <c r="A706" s="14"/>
      <c r="B706" s="14"/>
      <c r="C706" s="14"/>
      <c r="D706" s="14"/>
      <c r="E706" s="14"/>
      <c r="F706" s="14"/>
      <c r="G706" s="14"/>
      <c r="H706" s="14"/>
      <c r="I706" s="14"/>
      <c r="J706" s="41"/>
      <c r="P706" s="17"/>
      <c r="V706" s="50"/>
      <c r="AB706" s="18"/>
      <c r="AH706" s="54"/>
      <c r="AN706" s="41"/>
      <c r="AT706" s="60"/>
      <c r="AZ706" s="62"/>
      <c r="BF706" s="64"/>
      <c r="BL706" s="66"/>
    </row>
    <row r="707" spans="1:64" ht="15" thickBot="1" x14ac:dyDescent="0.4">
      <c r="A707" s="14"/>
      <c r="B707" s="14"/>
      <c r="C707" s="14"/>
      <c r="D707" s="14"/>
      <c r="E707" s="14"/>
      <c r="F707" s="14"/>
      <c r="G707" s="14"/>
      <c r="H707" s="14"/>
      <c r="I707" s="14"/>
      <c r="J707" s="41"/>
      <c r="P707" s="17"/>
      <c r="V707" s="50"/>
      <c r="AB707" s="18"/>
      <c r="AH707" s="54"/>
      <c r="AN707" s="41"/>
      <c r="AT707" s="60"/>
      <c r="AZ707" s="62"/>
      <c r="BF707" s="64"/>
      <c r="BL707" s="66"/>
    </row>
    <row r="708" spans="1:64" ht="15" thickBot="1" x14ac:dyDescent="0.4">
      <c r="A708" s="14"/>
      <c r="B708" s="14"/>
      <c r="C708" s="14"/>
      <c r="D708" s="14"/>
      <c r="E708" s="14"/>
      <c r="F708" s="14"/>
      <c r="G708" s="14"/>
      <c r="H708" s="14"/>
      <c r="I708" s="14"/>
      <c r="J708" s="41"/>
      <c r="P708" s="17"/>
      <c r="V708" s="50"/>
      <c r="AB708" s="18"/>
      <c r="AH708" s="54"/>
      <c r="AN708" s="41"/>
      <c r="AT708" s="60"/>
      <c r="AZ708" s="62"/>
      <c r="BF708" s="64"/>
      <c r="BL708" s="66"/>
    </row>
    <row r="709" spans="1:64" ht="15" thickBot="1" x14ac:dyDescent="0.4">
      <c r="A709" s="14"/>
      <c r="B709" s="14"/>
      <c r="C709" s="14"/>
      <c r="D709" s="14"/>
      <c r="E709" s="14"/>
      <c r="F709" s="14"/>
      <c r="G709" s="14"/>
      <c r="H709" s="14"/>
      <c r="I709" s="14"/>
      <c r="J709" s="41"/>
      <c r="P709" s="17"/>
      <c r="V709" s="50"/>
      <c r="AB709" s="18"/>
      <c r="AH709" s="54"/>
      <c r="AN709" s="41"/>
      <c r="AT709" s="60"/>
      <c r="AZ709" s="62"/>
      <c r="BF709" s="64"/>
      <c r="BL709" s="66"/>
    </row>
    <row r="710" spans="1:64" ht="15" thickBot="1" x14ac:dyDescent="0.4">
      <c r="A710" s="14"/>
      <c r="B710" s="14"/>
      <c r="C710" s="14"/>
      <c r="D710" s="14"/>
      <c r="E710" s="14"/>
      <c r="F710" s="14"/>
      <c r="G710" s="14"/>
      <c r="H710" s="14"/>
      <c r="I710" s="14"/>
      <c r="J710" s="41"/>
      <c r="P710" s="17"/>
      <c r="V710" s="50"/>
      <c r="AB710" s="18"/>
      <c r="AH710" s="54"/>
      <c r="AN710" s="41"/>
      <c r="AT710" s="60"/>
      <c r="AZ710" s="62"/>
      <c r="BF710" s="64"/>
      <c r="BL710" s="66"/>
    </row>
    <row r="711" spans="1:64" ht="15" thickBot="1" x14ac:dyDescent="0.4">
      <c r="A711" s="14"/>
      <c r="B711" s="14"/>
      <c r="C711" s="14"/>
      <c r="D711" s="14"/>
      <c r="E711" s="14"/>
      <c r="F711" s="14"/>
      <c r="G711" s="14"/>
      <c r="H711" s="14"/>
      <c r="I711" s="14"/>
      <c r="J711" s="41"/>
      <c r="P711" s="17"/>
      <c r="V711" s="50"/>
      <c r="AB711" s="18"/>
      <c r="AH711" s="54"/>
      <c r="AN711" s="41"/>
      <c r="AT711" s="60"/>
      <c r="AZ711" s="62"/>
      <c r="BF711" s="64"/>
      <c r="BL711" s="66"/>
    </row>
    <row r="712" spans="1:64" ht="15" thickBot="1" x14ac:dyDescent="0.4">
      <c r="A712" s="14"/>
      <c r="B712" s="14"/>
      <c r="C712" s="14"/>
      <c r="D712" s="14"/>
      <c r="E712" s="14"/>
      <c r="F712" s="14"/>
      <c r="G712" s="14"/>
      <c r="H712" s="14"/>
      <c r="I712" s="14"/>
      <c r="J712" s="41"/>
      <c r="P712" s="17"/>
      <c r="V712" s="50"/>
      <c r="AB712" s="18"/>
      <c r="AH712" s="54"/>
      <c r="AN712" s="41"/>
      <c r="AT712" s="60"/>
      <c r="AZ712" s="62"/>
      <c r="BF712" s="64"/>
      <c r="BL712" s="66"/>
    </row>
    <row r="713" spans="1:64" ht="15" thickBot="1" x14ac:dyDescent="0.4">
      <c r="A713" s="14"/>
      <c r="B713" s="14"/>
      <c r="C713" s="14"/>
      <c r="D713" s="14"/>
      <c r="E713" s="14"/>
      <c r="F713" s="14"/>
      <c r="G713" s="14"/>
      <c r="H713" s="14"/>
      <c r="I713" s="14"/>
      <c r="J713" s="41"/>
      <c r="P713" s="17"/>
      <c r="V713" s="50"/>
      <c r="AB713" s="18"/>
      <c r="AH713" s="54"/>
      <c r="AN713" s="41"/>
      <c r="AT713" s="60"/>
      <c r="AZ713" s="62"/>
      <c r="BF713" s="64"/>
      <c r="BL713" s="66"/>
    </row>
    <row r="714" spans="1:64" ht="15" thickBot="1" x14ac:dyDescent="0.4">
      <c r="A714" s="14"/>
      <c r="B714" s="14"/>
      <c r="C714" s="14"/>
      <c r="D714" s="14"/>
      <c r="E714" s="14"/>
      <c r="F714" s="14"/>
      <c r="G714" s="14"/>
      <c r="H714" s="14"/>
      <c r="I714" s="14"/>
      <c r="J714" s="41"/>
      <c r="P714" s="17"/>
      <c r="V714" s="50"/>
      <c r="AB714" s="18"/>
      <c r="AH714" s="54"/>
      <c r="AN714" s="41"/>
      <c r="AT714" s="60"/>
      <c r="AZ714" s="62"/>
      <c r="BF714" s="64"/>
      <c r="BL714" s="66"/>
    </row>
    <row r="715" spans="1:64" ht="15" thickBot="1" x14ac:dyDescent="0.4">
      <c r="A715" s="14"/>
      <c r="B715" s="14"/>
      <c r="C715" s="14"/>
      <c r="D715" s="14"/>
      <c r="E715" s="14"/>
      <c r="F715" s="14"/>
      <c r="G715" s="14"/>
      <c r="H715" s="14"/>
      <c r="I715" s="14"/>
      <c r="J715" s="41"/>
      <c r="P715" s="17"/>
      <c r="V715" s="50"/>
      <c r="AB715" s="18"/>
      <c r="AH715" s="54"/>
      <c r="AN715" s="41"/>
      <c r="AT715" s="60"/>
      <c r="AZ715" s="62"/>
      <c r="BF715" s="64"/>
      <c r="BL715" s="66"/>
    </row>
    <row r="716" spans="1:64" ht="15" thickBot="1" x14ac:dyDescent="0.4">
      <c r="A716" s="14"/>
      <c r="B716" s="14"/>
      <c r="C716" s="14"/>
      <c r="D716" s="14"/>
      <c r="E716" s="14"/>
      <c r="F716" s="14"/>
      <c r="G716" s="14"/>
      <c r="H716" s="14"/>
      <c r="I716" s="14"/>
      <c r="J716" s="41"/>
      <c r="P716" s="17"/>
      <c r="V716" s="50"/>
      <c r="AB716" s="18"/>
      <c r="AH716" s="54"/>
      <c r="AN716" s="41"/>
      <c r="AT716" s="60"/>
      <c r="AZ716" s="62"/>
      <c r="BF716" s="64"/>
      <c r="BL716" s="66"/>
    </row>
    <row r="717" spans="1:64" ht="15" thickBot="1" x14ac:dyDescent="0.4">
      <c r="A717" s="14"/>
      <c r="B717" s="14"/>
      <c r="C717" s="14"/>
      <c r="D717" s="14"/>
      <c r="E717" s="14"/>
      <c r="F717" s="14"/>
      <c r="G717" s="14"/>
      <c r="H717" s="14"/>
      <c r="I717" s="14"/>
      <c r="J717" s="41"/>
      <c r="P717" s="17"/>
      <c r="V717" s="50"/>
      <c r="AB717" s="18"/>
      <c r="AH717" s="54"/>
      <c r="AN717" s="41"/>
      <c r="AT717" s="60"/>
      <c r="AZ717" s="62"/>
      <c r="BF717" s="64"/>
      <c r="BL717" s="66"/>
    </row>
    <row r="718" spans="1:64" ht="15" thickBot="1" x14ac:dyDescent="0.4">
      <c r="A718" s="14"/>
      <c r="B718" s="14"/>
      <c r="C718" s="14"/>
      <c r="D718" s="14"/>
      <c r="E718" s="14"/>
      <c r="F718" s="14"/>
      <c r="G718" s="14"/>
      <c r="H718" s="14"/>
      <c r="I718" s="14"/>
      <c r="J718" s="41"/>
      <c r="P718" s="17"/>
      <c r="V718" s="50"/>
      <c r="AB718" s="18"/>
      <c r="AH718" s="54"/>
      <c r="AN718" s="41"/>
      <c r="AT718" s="60"/>
      <c r="AZ718" s="62"/>
      <c r="BF718" s="64"/>
      <c r="BL718" s="66"/>
    </row>
    <row r="719" spans="1:64" ht="15" thickBot="1" x14ac:dyDescent="0.4">
      <c r="A719" s="14"/>
      <c r="B719" s="14"/>
      <c r="C719" s="14"/>
      <c r="D719" s="14"/>
      <c r="E719" s="14"/>
      <c r="F719" s="14"/>
      <c r="G719" s="14"/>
      <c r="H719" s="14"/>
      <c r="I719" s="14"/>
      <c r="J719" s="41"/>
      <c r="P719" s="17"/>
      <c r="V719" s="50"/>
      <c r="AB719" s="18"/>
      <c r="AH719" s="54"/>
      <c r="AN719" s="41"/>
      <c r="AT719" s="60"/>
      <c r="AZ719" s="62"/>
      <c r="BF719" s="64"/>
      <c r="BL719" s="66"/>
    </row>
    <row r="720" spans="1:64" ht="15" thickBot="1" x14ac:dyDescent="0.4">
      <c r="A720" s="14"/>
      <c r="B720" s="14"/>
      <c r="C720" s="14"/>
      <c r="D720" s="14"/>
      <c r="E720" s="14"/>
      <c r="F720" s="14"/>
      <c r="G720" s="14"/>
      <c r="H720" s="14"/>
      <c r="I720" s="14"/>
      <c r="J720" s="41"/>
      <c r="P720" s="17"/>
      <c r="V720" s="50"/>
      <c r="AB720" s="18"/>
      <c r="AH720" s="54"/>
      <c r="AN720" s="41"/>
      <c r="AT720" s="60"/>
      <c r="AZ720" s="62"/>
      <c r="BF720" s="64"/>
      <c r="BL720" s="66"/>
    </row>
    <row r="721" spans="1:64" ht="15" thickBot="1" x14ac:dyDescent="0.4">
      <c r="A721" s="14"/>
      <c r="B721" s="14"/>
      <c r="C721" s="14"/>
      <c r="D721" s="14"/>
      <c r="E721" s="14"/>
      <c r="F721" s="14"/>
      <c r="G721" s="14"/>
      <c r="H721" s="14"/>
      <c r="I721" s="14"/>
      <c r="J721" s="41"/>
      <c r="P721" s="17"/>
      <c r="V721" s="50"/>
      <c r="AB721" s="18"/>
      <c r="AH721" s="54"/>
      <c r="AN721" s="41"/>
      <c r="AT721" s="60"/>
      <c r="AZ721" s="62"/>
      <c r="BF721" s="64"/>
      <c r="BL721" s="66"/>
    </row>
    <row r="722" spans="1:64" ht="15" thickBot="1" x14ac:dyDescent="0.4">
      <c r="A722" s="14"/>
      <c r="B722" s="14"/>
      <c r="C722" s="14"/>
      <c r="D722" s="14"/>
      <c r="E722" s="14"/>
      <c r="F722" s="14"/>
      <c r="G722" s="14"/>
      <c r="H722" s="14"/>
      <c r="I722" s="14"/>
      <c r="J722" s="41"/>
      <c r="P722" s="17"/>
      <c r="V722" s="50"/>
      <c r="AB722" s="18"/>
      <c r="AH722" s="54"/>
      <c r="AN722" s="41"/>
      <c r="AT722" s="60"/>
      <c r="AZ722" s="62"/>
      <c r="BF722" s="64"/>
      <c r="BL722" s="66"/>
    </row>
    <row r="723" spans="1:64" ht="15" thickBot="1" x14ac:dyDescent="0.4">
      <c r="A723" s="14"/>
      <c r="B723" s="14"/>
      <c r="C723" s="14"/>
      <c r="D723" s="14"/>
      <c r="E723" s="14"/>
      <c r="F723" s="14"/>
      <c r="G723" s="14"/>
      <c r="H723" s="14"/>
      <c r="I723" s="14"/>
      <c r="J723" s="41"/>
      <c r="P723" s="17"/>
      <c r="V723" s="50"/>
      <c r="AB723" s="18"/>
      <c r="AH723" s="54"/>
      <c r="AN723" s="41"/>
      <c r="AT723" s="60"/>
      <c r="AZ723" s="62"/>
      <c r="BF723" s="64"/>
      <c r="BL723" s="66"/>
    </row>
    <row r="724" spans="1:64" ht="15" thickBot="1" x14ac:dyDescent="0.4">
      <c r="A724" s="14"/>
      <c r="B724" s="14"/>
      <c r="C724" s="14"/>
      <c r="D724" s="14"/>
      <c r="E724" s="14"/>
      <c r="F724" s="14"/>
      <c r="G724" s="14"/>
      <c r="H724" s="14"/>
      <c r="I724" s="14"/>
      <c r="J724" s="41"/>
      <c r="P724" s="17"/>
      <c r="V724" s="50"/>
      <c r="AB724" s="18"/>
      <c r="AH724" s="54"/>
      <c r="AN724" s="41"/>
      <c r="AT724" s="60"/>
      <c r="AZ724" s="62"/>
      <c r="BF724" s="64"/>
      <c r="BL724" s="66"/>
    </row>
    <row r="725" spans="1:64" ht="15" thickBot="1" x14ac:dyDescent="0.4">
      <c r="A725" s="14"/>
      <c r="B725" s="14"/>
      <c r="C725" s="14"/>
      <c r="D725" s="14"/>
      <c r="E725" s="14"/>
      <c r="F725" s="14"/>
      <c r="G725" s="14"/>
      <c r="H725" s="14"/>
      <c r="I725" s="14"/>
      <c r="J725" s="41"/>
      <c r="P725" s="17"/>
      <c r="V725" s="50"/>
      <c r="AB725" s="18"/>
      <c r="AH725" s="54"/>
      <c r="AN725" s="41"/>
      <c r="AT725" s="60"/>
      <c r="AZ725" s="62"/>
      <c r="BF725" s="64"/>
      <c r="BL725" s="66"/>
    </row>
    <row r="726" spans="1:64" ht="15" thickBot="1" x14ac:dyDescent="0.4">
      <c r="A726" s="14"/>
      <c r="B726" s="14"/>
      <c r="C726" s="14"/>
      <c r="D726" s="14"/>
      <c r="E726" s="14"/>
      <c r="F726" s="14"/>
      <c r="G726" s="14"/>
      <c r="H726" s="14"/>
      <c r="I726" s="14"/>
      <c r="J726" s="41"/>
      <c r="P726" s="17"/>
      <c r="V726" s="50"/>
      <c r="AB726" s="18"/>
      <c r="AH726" s="54"/>
      <c r="AN726" s="41"/>
      <c r="AT726" s="60"/>
      <c r="AZ726" s="62"/>
      <c r="BF726" s="64"/>
      <c r="BL726" s="66"/>
    </row>
    <row r="727" spans="1:64" ht="15" thickBot="1" x14ac:dyDescent="0.4">
      <c r="A727" s="14"/>
      <c r="B727" s="14"/>
      <c r="C727" s="14"/>
      <c r="D727" s="14"/>
      <c r="E727" s="14"/>
      <c r="F727" s="14"/>
      <c r="G727" s="14"/>
      <c r="H727" s="14"/>
      <c r="I727" s="14"/>
      <c r="J727" s="41"/>
      <c r="P727" s="17"/>
      <c r="V727" s="50"/>
      <c r="AB727" s="18"/>
      <c r="AH727" s="54"/>
      <c r="AN727" s="41"/>
      <c r="AT727" s="60"/>
      <c r="AZ727" s="62"/>
      <c r="BF727" s="64"/>
      <c r="BL727" s="66"/>
    </row>
    <row r="728" spans="1:64" ht="15" thickBot="1" x14ac:dyDescent="0.4">
      <c r="A728" s="14"/>
      <c r="B728" s="14"/>
      <c r="C728" s="14"/>
      <c r="D728" s="14"/>
      <c r="E728" s="14"/>
      <c r="F728" s="14"/>
      <c r="G728" s="14"/>
      <c r="H728" s="14"/>
      <c r="I728" s="14"/>
      <c r="J728" s="41"/>
      <c r="P728" s="17"/>
      <c r="V728" s="50"/>
      <c r="AB728" s="18"/>
      <c r="AH728" s="54"/>
      <c r="AN728" s="41"/>
      <c r="AT728" s="60"/>
      <c r="AZ728" s="62"/>
      <c r="BF728" s="64"/>
      <c r="BL728" s="66"/>
    </row>
    <row r="729" spans="1:64" ht="15" thickBot="1" x14ac:dyDescent="0.4">
      <c r="A729" s="14"/>
      <c r="B729" s="14"/>
      <c r="C729" s="14"/>
      <c r="D729" s="14"/>
      <c r="E729" s="14"/>
      <c r="F729" s="14"/>
      <c r="G729" s="14"/>
      <c r="H729" s="14"/>
      <c r="I729" s="14"/>
      <c r="J729" s="41"/>
      <c r="P729" s="17"/>
      <c r="V729" s="50"/>
      <c r="AB729" s="18"/>
      <c r="AH729" s="54"/>
      <c r="AN729" s="41"/>
      <c r="AT729" s="60"/>
      <c r="AZ729" s="62"/>
      <c r="BF729" s="64"/>
      <c r="BL729" s="66"/>
    </row>
    <row r="730" spans="1:64" ht="15" thickBot="1" x14ac:dyDescent="0.4">
      <c r="A730" s="14"/>
      <c r="B730" s="14"/>
      <c r="C730" s="14"/>
      <c r="D730" s="14"/>
      <c r="E730" s="14"/>
      <c r="F730" s="14"/>
      <c r="G730" s="14"/>
      <c r="H730" s="14"/>
      <c r="I730" s="14"/>
      <c r="J730" s="41"/>
      <c r="P730" s="17"/>
      <c r="V730" s="50"/>
      <c r="AB730" s="18"/>
      <c r="AH730" s="54"/>
      <c r="AN730" s="41"/>
      <c r="AT730" s="60"/>
      <c r="AZ730" s="62"/>
      <c r="BF730" s="64"/>
      <c r="BL730" s="66"/>
    </row>
    <row r="731" spans="1:64" ht="15" thickBot="1" x14ac:dyDescent="0.4">
      <c r="A731" s="14"/>
      <c r="B731" s="14"/>
      <c r="C731" s="14"/>
      <c r="D731" s="14"/>
      <c r="E731" s="14"/>
      <c r="F731" s="14"/>
      <c r="G731" s="14"/>
      <c r="H731" s="14"/>
      <c r="I731" s="14"/>
      <c r="J731" s="41"/>
      <c r="P731" s="17"/>
      <c r="V731" s="50"/>
      <c r="AB731" s="18"/>
      <c r="AH731" s="54"/>
      <c r="AN731" s="41"/>
      <c r="AT731" s="60"/>
      <c r="AZ731" s="62"/>
      <c r="BF731" s="64"/>
      <c r="BL731" s="66"/>
    </row>
    <row r="732" spans="1:64" ht="15" thickBot="1" x14ac:dyDescent="0.4">
      <c r="A732" s="14"/>
      <c r="B732" s="14"/>
      <c r="C732" s="14"/>
      <c r="D732" s="14"/>
      <c r="E732" s="14"/>
      <c r="F732" s="14"/>
      <c r="G732" s="14"/>
      <c r="H732" s="14"/>
      <c r="I732" s="14"/>
      <c r="J732" s="41"/>
      <c r="P732" s="17"/>
      <c r="V732" s="50"/>
      <c r="AB732" s="18"/>
      <c r="AH732" s="54"/>
      <c r="AN732" s="41"/>
      <c r="AT732" s="60"/>
      <c r="AZ732" s="62"/>
      <c r="BF732" s="64"/>
      <c r="BL732" s="66"/>
    </row>
    <row r="733" spans="1:64" ht="15" thickBot="1" x14ac:dyDescent="0.4">
      <c r="A733" s="14"/>
      <c r="B733" s="14"/>
      <c r="C733" s="14"/>
      <c r="D733" s="14"/>
      <c r="E733" s="14"/>
      <c r="F733" s="14"/>
      <c r="G733" s="14"/>
      <c r="H733" s="14"/>
      <c r="I733" s="14"/>
      <c r="J733" s="41"/>
      <c r="P733" s="17"/>
      <c r="V733" s="50"/>
      <c r="AB733" s="18"/>
      <c r="AH733" s="54"/>
      <c r="AN733" s="41"/>
      <c r="AT733" s="60"/>
      <c r="AZ733" s="62"/>
      <c r="BF733" s="64"/>
      <c r="BL733" s="66"/>
    </row>
    <row r="734" spans="1:64" ht="15" thickBot="1" x14ac:dyDescent="0.4">
      <c r="A734" s="14"/>
      <c r="B734" s="14"/>
      <c r="C734" s="14"/>
      <c r="D734" s="14"/>
      <c r="E734" s="14"/>
      <c r="F734" s="14"/>
      <c r="G734" s="14"/>
      <c r="H734" s="14"/>
      <c r="I734" s="14"/>
      <c r="J734" s="41"/>
      <c r="P734" s="17"/>
      <c r="V734" s="50"/>
      <c r="AB734" s="18"/>
      <c r="AH734" s="54"/>
      <c r="AN734" s="41"/>
      <c r="AT734" s="60"/>
      <c r="AZ734" s="62"/>
      <c r="BF734" s="64"/>
      <c r="BL734" s="66"/>
    </row>
    <row r="735" spans="1:64" ht="15" thickBot="1" x14ac:dyDescent="0.4">
      <c r="A735" s="14"/>
      <c r="B735" s="14"/>
      <c r="C735" s="14"/>
      <c r="D735" s="14"/>
      <c r="E735" s="14"/>
      <c r="F735" s="14"/>
      <c r="G735" s="14"/>
      <c r="H735" s="14"/>
      <c r="I735" s="14"/>
      <c r="J735" s="41"/>
      <c r="P735" s="17"/>
      <c r="V735" s="50"/>
      <c r="AB735" s="18"/>
      <c r="AH735" s="54"/>
      <c r="AN735" s="41"/>
      <c r="AT735" s="60"/>
      <c r="AZ735" s="62"/>
      <c r="BF735" s="64"/>
      <c r="BL735" s="66"/>
    </row>
    <row r="736" spans="1:64" ht="15" thickBot="1" x14ac:dyDescent="0.4">
      <c r="A736" s="14"/>
      <c r="B736" s="14"/>
      <c r="C736" s="14"/>
      <c r="D736" s="14"/>
      <c r="E736" s="14"/>
      <c r="F736" s="14"/>
      <c r="G736" s="14"/>
      <c r="H736" s="14"/>
      <c r="I736" s="14"/>
      <c r="J736" s="41"/>
      <c r="P736" s="17"/>
      <c r="V736" s="50"/>
      <c r="AB736" s="18"/>
      <c r="AH736" s="54"/>
      <c r="AN736" s="41"/>
      <c r="AT736" s="60"/>
      <c r="AZ736" s="62"/>
      <c r="BF736" s="64"/>
      <c r="BL736" s="66"/>
    </row>
    <row r="737" spans="1:64" ht="15" thickBot="1" x14ac:dyDescent="0.4">
      <c r="A737" s="14"/>
      <c r="B737" s="14"/>
      <c r="C737" s="14"/>
      <c r="D737" s="14"/>
      <c r="E737" s="14"/>
      <c r="F737" s="14"/>
      <c r="G737" s="14"/>
      <c r="H737" s="14"/>
      <c r="I737" s="14"/>
      <c r="J737" s="41"/>
      <c r="P737" s="17"/>
      <c r="V737" s="50"/>
      <c r="AB737" s="18"/>
      <c r="AH737" s="54"/>
      <c r="AN737" s="41"/>
      <c r="AT737" s="60"/>
      <c r="AZ737" s="62"/>
      <c r="BF737" s="64"/>
      <c r="BL737" s="66"/>
    </row>
    <row r="738" spans="1:64" ht="15" thickBot="1" x14ac:dyDescent="0.4">
      <c r="A738" s="14"/>
      <c r="B738" s="14"/>
      <c r="C738" s="14"/>
      <c r="D738" s="14"/>
      <c r="E738" s="14"/>
      <c r="F738" s="14"/>
      <c r="G738" s="14"/>
      <c r="H738" s="14"/>
      <c r="I738" s="14"/>
      <c r="J738" s="41"/>
      <c r="P738" s="17"/>
      <c r="V738" s="50"/>
      <c r="AB738" s="18"/>
      <c r="AH738" s="54"/>
      <c r="AN738" s="41"/>
      <c r="AT738" s="60"/>
      <c r="AZ738" s="62"/>
      <c r="BF738" s="64"/>
      <c r="BL738" s="66"/>
    </row>
    <row r="739" spans="1:64" ht="15" thickBot="1" x14ac:dyDescent="0.4">
      <c r="A739" s="14"/>
      <c r="B739" s="14"/>
      <c r="C739" s="14"/>
      <c r="D739" s="14"/>
      <c r="E739" s="14"/>
      <c r="F739" s="14"/>
      <c r="G739" s="14"/>
      <c r="H739" s="14"/>
      <c r="I739" s="14"/>
      <c r="J739" s="41"/>
      <c r="P739" s="17"/>
      <c r="V739" s="50"/>
      <c r="AB739" s="18"/>
      <c r="AH739" s="54"/>
      <c r="AN739" s="41"/>
      <c r="AT739" s="60"/>
      <c r="AZ739" s="62"/>
      <c r="BF739" s="64"/>
      <c r="BL739" s="66"/>
    </row>
    <row r="740" spans="1:64" ht="15" thickBot="1" x14ac:dyDescent="0.4">
      <c r="A740" s="14"/>
      <c r="B740" s="14"/>
      <c r="C740" s="14"/>
      <c r="D740" s="14"/>
      <c r="E740" s="14"/>
      <c r="F740" s="14"/>
      <c r="G740" s="14"/>
      <c r="H740" s="14"/>
      <c r="I740" s="14"/>
      <c r="J740" s="41"/>
      <c r="P740" s="17"/>
      <c r="V740" s="50"/>
      <c r="AB740" s="18"/>
      <c r="AH740" s="54"/>
      <c r="AN740" s="41"/>
      <c r="AT740" s="60"/>
      <c r="AZ740" s="62"/>
      <c r="BF740" s="64"/>
      <c r="BL740" s="66"/>
    </row>
    <row r="741" spans="1:64" ht="15" thickBot="1" x14ac:dyDescent="0.4">
      <c r="A741" s="14"/>
      <c r="B741" s="14"/>
      <c r="C741" s="14"/>
      <c r="D741" s="14"/>
      <c r="E741" s="14"/>
      <c r="F741" s="14"/>
      <c r="G741" s="14"/>
      <c r="H741" s="14"/>
      <c r="I741" s="14"/>
      <c r="J741" s="41"/>
      <c r="P741" s="17"/>
      <c r="V741" s="50"/>
      <c r="AB741" s="18"/>
      <c r="AH741" s="54"/>
      <c r="AN741" s="41"/>
      <c r="AT741" s="60"/>
      <c r="AZ741" s="62"/>
      <c r="BF741" s="64"/>
      <c r="BL741" s="66"/>
    </row>
    <row r="742" spans="1:64" ht="15" thickBot="1" x14ac:dyDescent="0.4">
      <c r="A742" s="14"/>
      <c r="B742" s="14"/>
      <c r="C742" s="14"/>
      <c r="D742" s="14"/>
      <c r="E742" s="14"/>
      <c r="F742" s="14"/>
      <c r="G742" s="14"/>
      <c r="H742" s="14"/>
      <c r="I742" s="14"/>
      <c r="J742" s="41"/>
      <c r="P742" s="17"/>
      <c r="V742" s="50"/>
      <c r="AB742" s="18"/>
      <c r="AH742" s="54"/>
      <c r="AN742" s="41"/>
      <c r="AT742" s="60"/>
      <c r="AZ742" s="62"/>
      <c r="BF742" s="64"/>
      <c r="BL742" s="66"/>
    </row>
    <row r="743" spans="1:64" ht="15" thickBot="1" x14ac:dyDescent="0.4">
      <c r="A743" s="14"/>
      <c r="B743" s="14"/>
      <c r="C743" s="14"/>
      <c r="D743" s="14"/>
      <c r="E743" s="14"/>
      <c r="F743" s="14"/>
      <c r="G743" s="14"/>
      <c r="H743" s="14"/>
      <c r="I743" s="14"/>
      <c r="J743" s="41"/>
      <c r="P743" s="17"/>
      <c r="V743" s="50"/>
      <c r="AB743" s="18"/>
      <c r="AH743" s="54"/>
      <c r="AN743" s="41"/>
      <c r="AT743" s="60"/>
      <c r="AZ743" s="62"/>
      <c r="BF743" s="64"/>
      <c r="BL743" s="66"/>
    </row>
    <row r="744" spans="1:64" ht="15" thickBot="1" x14ac:dyDescent="0.4">
      <c r="A744" s="14"/>
      <c r="B744" s="14"/>
      <c r="C744" s="14"/>
      <c r="D744" s="14"/>
      <c r="E744" s="14"/>
      <c r="F744" s="14"/>
      <c r="G744" s="14"/>
      <c r="H744" s="14"/>
      <c r="I744" s="14"/>
      <c r="J744" s="41"/>
      <c r="P744" s="17"/>
      <c r="V744" s="50"/>
      <c r="AB744" s="18"/>
      <c r="AH744" s="54"/>
      <c r="AN744" s="41"/>
      <c r="AT744" s="60"/>
      <c r="AZ744" s="62"/>
      <c r="BF744" s="64"/>
      <c r="BL744" s="66"/>
    </row>
    <row r="745" spans="1:64" ht="15" thickBot="1" x14ac:dyDescent="0.4">
      <c r="A745" s="14"/>
      <c r="B745" s="14"/>
      <c r="C745" s="14"/>
      <c r="D745" s="14"/>
      <c r="E745" s="14"/>
      <c r="F745" s="14"/>
      <c r="G745" s="14"/>
      <c r="H745" s="14"/>
      <c r="I745" s="14"/>
      <c r="J745" s="41"/>
      <c r="P745" s="17"/>
      <c r="V745" s="50"/>
      <c r="AB745" s="18"/>
      <c r="AH745" s="54"/>
      <c r="AN745" s="41"/>
      <c r="AT745" s="60"/>
      <c r="AZ745" s="62"/>
      <c r="BF745" s="64"/>
      <c r="BL745" s="66"/>
    </row>
    <row r="746" spans="1:64" ht="15" thickBot="1" x14ac:dyDescent="0.4">
      <c r="A746" s="14"/>
      <c r="B746" s="14"/>
      <c r="C746" s="14"/>
      <c r="D746" s="14"/>
      <c r="E746" s="14"/>
      <c r="F746" s="14"/>
      <c r="G746" s="14"/>
      <c r="H746" s="14"/>
      <c r="I746" s="14"/>
      <c r="J746" s="41"/>
      <c r="P746" s="17"/>
      <c r="V746" s="50"/>
      <c r="AB746" s="18"/>
      <c r="AH746" s="54"/>
      <c r="AN746" s="41"/>
      <c r="AT746" s="60"/>
      <c r="AZ746" s="62"/>
      <c r="BF746" s="64"/>
      <c r="BL746" s="66"/>
    </row>
    <row r="747" spans="1:64" ht="15" thickBot="1" x14ac:dyDescent="0.4">
      <c r="A747" s="14"/>
      <c r="B747" s="14"/>
      <c r="C747" s="14"/>
      <c r="D747" s="14"/>
      <c r="E747" s="14"/>
      <c r="F747" s="14"/>
      <c r="G747" s="14"/>
      <c r="H747" s="14"/>
      <c r="I747" s="14"/>
      <c r="J747" s="41"/>
      <c r="P747" s="17"/>
      <c r="V747" s="50"/>
      <c r="AB747" s="18"/>
      <c r="AH747" s="54"/>
      <c r="AN747" s="41"/>
      <c r="AT747" s="60"/>
      <c r="AZ747" s="62"/>
      <c r="BF747" s="64"/>
      <c r="BL747" s="66"/>
    </row>
    <row r="748" spans="1:64" ht="15" thickBot="1" x14ac:dyDescent="0.4">
      <c r="A748" s="14"/>
      <c r="B748" s="14"/>
      <c r="C748" s="14"/>
      <c r="D748" s="14"/>
      <c r="E748" s="14"/>
      <c r="F748" s="14"/>
      <c r="G748" s="14"/>
      <c r="H748" s="14"/>
      <c r="I748" s="14"/>
      <c r="J748" s="41"/>
      <c r="P748" s="17"/>
      <c r="V748" s="50"/>
      <c r="AB748" s="18"/>
      <c r="AH748" s="54"/>
      <c r="AN748" s="41"/>
      <c r="AT748" s="60"/>
      <c r="AZ748" s="62"/>
      <c r="BF748" s="64"/>
      <c r="BL748" s="66"/>
    </row>
    <row r="749" spans="1:64" ht="15" thickBot="1" x14ac:dyDescent="0.4">
      <c r="A749" s="14"/>
      <c r="B749" s="14"/>
      <c r="C749" s="14"/>
      <c r="D749" s="14"/>
      <c r="E749" s="14"/>
      <c r="F749" s="14"/>
      <c r="G749" s="14"/>
      <c r="H749" s="14"/>
      <c r="I749" s="14"/>
      <c r="J749" s="41"/>
      <c r="P749" s="17"/>
      <c r="V749" s="50"/>
      <c r="AB749" s="18"/>
      <c r="AH749" s="54"/>
      <c r="AN749" s="41"/>
      <c r="AT749" s="60"/>
      <c r="AZ749" s="62"/>
      <c r="BF749" s="64"/>
      <c r="BL749" s="66"/>
    </row>
    <row r="750" spans="1:64" ht="15" thickBot="1" x14ac:dyDescent="0.4">
      <c r="A750" s="14"/>
      <c r="B750" s="14"/>
      <c r="C750" s="14"/>
      <c r="D750" s="14"/>
      <c r="E750" s="14"/>
      <c r="F750" s="14"/>
      <c r="G750" s="14"/>
      <c r="H750" s="14"/>
      <c r="I750" s="14"/>
      <c r="J750" s="41"/>
      <c r="P750" s="17"/>
      <c r="V750" s="50"/>
      <c r="AB750" s="18"/>
      <c r="AH750" s="54"/>
      <c r="AN750" s="41"/>
      <c r="AT750" s="60"/>
      <c r="AZ750" s="62"/>
      <c r="BF750" s="64"/>
      <c r="BL750" s="66"/>
    </row>
    <row r="751" spans="1:64" ht="15" thickBot="1" x14ac:dyDescent="0.4">
      <c r="A751" s="14"/>
      <c r="B751" s="14"/>
      <c r="C751" s="14"/>
      <c r="D751" s="14"/>
      <c r="E751" s="14"/>
      <c r="F751" s="14"/>
      <c r="G751" s="14"/>
      <c r="H751" s="14"/>
      <c r="I751" s="14"/>
      <c r="J751" s="41"/>
      <c r="P751" s="17"/>
      <c r="V751" s="50"/>
      <c r="AB751" s="18"/>
      <c r="AH751" s="54"/>
      <c r="AN751" s="41"/>
      <c r="AT751" s="60"/>
      <c r="AZ751" s="62"/>
      <c r="BF751" s="64"/>
      <c r="BL751" s="66"/>
    </row>
    <row r="752" spans="1:64" ht="15" thickBot="1" x14ac:dyDescent="0.4">
      <c r="A752" s="14"/>
      <c r="B752" s="14"/>
      <c r="C752" s="14"/>
      <c r="D752" s="14"/>
      <c r="E752" s="14"/>
      <c r="F752" s="14"/>
      <c r="G752" s="14"/>
      <c r="H752" s="14"/>
      <c r="I752" s="14"/>
      <c r="J752" s="41"/>
      <c r="P752" s="17"/>
      <c r="V752" s="50"/>
      <c r="AB752" s="18"/>
      <c r="AH752" s="54"/>
      <c r="AN752" s="41"/>
      <c r="AT752" s="60"/>
      <c r="AZ752" s="62"/>
      <c r="BF752" s="64"/>
      <c r="BL752" s="66"/>
    </row>
    <row r="753" spans="1:64" ht="15" thickBot="1" x14ac:dyDescent="0.4">
      <c r="A753" s="14"/>
      <c r="B753" s="14"/>
      <c r="C753" s="14"/>
      <c r="D753" s="14"/>
      <c r="E753" s="14"/>
      <c r="F753" s="14"/>
      <c r="G753" s="14"/>
      <c r="H753" s="14"/>
      <c r="I753" s="14"/>
      <c r="J753" s="41"/>
      <c r="P753" s="17"/>
      <c r="V753" s="50"/>
      <c r="AB753" s="18"/>
      <c r="AH753" s="54"/>
      <c r="AN753" s="41"/>
      <c r="AT753" s="60"/>
      <c r="AZ753" s="62"/>
      <c r="BF753" s="64"/>
      <c r="BL753" s="66"/>
    </row>
    <row r="754" spans="1:64" ht="15" thickBot="1" x14ac:dyDescent="0.4">
      <c r="A754" s="14"/>
      <c r="B754" s="14"/>
      <c r="C754" s="14"/>
      <c r="D754" s="14"/>
      <c r="E754" s="14"/>
      <c r="F754" s="14"/>
      <c r="G754" s="14"/>
      <c r="H754" s="14"/>
      <c r="I754" s="14"/>
      <c r="J754" s="41"/>
      <c r="P754" s="17"/>
      <c r="V754" s="50"/>
      <c r="AB754" s="18"/>
      <c r="AH754" s="54"/>
      <c r="AN754" s="41"/>
      <c r="AT754" s="60"/>
      <c r="AZ754" s="62"/>
      <c r="BF754" s="64"/>
      <c r="BL754" s="66"/>
    </row>
    <row r="755" spans="1:64" ht="15" thickBot="1" x14ac:dyDescent="0.4">
      <c r="A755" s="14"/>
      <c r="B755" s="14"/>
      <c r="C755" s="14"/>
      <c r="D755" s="14"/>
      <c r="E755" s="14"/>
      <c r="F755" s="14"/>
      <c r="G755" s="14"/>
      <c r="H755" s="14"/>
      <c r="I755" s="14"/>
      <c r="J755" s="41"/>
      <c r="P755" s="17"/>
      <c r="V755" s="50"/>
      <c r="AB755" s="18"/>
      <c r="AH755" s="54"/>
      <c r="AN755" s="41"/>
      <c r="AT755" s="60"/>
      <c r="AZ755" s="62"/>
      <c r="BF755" s="64"/>
      <c r="BL755" s="66"/>
    </row>
    <row r="756" spans="1:64" ht="15" thickBot="1" x14ac:dyDescent="0.4">
      <c r="A756" s="14"/>
      <c r="B756" s="14"/>
      <c r="C756" s="14"/>
      <c r="D756" s="14"/>
      <c r="E756" s="14"/>
      <c r="F756" s="14"/>
      <c r="G756" s="14"/>
      <c r="H756" s="14"/>
      <c r="I756" s="14"/>
      <c r="J756" s="41"/>
      <c r="P756" s="17"/>
      <c r="V756" s="50"/>
      <c r="AB756" s="18"/>
      <c r="AH756" s="54"/>
      <c r="AN756" s="41"/>
      <c r="AT756" s="60"/>
      <c r="AZ756" s="62"/>
      <c r="BF756" s="64"/>
      <c r="BL756" s="66"/>
    </row>
    <row r="757" spans="1:64" ht="15" thickBot="1" x14ac:dyDescent="0.4">
      <c r="A757" s="14"/>
      <c r="B757" s="14"/>
      <c r="C757" s="14"/>
      <c r="D757" s="14"/>
      <c r="E757" s="14"/>
      <c r="F757" s="14"/>
      <c r="G757" s="14"/>
      <c r="H757" s="14"/>
      <c r="I757" s="14"/>
      <c r="J757" s="41"/>
      <c r="P757" s="17"/>
      <c r="V757" s="50"/>
      <c r="AB757" s="18"/>
      <c r="AH757" s="54"/>
      <c r="AN757" s="41"/>
      <c r="AT757" s="60"/>
      <c r="AZ757" s="62"/>
      <c r="BF757" s="64"/>
      <c r="BL757" s="66"/>
    </row>
    <row r="758" spans="1:64" ht="15" thickBot="1" x14ac:dyDescent="0.4">
      <c r="A758" s="14"/>
      <c r="B758" s="14"/>
      <c r="C758" s="14"/>
      <c r="D758" s="14"/>
      <c r="E758" s="14"/>
      <c r="F758" s="14"/>
      <c r="G758" s="14"/>
      <c r="H758" s="14"/>
      <c r="I758" s="14"/>
      <c r="J758" s="41"/>
      <c r="P758" s="17"/>
      <c r="V758" s="50"/>
      <c r="AB758" s="18"/>
      <c r="AH758" s="54"/>
      <c r="AN758" s="41"/>
      <c r="AT758" s="60"/>
      <c r="AZ758" s="62"/>
      <c r="BF758" s="64"/>
      <c r="BL758" s="66"/>
    </row>
    <row r="759" spans="1:64" ht="15" thickBot="1" x14ac:dyDescent="0.4">
      <c r="A759" s="14"/>
      <c r="B759" s="14"/>
      <c r="C759" s="14"/>
      <c r="D759" s="14"/>
      <c r="E759" s="14"/>
      <c r="F759" s="14"/>
      <c r="G759" s="14"/>
      <c r="H759" s="14"/>
      <c r="I759" s="14"/>
      <c r="J759" s="41"/>
      <c r="P759" s="17"/>
      <c r="V759" s="50"/>
      <c r="AB759" s="18"/>
      <c r="AH759" s="54"/>
      <c r="AN759" s="41"/>
      <c r="AT759" s="60"/>
      <c r="AZ759" s="62"/>
      <c r="BF759" s="64"/>
      <c r="BL759" s="66"/>
    </row>
    <row r="760" spans="1:64" ht="15" thickBot="1" x14ac:dyDescent="0.4">
      <c r="A760" s="14"/>
      <c r="B760" s="14"/>
      <c r="C760" s="14"/>
      <c r="D760" s="14"/>
      <c r="E760" s="14"/>
      <c r="F760" s="14"/>
      <c r="G760" s="14"/>
      <c r="H760" s="14"/>
      <c r="I760" s="14"/>
      <c r="J760" s="41"/>
      <c r="P760" s="17"/>
      <c r="V760" s="50"/>
      <c r="AB760" s="18"/>
      <c r="AH760" s="54"/>
      <c r="AN760" s="41"/>
      <c r="AT760" s="60"/>
      <c r="AZ760" s="62"/>
      <c r="BF760" s="64"/>
      <c r="BL760" s="66"/>
    </row>
    <row r="761" spans="1:64" ht="15" thickBot="1" x14ac:dyDescent="0.4">
      <c r="A761" s="14"/>
      <c r="B761" s="14"/>
      <c r="C761" s="14"/>
      <c r="D761" s="14"/>
      <c r="E761" s="14"/>
      <c r="F761" s="14"/>
      <c r="G761" s="14"/>
      <c r="H761" s="14"/>
      <c r="I761" s="14"/>
      <c r="J761" s="41"/>
      <c r="P761" s="17"/>
      <c r="V761" s="50"/>
      <c r="AB761" s="18"/>
      <c r="AH761" s="54"/>
      <c r="AN761" s="41"/>
      <c r="AT761" s="60"/>
      <c r="AZ761" s="62"/>
      <c r="BF761" s="64"/>
      <c r="BL761" s="66"/>
    </row>
    <row r="762" spans="1:64" ht="15" thickBot="1" x14ac:dyDescent="0.4">
      <c r="A762" s="14"/>
      <c r="B762" s="14"/>
      <c r="C762" s="14"/>
      <c r="D762" s="14"/>
      <c r="E762" s="14"/>
      <c r="F762" s="14"/>
      <c r="G762" s="14"/>
      <c r="H762" s="14"/>
      <c r="I762" s="14"/>
      <c r="J762" s="41"/>
      <c r="P762" s="17"/>
      <c r="V762" s="50"/>
      <c r="AB762" s="18"/>
      <c r="AH762" s="54"/>
      <c r="AN762" s="41"/>
      <c r="AT762" s="60"/>
      <c r="AZ762" s="62"/>
      <c r="BF762" s="64"/>
      <c r="BL762" s="66"/>
    </row>
    <row r="763" spans="1:64" ht="15" thickBot="1" x14ac:dyDescent="0.4">
      <c r="A763" s="14"/>
      <c r="B763" s="14"/>
      <c r="C763" s="14"/>
      <c r="D763" s="14"/>
      <c r="E763" s="14"/>
      <c r="F763" s="14"/>
      <c r="G763" s="14"/>
      <c r="H763" s="14"/>
      <c r="I763" s="14"/>
      <c r="J763" s="41"/>
      <c r="P763" s="17"/>
      <c r="V763" s="50"/>
      <c r="AB763" s="18"/>
      <c r="AH763" s="54"/>
      <c r="AN763" s="41"/>
      <c r="AT763" s="60"/>
      <c r="AZ763" s="62"/>
      <c r="BF763" s="64"/>
      <c r="BL763" s="66"/>
    </row>
    <row r="764" spans="1:64" ht="15" thickBot="1" x14ac:dyDescent="0.4">
      <c r="A764" s="14"/>
      <c r="B764" s="14"/>
      <c r="C764" s="14"/>
      <c r="D764" s="14"/>
      <c r="E764" s="14"/>
      <c r="F764" s="14"/>
      <c r="G764" s="14"/>
      <c r="H764" s="14"/>
      <c r="I764" s="14"/>
      <c r="J764" s="41"/>
      <c r="P764" s="17"/>
      <c r="V764" s="50"/>
      <c r="AB764" s="18"/>
      <c r="AH764" s="54"/>
      <c r="AN764" s="41"/>
      <c r="AT764" s="60"/>
      <c r="AZ764" s="62"/>
      <c r="BF764" s="64"/>
      <c r="BL764" s="66"/>
    </row>
    <row r="765" spans="1:64" ht="15" thickBot="1" x14ac:dyDescent="0.4">
      <c r="A765" s="14"/>
      <c r="B765" s="14"/>
      <c r="C765" s="14"/>
      <c r="D765" s="14"/>
      <c r="E765" s="14"/>
      <c r="F765" s="14"/>
      <c r="G765" s="14"/>
      <c r="H765" s="14"/>
      <c r="I765" s="14"/>
      <c r="J765" s="41"/>
      <c r="P765" s="17"/>
      <c r="V765" s="50"/>
      <c r="AB765" s="18"/>
      <c r="AH765" s="54"/>
      <c r="AN765" s="41"/>
      <c r="AT765" s="60"/>
      <c r="AZ765" s="62"/>
      <c r="BF765" s="64"/>
      <c r="BL765" s="66"/>
    </row>
    <row r="766" spans="1:64" ht="15" thickBot="1" x14ac:dyDescent="0.4">
      <c r="A766" s="14"/>
      <c r="B766" s="14"/>
      <c r="C766" s="14"/>
      <c r="D766" s="14"/>
      <c r="E766" s="14"/>
      <c r="F766" s="14"/>
      <c r="G766" s="14"/>
      <c r="H766" s="14"/>
      <c r="I766" s="14"/>
      <c r="J766" s="41"/>
      <c r="P766" s="17"/>
      <c r="V766" s="50"/>
      <c r="AB766" s="18"/>
      <c r="AH766" s="54"/>
      <c r="AN766" s="41"/>
      <c r="AT766" s="60"/>
      <c r="AZ766" s="62"/>
      <c r="BF766" s="64"/>
      <c r="BL766" s="66"/>
    </row>
    <row r="767" spans="1:64" ht="15" thickBot="1" x14ac:dyDescent="0.4">
      <c r="A767" s="14"/>
      <c r="B767" s="14"/>
      <c r="C767" s="14"/>
      <c r="D767" s="14"/>
      <c r="E767" s="14"/>
      <c r="F767" s="14"/>
      <c r="G767" s="14"/>
      <c r="H767" s="14"/>
      <c r="I767" s="14"/>
      <c r="J767" s="41"/>
      <c r="P767" s="17"/>
      <c r="V767" s="50"/>
      <c r="AB767" s="18"/>
      <c r="AH767" s="54"/>
      <c r="AN767" s="41"/>
      <c r="AT767" s="60"/>
      <c r="AZ767" s="62"/>
      <c r="BF767" s="64"/>
      <c r="BL767" s="66"/>
    </row>
    <row r="768" spans="1:64" ht="15" thickBot="1" x14ac:dyDescent="0.4">
      <c r="A768" s="14"/>
      <c r="B768" s="14"/>
      <c r="C768" s="14"/>
      <c r="D768" s="14"/>
      <c r="E768" s="14"/>
      <c r="F768" s="14"/>
      <c r="G768" s="14"/>
      <c r="H768" s="14"/>
      <c r="I768" s="14"/>
      <c r="J768" s="41"/>
      <c r="P768" s="17"/>
      <c r="V768" s="50"/>
      <c r="AB768" s="18"/>
      <c r="AH768" s="54"/>
      <c r="AN768" s="41"/>
      <c r="AT768" s="60"/>
      <c r="AZ768" s="62"/>
      <c r="BF768" s="64"/>
      <c r="BL768" s="66"/>
    </row>
    <row r="769" spans="1:64" ht="15" thickBot="1" x14ac:dyDescent="0.4">
      <c r="A769" s="14"/>
      <c r="B769" s="14"/>
      <c r="C769" s="14"/>
      <c r="D769" s="14"/>
      <c r="E769" s="14"/>
      <c r="F769" s="14"/>
      <c r="G769" s="14"/>
      <c r="H769" s="14"/>
      <c r="I769" s="14"/>
      <c r="J769" s="41"/>
      <c r="P769" s="17"/>
      <c r="V769" s="50"/>
      <c r="AB769" s="18"/>
      <c r="AH769" s="54"/>
      <c r="AN769" s="41"/>
      <c r="AT769" s="60"/>
      <c r="AZ769" s="62"/>
      <c r="BF769" s="64"/>
      <c r="BL769" s="66"/>
    </row>
    <row r="770" spans="1:64" ht="15" thickBot="1" x14ac:dyDescent="0.4">
      <c r="A770" s="14"/>
      <c r="B770" s="14"/>
      <c r="C770" s="14"/>
      <c r="D770" s="14"/>
      <c r="E770" s="14"/>
      <c r="F770" s="14"/>
      <c r="G770" s="14"/>
      <c r="H770" s="14"/>
      <c r="I770" s="14"/>
      <c r="J770" s="41"/>
      <c r="P770" s="17"/>
      <c r="V770" s="50"/>
      <c r="AB770" s="18"/>
      <c r="AH770" s="54"/>
      <c r="AN770" s="41"/>
      <c r="AT770" s="60"/>
      <c r="AZ770" s="62"/>
      <c r="BF770" s="64"/>
      <c r="BL770" s="66"/>
    </row>
    <row r="771" spans="1:64" ht="15" thickBot="1" x14ac:dyDescent="0.4">
      <c r="A771" s="14"/>
      <c r="B771" s="14"/>
      <c r="C771" s="14"/>
      <c r="D771" s="14"/>
      <c r="E771" s="14"/>
      <c r="F771" s="14"/>
      <c r="G771" s="14"/>
      <c r="H771" s="14"/>
      <c r="I771" s="14"/>
      <c r="J771" s="41"/>
      <c r="P771" s="17"/>
      <c r="V771" s="50"/>
      <c r="AB771" s="18"/>
      <c r="AH771" s="54"/>
      <c r="AN771" s="41"/>
      <c r="AT771" s="60"/>
      <c r="AZ771" s="62"/>
      <c r="BF771" s="64"/>
      <c r="BL771" s="66"/>
    </row>
    <row r="772" spans="1:64" ht="15" thickBot="1" x14ac:dyDescent="0.4">
      <c r="A772" s="14"/>
      <c r="B772" s="14"/>
      <c r="C772" s="14"/>
      <c r="D772" s="14"/>
      <c r="E772" s="14"/>
      <c r="F772" s="14"/>
      <c r="G772" s="14"/>
      <c r="H772" s="14"/>
      <c r="I772" s="14"/>
      <c r="J772" s="41"/>
      <c r="P772" s="17"/>
      <c r="V772" s="50"/>
      <c r="AB772" s="18"/>
      <c r="AH772" s="54"/>
      <c r="AN772" s="41"/>
      <c r="AT772" s="60"/>
      <c r="AZ772" s="62"/>
      <c r="BF772" s="64"/>
      <c r="BL772" s="66"/>
    </row>
    <row r="773" spans="1:64" ht="15" thickBot="1" x14ac:dyDescent="0.4">
      <c r="A773" s="14"/>
      <c r="B773" s="14"/>
      <c r="C773" s="14"/>
      <c r="D773" s="14"/>
      <c r="E773" s="14"/>
      <c r="F773" s="14"/>
      <c r="G773" s="14"/>
      <c r="H773" s="14"/>
      <c r="I773" s="14"/>
      <c r="J773" s="41"/>
      <c r="P773" s="17"/>
      <c r="V773" s="50"/>
      <c r="AB773" s="18"/>
      <c r="AH773" s="54"/>
      <c r="AN773" s="41"/>
      <c r="AT773" s="60"/>
      <c r="AZ773" s="62"/>
      <c r="BF773" s="64"/>
      <c r="BL773" s="66"/>
    </row>
    <row r="774" spans="1:64" ht="15" thickBot="1" x14ac:dyDescent="0.4">
      <c r="A774" s="14"/>
      <c r="B774" s="14"/>
      <c r="C774" s="14"/>
      <c r="D774" s="14"/>
      <c r="E774" s="14"/>
      <c r="F774" s="14"/>
      <c r="G774" s="14"/>
      <c r="H774" s="14"/>
      <c r="I774" s="14"/>
      <c r="J774" s="41"/>
      <c r="P774" s="17"/>
      <c r="V774" s="50"/>
      <c r="AB774" s="18"/>
      <c r="AH774" s="54"/>
      <c r="AN774" s="41"/>
      <c r="AT774" s="60"/>
      <c r="AZ774" s="62"/>
      <c r="BF774" s="64"/>
      <c r="BL774" s="66"/>
    </row>
    <row r="775" spans="1:64" ht="15" thickBot="1" x14ac:dyDescent="0.4">
      <c r="A775" s="14"/>
      <c r="B775" s="14"/>
      <c r="C775" s="14"/>
      <c r="D775" s="14"/>
      <c r="E775" s="14"/>
      <c r="F775" s="14"/>
      <c r="G775" s="14"/>
      <c r="H775" s="14"/>
      <c r="I775" s="14"/>
      <c r="J775" s="41"/>
      <c r="P775" s="17"/>
      <c r="V775" s="50"/>
      <c r="AB775" s="18"/>
      <c r="AH775" s="54"/>
      <c r="AN775" s="41"/>
      <c r="AT775" s="60"/>
      <c r="AZ775" s="62"/>
      <c r="BF775" s="64"/>
      <c r="BL775" s="66"/>
    </row>
    <row r="776" spans="1:64" ht="15" thickBot="1" x14ac:dyDescent="0.4">
      <c r="A776" s="14"/>
      <c r="B776" s="14"/>
      <c r="C776" s="14"/>
      <c r="D776" s="14"/>
      <c r="E776" s="14"/>
      <c r="F776" s="14"/>
      <c r="G776" s="14"/>
      <c r="H776" s="14"/>
      <c r="I776" s="14"/>
      <c r="J776" s="41"/>
      <c r="P776" s="17"/>
      <c r="V776" s="50"/>
      <c r="AB776" s="18"/>
      <c r="AH776" s="54"/>
      <c r="AN776" s="41"/>
      <c r="AT776" s="60"/>
      <c r="AZ776" s="62"/>
      <c r="BF776" s="64"/>
      <c r="BL776" s="66"/>
    </row>
    <row r="777" spans="1:64" ht="15" thickBot="1" x14ac:dyDescent="0.4">
      <c r="A777" s="14"/>
      <c r="B777" s="14"/>
      <c r="C777" s="14"/>
      <c r="D777" s="14"/>
      <c r="E777" s="14"/>
      <c r="F777" s="14"/>
      <c r="G777" s="14"/>
      <c r="H777" s="14"/>
      <c r="I777" s="14"/>
      <c r="J777" s="41"/>
      <c r="P777" s="17"/>
      <c r="V777" s="50"/>
      <c r="AB777" s="18"/>
      <c r="AH777" s="54"/>
      <c r="AN777" s="41"/>
      <c r="AT777" s="60"/>
      <c r="AZ777" s="62"/>
      <c r="BF777" s="64"/>
      <c r="BL777" s="66"/>
    </row>
    <row r="778" spans="1:64" ht="15" thickBot="1" x14ac:dyDescent="0.4">
      <c r="A778" s="14"/>
      <c r="B778" s="14"/>
      <c r="C778" s="14"/>
      <c r="D778" s="14"/>
      <c r="E778" s="14"/>
      <c r="F778" s="14"/>
      <c r="G778" s="14"/>
      <c r="H778" s="14"/>
      <c r="I778" s="14"/>
      <c r="J778" s="41"/>
      <c r="P778" s="17"/>
      <c r="V778" s="50"/>
      <c r="AB778" s="18"/>
      <c r="AH778" s="54"/>
      <c r="AN778" s="41"/>
      <c r="AT778" s="60"/>
      <c r="AZ778" s="62"/>
      <c r="BF778" s="64"/>
      <c r="BL778" s="66"/>
    </row>
    <row r="779" spans="1:64" ht="15" thickBot="1" x14ac:dyDescent="0.4">
      <c r="A779" s="14"/>
      <c r="B779" s="14"/>
      <c r="C779" s="14"/>
      <c r="D779" s="14"/>
      <c r="E779" s="14"/>
      <c r="F779" s="14"/>
      <c r="G779" s="14"/>
      <c r="H779" s="14"/>
      <c r="I779" s="14"/>
      <c r="J779" s="41"/>
      <c r="P779" s="17"/>
      <c r="V779" s="50"/>
      <c r="AB779" s="18"/>
      <c r="AH779" s="54"/>
      <c r="AN779" s="41"/>
      <c r="AT779" s="60"/>
      <c r="AZ779" s="62"/>
      <c r="BF779" s="64"/>
      <c r="BL779" s="66"/>
    </row>
    <row r="780" spans="1:64" ht="15" thickBot="1" x14ac:dyDescent="0.4">
      <c r="A780" s="14"/>
      <c r="B780" s="14"/>
      <c r="C780" s="14"/>
      <c r="D780" s="14"/>
      <c r="E780" s="14"/>
      <c r="F780" s="14"/>
      <c r="G780" s="14"/>
      <c r="H780" s="14"/>
      <c r="I780" s="14"/>
      <c r="J780" s="41"/>
      <c r="P780" s="17"/>
      <c r="V780" s="50"/>
      <c r="AB780" s="18"/>
      <c r="AH780" s="54"/>
      <c r="AN780" s="41"/>
      <c r="AT780" s="60"/>
      <c r="AZ780" s="62"/>
      <c r="BF780" s="64"/>
      <c r="BL780" s="66"/>
    </row>
    <row r="781" spans="1:64" ht="15" thickBot="1" x14ac:dyDescent="0.4">
      <c r="A781" s="14"/>
      <c r="B781" s="14"/>
      <c r="C781" s="14"/>
      <c r="D781" s="14"/>
      <c r="E781" s="14"/>
      <c r="F781" s="14"/>
      <c r="G781" s="14"/>
      <c r="H781" s="14"/>
      <c r="I781" s="14"/>
      <c r="J781" s="41"/>
      <c r="P781" s="17"/>
      <c r="V781" s="50"/>
      <c r="AB781" s="18"/>
      <c r="AH781" s="54"/>
      <c r="AN781" s="41"/>
      <c r="AT781" s="60"/>
      <c r="AZ781" s="62"/>
      <c r="BF781" s="64"/>
      <c r="BL781" s="66"/>
    </row>
    <row r="782" spans="1:64" ht="15" thickBot="1" x14ac:dyDescent="0.4">
      <c r="A782" s="14"/>
      <c r="B782" s="14"/>
      <c r="C782" s="14"/>
      <c r="D782" s="14"/>
      <c r="E782" s="14"/>
      <c r="F782" s="14"/>
      <c r="G782" s="14"/>
      <c r="H782" s="14"/>
      <c r="I782" s="14"/>
      <c r="J782" s="41"/>
      <c r="P782" s="17"/>
      <c r="V782" s="50"/>
      <c r="AB782" s="18"/>
      <c r="AH782" s="54"/>
      <c r="AN782" s="41"/>
      <c r="AT782" s="60"/>
      <c r="AZ782" s="62"/>
      <c r="BF782" s="64"/>
      <c r="BL782" s="66"/>
    </row>
    <row r="783" spans="1:64" ht="15" thickBot="1" x14ac:dyDescent="0.4">
      <c r="A783" s="14"/>
      <c r="B783" s="14"/>
      <c r="C783" s="14"/>
      <c r="D783" s="14"/>
      <c r="E783" s="14"/>
      <c r="F783" s="14"/>
      <c r="G783" s="14"/>
      <c r="H783" s="14"/>
      <c r="I783" s="14"/>
      <c r="J783" s="41"/>
      <c r="P783" s="17"/>
      <c r="V783" s="50"/>
      <c r="AB783" s="18"/>
      <c r="AH783" s="54"/>
      <c r="AN783" s="41"/>
      <c r="AT783" s="60"/>
      <c r="AZ783" s="62"/>
      <c r="BF783" s="64"/>
      <c r="BL783" s="66"/>
    </row>
    <row r="784" spans="1:64" ht="15" thickBot="1" x14ac:dyDescent="0.4">
      <c r="A784" s="14"/>
      <c r="B784" s="14"/>
      <c r="C784" s="14"/>
      <c r="D784" s="14"/>
      <c r="E784" s="14"/>
      <c r="F784" s="14"/>
      <c r="G784" s="14"/>
      <c r="H784" s="14"/>
      <c r="I784" s="14"/>
      <c r="J784" s="41"/>
      <c r="P784" s="17"/>
      <c r="V784" s="50"/>
      <c r="AB784" s="18"/>
      <c r="AH784" s="54"/>
      <c r="AN784" s="41"/>
      <c r="AT784" s="60"/>
      <c r="AZ784" s="62"/>
      <c r="BF784" s="64"/>
      <c r="BL784" s="66"/>
    </row>
    <row r="785" spans="1:64" ht="15" thickBot="1" x14ac:dyDescent="0.4">
      <c r="A785" s="14"/>
      <c r="B785" s="14"/>
      <c r="C785" s="14"/>
      <c r="D785" s="14"/>
      <c r="E785" s="14"/>
      <c r="F785" s="14"/>
      <c r="G785" s="14"/>
      <c r="H785" s="14"/>
      <c r="I785" s="14"/>
      <c r="J785" s="41"/>
      <c r="P785" s="17"/>
      <c r="V785" s="50"/>
      <c r="AB785" s="18"/>
      <c r="AH785" s="54"/>
      <c r="AN785" s="41"/>
      <c r="AT785" s="60"/>
      <c r="AZ785" s="62"/>
      <c r="BF785" s="64"/>
      <c r="BL785" s="66"/>
    </row>
    <row r="786" spans="1:64" ht="15" thickBot="1" x14ac:dyDescent="0.4">
      <c r="A786" s="14"/>
      <c r="B786" s="14"/>
      <c r="C786" s="14"/>
      <c r="D786" s="14"/>
      <c r="E786" s="14"/>
      <c r="F786" s="14"/>
      <c r="G786" s="14"/>
      <c r="H786" s="14"/>
      <c r="I786" s="14"/>
      <c r="J786" s="41"/>
      <c r="P786" s="17"/>
      <c r="V786" s="50"/>
      <c r="AB786" s="18"/>
      <c r="AH786" s="54"/>
      <c r="AN786" s="41"/>
      <c r="AT786" s="60"/>
      <c r="AZ786" s="62"/>
      <c r="BF786" s="64"/>
      <c r="BL786" s="66"/>
    </row>
    <row r="787" spans="1:64" ht="15" thickBot="1" x14ac:dyDescent="0.4">
      <c r="A787" s="14"/>
      <c r="B787" s="14"/>
      <c r="C787" s="14"/>
      <c r="D787" s="14"/>
      <c r="E787" s="14"/>
      <c r="F787" s="14"/>
      <c r="G787" s="14"/>
      <c r="H787" s="14"/>
      <c r="I787" s="14"/>
      <c r="J787" s="41"/>
      <c r="P787" s="17"/>
      <c r="V787" s="50"/>
      <c r="AB787" s="18"/>
      <c r="AH787" s="54"/>
      <c r="AN787" s="41"/>
      <c r="AT787" s="60"/>
      <c r="AZ787" s="62"/>
      <c r="BF787" s="64"/>
      <c r="BL787" s="66"/>
    </row>
    <row r="788" spans="1:64" ht="15" thickBot="1" x14ac:dyDescent="0.4">
      <c r="A788" s="14"/>
      <c r="B788" s="14"/>
      <c r="C788" s="14"/>
      <c r="D788" s="14"/>
      <c r="E788" s="14"/>
      <c r="F788" s="14"/>
      <c r="G788" s="14"/>
      <c r="H788" s="14"/>
      <c r="I788" s="14"/>
      <c r="J788" s="41"/>
      <c r="P788" s="17"/>
      <c r="V788" s="50"/>
      <c r="AB788" s="18"/>
      <c r="AH788" s="54"/>
      <c r="AN788" s="41"/>
      <c r="AT788" s="60"/>
      <c r="AZ788" s="62"/>
      <c r="BF788" s="64"/>
      <c r="BL788" s="66"/>
    </row>
    <row r="789" spans="1:64" ht="15" thickBot="1" x14ac:dyDescent="0.4">
      <c r="A789" s="14"/>
      <c r="B789" s="14"/>
      <c r="C789" s="14"/>
      <c r="D789" s="14"/>
      <c r="E789" s="14"/>
      <c r="F789" s="14"/>
      <c r="G789" s="14"/>
      <c r="H789" s="14"/>
      <c r="I789" s="14"/>
      <c r="J789" s="41"/>
      <c r="P789" s="17"/>
      <c r="V789" s="50"/>
      <c r="AB789" s="18"/>
      <c r="AH789" s="54"/>
      <c r="AN789" s="41"/>
      <c r="AT789" s="60"/>
      <c r="AZ789" s="62"/>
      <c r="BF789" s="64"/>
      <c r="BL789" s="66"/>
    </row>
    <row r="790" spans="1:64" ht="15" thickBot="1" x14ac:dyDescent="0.4">
      <c r="A790" s="14"/>
      <c r="B790" s="14"/>
      <c r="C790" s="14"/>
      <c r="D790" s="14"/>
      <c r="E790" s="14"/>
      <c r="F790" s="14"/>
      <c r="G790" s="14"/>
      <c r="H790" s="14"/>
      <c r="I790" s="14"/>
      <c r="J790" s="41"/>
      <c r="P790" s="17"/>
      <c r="V790" s="50"/>
      <c r="AB790" s="18"/>
      <c r="AH790" s="54"/>
      <c r="AN790" s="41"/>
      <c r="AT790" s="60"/>
      <c r="AZ790" s="62"/>
      <c r="BF790" s="64"/>
      <c r="BL790" s="66"/>
    </row>
    <row r="791" spans="1:64" ht="15" thickBot="1" x14ac:dyDescent="0.4">
      <c r="A791" s="14"/>
      <c r="B791" s="14"/>
      <c r="C791" s="14"/>
      <c r="D791" s="14"/>
      <c r="E791" s="14"/>
      <c r="F791" s="14"/>
      <c r="G791" s="14"/>
      <c r="H791" s="14"/>
      <c r="I791" s="14"/>
      <c r="J791" s="41"/>
      <c r="P791" s="17"/>
      <c r="V791" s="50"/>
      <c r="AB791" s="18"/>
      <c r="AH791" s="54"/>
      <c r="AN791" s="41"/>
      <c r="AT791" s="60"/>
      <c r="AZ791" s="62"/>
      <c r="BF791" s="64"/>
      <c r="BL791" s="66"/>
    </row>
    <row r="792" spans="1:64" ht="15" thickBot="1" x14ac:dyDescent="0.4">
      <c r="A792" s="14"/>
      <c r="B792" s="14"/>
      <c r="C792" s="14"/>
      <c r="D792" s="14"/>
      <c r="E792" s="14"/>
      <c r="F792" s="14"/>
      <c r="G792" s="14"/>
      <c r="H792" s="14"/>
      <c r="I792" s="14"/>
      <c r="J792" s="41"/>
      <c r="P792" s="17"/>
      <c r="V792" s="50"/>
      <c r="AB792" s="18"/>
      <c r="AH792" s="54"/>
      <c r="AN792" s="41"/>
      <c r="AT792" s="60"/>
      <c r="AZ792" s="62"/>
      <c r="BF792" s="64"/>
      <c r="BL792" s="66"/>
    </row>
    <row r="793" spans="1:64" ht="15" thickBot="1" x14ac:dyDescent="0.4">
      <c r="A793" s="14"/>
      <c r="B793" s="14"/>
      <c r="C793" s="14"/>
      <c r="D793" s="14"/>
      <c r="E793" s="14"/>
      <c r="F793" s="14"/>
      <c r="G793" s="14"/>
      <c r="H793" s="14"/>
      <c r="I793" s="14"/>
      <c r="J793" s="41"/>
      <c r="P793" s="17"/>
      <c r="V793" s="50"/>
      <c r="AB793" s="18"/>
      <c r="AH793" s="54"/>
      <c r="AN793" s="41"/>
      <c r="AT793" s="60"/>
      <c r="AZ793" s="62"/>
      <c r="BF793" s="64"/>
      <c r="BL793" s="66"/>
    </row>
    <row r="794" spans="1:64" ht="15" thickBot="1" x14ac:dyDescent="0.4">
      <c r="A794" s="14"/>
      <c r="B794" s="14"/>
      <c r="C794" s="14"/>
      <c r="D794" s="14"/>
      <c r="E794" s="14"/>
      <c r="F794" s="14"/>
      <c r="G794" s="14"/>
      <c r="H794" s="14"/>
      <c r="I794" s="14"/>
      <c r="J794" s="41"/>
      <c r="P794" s="17"/>
      <c r="V794" s="50"/>
      <c r="AB794" s="18"/>
      <c r="AH794" s="54"/>
      <c r="AN794" s="41"/>
      <c r="AT794" s="60"/>
      <c r="AZ794" s="62"/>
      <c r="BF794" s="64"/>
      <c r="BL794" s="66"/>
    </row>
    <row r="795" spans="1:64" ht="15" thickBot="1" x14ac:dyDescent="0.4">
      <c r="A795" s="14"/>
      <c r="B795" s="14"/>
      <c r="C795" s="14"/>
      <c r="D795" s="14"/>
      <c r="E795" s="14"/>
      <c r="F795" s="14"/>
      <c r="G795" s="14"/>
      <c r="H795" s="14"/>
      <c r="I795" s="14"/>
      <c r="J795" s="41"/>
      <c r="P795" s="17"/>
      <c r="V795" s="50"/>
      <c r="AB795" s="18"/>
      <c r="AH795" s="54"/>
      <c r="AN795" s="41"/>
      <c r="AT795" s="60"/>
      <c r="AZ795" s="62"/>
      <c r="BF795" s="64"/>
      <c r="BL795" s="66"/>
    </row>
    <row r="796" spans="1:64" ht="15" thickBot="1" x14ac:dyDescent="0.4">
      <c r="A796" s="14"/>
      <c r="B796" s="14"/>
      <c r="C796" s="14"/>
      <c r="D796" s="14"/>
      <c r="E796" s="14"/>
      <c r="F796" s="14"/>
      <c r="G796" s="14"/>
      <c r="H796" s="14"/>
      <c r="I796" s="14"/>
      <c r="J796" s="41"/>
      <c r="P796" s="17"/>
      <c r="V796" s="50"/>
      <c r="AB796" s="18"/>
      <c r="AH796" s="54"/>
      <c r="AN796" s="41"/>
      <c r="AT796" s="60"/>
      <c r="AZ796" s="62"/>
      <c r="BF796" s="64"/>
      <c r="BL796" s="66"/>
    </row>
    <row r="797" spans="1:64" ht="15" thickBot="1" x14ac:dyDescent="0.4">
      <c r="A797" s="14"/>
      <c r="B797" s="14"/>
      <c r="C797" s="14"/>
      <c r="D797" s="14"/>
      <c r="E797" s="14"/>
      <c r="F797" s="14"/>
      <c r="G797" s="14"/>
      <c r="H797" s="14"/>
      <c r="I797" s="14"/>
      <c r="J797" s="41"/>
      <c r="P797" s="17"/>
      <c r="V797" s="50"/>
      <c r="AB797" s="18"/>
      <c r="AH797" s="54"/>
      <c r="AN797" s="41"/>
      <c r="AT797" s="60"/>
      <c r="AZ797" s="62"/>
      <c r="BF797" s="64"/>
      <c r="BL797" s="66"/>
    </row>
    <row r="798" spans="1:64" ht="15" thickBot="1" x14ac:dyDescent="0.4">
      <c r="A798" s="14"/>
      <c r="B798" s="14"/>
      <c r="C798" s="14"/>
      <c r="D798" s="14"/>
      <c r="E798" s="14"/>
      <c r="F798" s="14"/>
      <c r="G798" s="14"/>
      <c r="H798" s="14"/>
      <c r="I798" s="14"/>
      <c r="J798" s="41"/>
      <c r="P798" s="17"/>
      <c r="V798" s="50"/>
      <c r="AB798" s="18"/>
      <c r="AH798" s="54"/>
      <c r="AN798" s="41"/>
      <c r="AT798" s="60"/>
      <c r="AZ798" s="62"/>
      <c r="BF798" s="64"/>
      <c r="BL798" s="66"/>
    </row>
    <row r="799" spans="1:64" ht="15" thickBot="1" x14ac:dyDescent="0.4">
      <c r="A799" s="14"/>
      <c r="B799" s="14"/>
      <c r="C799" s="14"/>
      <c r="D799" s="14"/>
      <c r="E799" s="14"/>
      <c r="F799" s="14"/>
      <c r="G799" s="14"/>
      <c r="H799" s="14"/>
      <c r="I799" s="14"/>
      <c r="J799" s="41"/>
      <c r="P799" s="17"/>
      <c r="V799" s="50"/>
      <c r="AB799" s="18"/>
      <c r="AH799" s="54"/>
      <c r="AN799" s="41"/>
      <c r="AT799" s="60"/>
      <c r="AZ799" s="62"/>
      <c r="BF799" s="64"/>
      <c r="BL799" s="66"/>
    </row>
    <row r="800" spans="1:64" ht="15" thickBot="1" x14ac:dyDescent="0.4">
      <c r="A800" s="14"/>
      <c r="B800" s="14"/>
      <c r="C800" s="14"/>
      <c r="D800" s="14"/>
      <c r="E800" s="14"/>
      <c r="F800" s="14"/>
      <c r="G800" s="14"/>
      <c r="H800" s="14"/>
      <c r="I800" s="14"/>
      <c r="J800" s="41"/>
      <c r="P800" s="17"/>
      <c r="V800" s="50"/>
      <c r="AB800" s="18"/>
      <c r="AH800" s="54"/>
      <c r="AN800" s="41"/>
      <c r="AT800" s="60"/>
      <c r="AZ800" s="62"/>
      <c r="BF800" s="64"/>
      <c r="BL800" s="66"/>
    </row>
    <row r="801" spans="1:64" ht="15" thickBot="1" x14ac:dyDescent="0.4">
      <c r="A801" s="14"/>
      <c r="B801" s="14"/>
      <c r="C801" s="14"/>
      <c r="D801" s="14"/>
      <c r="E801" s="14"/>
      <c r="F801" s="14"/>
      <c r="G801" s="14"/>
      <c r="H801" s="14"/>
      <c r="I801" s="14"/>
      <c r="J801" s="41"/>
      <c r="P801" s="17"/>
      <c r="V801" s="50"/>
      <c r="AB801" s="18"/>
      <c r="AH801" s="54"/>
      <c r="AN801" s="41"/>
      <c r="AT801" s="60"/>
      <c r="AZ801" s="62"/>
      <c r="BF801" s="64"/>
      <c r="BL801" s="66"/>
    </row>
    <row r="802" spans="1:64" ht="15" thickBot="1" x14ac:dyDescent="0.4">
      <c r="A802" s="14"/>
      <c r="B802" s="14"/>
      <c r="C802" s="14"/>
      <c r="D802" s="14"/>
      <c r="E802" s="14"/>
      <c r="F802" s="14"/>
      <c r="G802" s="14"/>
      <c r="H802" s="14"/>
      <c r="I802" s="14"/>
      <c r="J802" s="41"/>
      <c r="P802" s="17"/>
      <c r="V802" s="50"/>
      <c r="AB802" s="18"/>
      <c r="AH802" s="54"/>
      <c r="AN802" s="41"/>
      <c r="AT802" s="60"/>
      <c r="AZ802" s="62"/>
      <c r="BF802" s="64"/>
      <c r="BL802" s="66"/>
    </row>
    <row r="803" spans="1:64" ht="15" thickBot="1" x14ac:dyDescent="0.4">
      <c r="A803" s="14"/>
      <c r="B803" s="14"/>
      <c r="C803" s="14"/>
      <c r="D803" s="14"/>
      <c r="E803" s="14"/>
      <c r="F803" s="14"/>
      <c r="G803" s="14"/>
      <c r="H803" s="14"/>
      <c r="I803" s="14"/>
      <c r="J803" s="41"/>
      <c r="P803" s="17"/>
      <c r="V803" s="50"/>
      <c r="AB803" s="18"/>
      <c r="AH803" s="54"/>
      <c r="AN803" s="41"/>
      <c r="AT803" s="60"/>
      <c r="AZ803" s="62"/>
      <c r="BF803" s="64"/>
      <c r="BL803" s="66"/>
    </row>
    <row r="804" spans="1:64" ht="15" thickBot="1" x14ac:dyDescent="0.4">
      <c r="A804" s="14"/>
      <c r="B804" s="14"/>
      <c r="C804" s="14"/>
      <c r="D804" s="14"/>
      <c r="E804" s="14"/>
      <c r="F804" s="14"/>
      <c r="G804" s="14"/>
      <c r="H804" s="14"/>
      <c r="I804" s="14"/>
      <c r="J804" s="41"/>
      <c r="P804" s="17"/>
      <c r="V804" s="50"/>
      <c r="AB804" s="18"/>
      <c r="AH804" s="54"/>
      <c r="AN804" s="41"/>
      <c r="AT804" s="60"/>
      <c r="AZ804" s="62"/>
      <c r="BF804" s="64"/>
      <c r="BL804" s="66"/>
    </row>
    <row r="805" spans="1:64" ht="15" thickBot="1" x14ac:dyDescent="0.4">
      <c r="A805" s="14"/>
      <c r="B805" s="14"/>
      <c r="C805" s="14"/>
      <c r="D805" s="14"/>
      <c r="E805" s="14"/>
      <c r="F805" s="14"/>
      <c r="G805" s="14"/>
      <c r="H805" s="14"/>
      <c r="I805" s="14"/>
      <c r="J805" s="41"/>
      <c r="P805" s="17"/>
      <c r="V805" s="50"/>
      <c r="AB805" s="18"/>
      <c r="AH805" s="54"/>
      <c r="AN805" s="41"/>
      <c r="AT805" s="60"/>
      <c r="AZ805" s="62"/>
      <c r="BF805" s="64"/>
      <c r="BL805" s="66"/>
    </row>
    <row r="806" spans="1:64" ht="15" thickBot="1" x14ac:dyDescent="0.4">
      <c r="A806" s="14"/>
      <c r="B806" s="14"/>
      <c r="C806" s="14"/>
      <c r="D806" s="14"/>
      <c r="E806" s="14"/>
      <c r="F806" s="14"/>
      <c r="G806" s="14"/>
      <c r="H806" s="14"/>
      <c r="I806" s="14"/>
      <c r="J806" s="41"/>
      <c r="P806" s="17"/>
      <c r="V806" s="50"/>
      <c r="AB806" s="18"/>
      <c r="AH806" s="54"/>
      <c r="AN806" s="41"/>
      <c r="AT806" s="60"/>
      <c r="AZ806" s="62"/>
      <c r="BF806" s="64"/>
      <c r="BL806" s="66"/>
    </row>
    <row r="807" spans="1:64" ht="15" thickBot="1" x14ac:dyDescent="0.4">
      <c r="A807" s="14"/>
      <c r="B807" s="14"/>
      <c r="C807" s="14"/>
      <c r="D807" s="14"/>
      <c r="E807" s="14"/>
      <c r="F807" s="14"/>
      <c r="G807" s="14"/>
      <c r="H807" s="14"/>
      <c r="I807" s="14"/>
      <c r="J807" s="41"/>
      <c r="P807" s="17"/>
      <c r="V807" s="50"/>
      <c r="AB807" s="18"/>
      <c r="AH807" s="54"/>
      <c r="AN807" s="41"/>
      <c r="AT807" s="60"/>
      <c r="AZ807" s="62"/>
      <c r="BF807" s="64"/>
      <c r="BL807" s="66"/>
    </row>
    <row r="808" spans="1:64" ht="15" thickBot="1" x14ac:dyDescent="0.4">
      <c r="A808" s="14"/>
      <c r="B808" s="14"/>
      <c r="C808" s="14"/>
      <c r="D808" s="14"/>
      <c r="E808" s="14"/>
      <c r="F808" s="14"/>
      <c r="G808" s="14"/>
      <c r="H808" s="14"/>
      <c r="I808" s="14"/>
      <c r="J808" s="41"/>
      <c r="P808" s="17"/>
      <c r="V808" s="50"/>
      <c r="AB808" s="18"/>
      <c r="AH808" s="54"/>
      <c r="AN808" s="41"/>
      <c r="AT808" s="60"/>
      <c r="AZ808" s="62"/>
      <c r="BF808" s="64"/>
      <c r="BL808" s="66"/>
    </row>
    <row r="809" spans="1:64" ht="15" thickBot="1" x14ac:dyDescent="0.4">
      <c r="A809" s="14"/>
      <c r="B809" s="14"/>
      <c r="C809" s="14"/>
      <c r="D809" s="14"/>
      <c r="E809" s="14"/>
      <c r="F809" s="14"/>
      <c r="G809" s="14"/>
      <c r="H809" s="14"/>
      <c r="I809" s="14"/>
      <c r="J809" s="41"/>
      <c r="P809" s="17"/>
      <c r="V809" s="50"/>
      <c r="AB809" s="18"/>
      <c r="AH809" s="54"/>
      <c r="AN809" s="41"/>
      <c r="AT809" s="60"/>
      <c r="AZ809" s="62"/>
      <c r="BF809" s="64"/>
      <c r="BL809" s="66"/>
    </row>
    <row r="810" spans="1:64" ht="15" thickBot="1" x14ac:dyDescent="0.4">
      <c r="A810" s="14"/>
      <c r="B810" s="14"/>
      <c r="C810" s="14"/>
      <c r="D810" s="14"/>
      <c r="E810" s="14"/>
      <c r="F810" s="14"/>
      <c r="G810" s="14"/>
      <c r="H810" s="14"/>
      <c r="I810" s="14"/>
      <c r="J810" s="41"/>
      <c r="P810" s="17"/>
      <c r="V810" s="50"/>
      <c r="AB810" s="18"/>
      <c r="AH810" s="54"/>
      <c r="AN810" s="41"/>
      <c r="AT810" s="60"/>
      <c r="AZ810" s="62"/>
      <c r="BF810" s="64"/>
      <c r="BL810" s="66"/>
    </row>
    <row r="811" spans="1:64" ht="15" thickBot="1" x14ac:dyDescent="0.4">
      <c r="A811" s="14"/>
      <c r="B811" s="14"/>
      <c r="C811" s="14"/>
      <c r="D811" s="14"/>
      <c r="E811" s="14"/>
      <c r="F811" s="14"/>
      <c r="G811" s="14"/>
      <c r="H811" s="14"/>
      <c r="I811" s="14"/>
      <c r="J811" s="41"/>
      <c r="P811" s="17"/>
      <c r="V811" s="50"/>
      <c r="AB811" s="18"/>
      <c r="AH811" s="54"/>
      <c r="AN811" s="41"/>
      <c r="AT811" s="60"/>
      <c r="AZ811" s="62"/>
      <c r="BF811" s="64"/>
      <c r="BL811" s="66"/>
    </row>
    <row r="812" spans="1:64" ht="15" thickBot="1" x14ac:dyDescent="0.4">
      <c r="A812" s="14"/>
      <c r="B812" s="14"/>
      <c r="C812" s="14"/>
      <c r="D812" s="14"/>
      <c r="E812" s="14"/>
      <c r="F812" s="14"/>
      <c r="G812" s="14"/>
      <c r="H812" s="14"/>
      <c r="I812" s="14"/>
      <c r="J812" s="41"/>
      <c r="P812" s="17"/>
      <c r="V812" s="50"/>
      <c r="AB812" s="18"/>
      <c r="AH812" s="54"/>
      <c r="AN812" s="41"/>
      <c r="AT812" s="60"/>
      <c r="AZ812" s="62"/>
      <c r="BF812" s="64"/>
      <c r="BL812" s="66"/>
    </row>
    <row r="813" spans="1:64" ht="15" thickBot="1" x14ac:dyDescent="0.4">
      <c r="A813" s="14"/>
      <c r="B813" s="14"/>
      <c r="C813" s="14"/>
      <c r="D813" s="14"/>
      <c r="E813" s="14"/>
      <c r="F813" s="14"/>
      <c r="G813" s="14"/>
      <c r="H813" s="14"/>
      <c r="I813" s="14"/>
      <c r="J813" s="41"/>
      <c r="P813" s="17"/>
      <c r="V813" s="50"/>
      <c r="AB813" s="18"/>
      <c r="AH813" s="54"/>
      <c r="AN813" s="41"/>
      <c r="AT813" s="60"/>
      <c r="AZ813" s="62"/>
      <c r="BF813" s="64"/>
      <c r="BL813" s="66"/>
    </row>
    <row r="814" spans="1:64" ht="15" thickBot="1" x14ac:dyDescent="0.4">
      <c r="A814" s="14"/>
      <c r="B814" s="14"/>
      <c r="C814" s="14"/>
      <c r="D814" s="14"/>
      <c r="E814" s="14"/>
      <c r="F814" s="14"/>
      <c r="G814" s="14"/>
      <c r="H814" s="14"/>
      <c r="I814" s="14"/>
      <c r="J814" s="41"/>
      <c r="P814" s="17"/>
      <c r="V814" s="50"/>
      <c r="AB814" s="18"/>
      <c r="AH814" s="54"/>
      <c r="AN814" s="41"/>
      <c r="AT814" s="60"/>
      <c r="AZ814" s="62"/>
      <c r="BF814" s="64"/>
      <c r="BL814" s="66"/>
    </row>
    <row r="815" spans="1:64" ht="15" thickBot="1" x14ac:dyDescent="0.4">
      <c r="A815" s="14"/>
      <c r="B815" s="14"/>
      <c r="C815" s="14"/>
      <c r="D815" s="14"/>
      <c r="E815" s="14"/>
      <c r="F815" s="14"/>
      <c r="G815" s="14"/>
      <c r="H815" s="14"/>
      <c r="I815" s="14"/>
      <c r="J815" s="41"/>
      <c r="P815" s="17"/>
      <c r="V815" s="50"/>
      <c r="AB815" s="18"/>
      <c r="AH815" s="54"/>
      <c r="AN815" s="41"/>
      <c r="AT815" s="60"/>
      <c r="AZ815" s="62"/>
      <c r="BF815" s="64"/>
      <c r="BL815" s="66"/>
    </row>
    <row r="816" spans="1:64" ht="15" thickBot="1" x14ac:dyDescent="0.4">
      <c r="A816" s="14"/>
      <c r="B816" s="14"/>
      <c r="C816" s="14"/>
      <c r="D816" s="14"/>
      <c r="E816" s="14"/>
      <c r="F816" s="14"/>
      <c r="G816" s="14"/>
      <c r="H816" s="14"/>
      <c r="I816" s="14"/>
      <c r="J816" s="41"/>
      <c r="P816" s="17"/>
      <c r="V816" s="50"/>
      <c r="AB816" s="18"/>
      <c r="AH816" s="54"/>
      <c r="AN816" s="41"/>
      <c r="AT816" s="60"/>
      <c r="AZ816" s="62"/>
      <c r="BF816" s="64"/>
      <c r="BL816" s="66"/>
    </row>
    <row r="817" spans="1:64" ht="15" thickBot="1" x14ac:dyDescent="0.4">
      <c r="A817" s="14"/>
      <c r="B817" s="14"/>
      <c r="C817" s="14"/>
      <c r="D817" s="14"/>
      <c r="E817" s="14"/>
      <c r="F817" s="14"/>
      <c r="G817" s="14"/>
      <c r="H817" s="14"/>
      <c r="I817" s="14"/>
      <c r="J817" s="41"/>
      <c r="P817" s="17"/>
      <c r="V817" s="50"/>
      <c r="AB817" s="18"/>
      <c r="AH817" s="54"/>
      <c r="AN817" s="41"/>
      <c r="AT817" s="60"/>
      <c r="AZ817" s="62"/>
      <c r="BF817" s="64"/>
      <c r="BL817" s="66"/>
    </row>
    <row r="818" spans="1:64" ht="15" thickBot="1" x14ac:dyDescent="0.4">
      <c r="A818" s="14"/>
      <c r="B818" s="14"/>
      <c r="C818" s="14"/>
      <c r="D818" s="14"/>
      <c r="E818" s="14"/>
      <c r="F818" s="14"/>
      <c r="G818" s="14"/>
      <c r="H818" s="14"/>
      <c r="I818" s="14"/>
      <c r="J818" s="41"/>
      <c r="P818" s="17"/>
      <c r="V818" s="50"/>
      <c r="AB818" s="18"/>
      <c r="AH818" s="54"/>
      <c r="AN818" s="41"/>
      <c r="AT818" s="60"/>
      <c r="AZ818" s="62"/>
      <c r="BF818" s="64"/>
      <c r="BL818" s="66"/>
    </row>
    <row r="819" spans="1:64" ht="15" thickBot="1" x14ac:dyDescent="0.4">
      <c r="A819" s="14"/>
      <c r="B819" s="14"/>
      <c r="C819" s="14"/>
      <c r="D819" s="14"/>
      <c r="E819" s="14"/>
      <c r="F819" s="14"/>
      <c r="G819" s="14"/>
      <c r="H819" s="14"/>
      <c r="I819" s="14"/>
      <c r="J819" s="41"/>
      <c r="P819" s="17"/>
      <c r="V819" s="50"/>
      <c r="AB819" s="18"/>
      <c r="AH819" s="54"/>
      <c r="AN819" s="41"/>
      <c r="AT819" s="60"/>
      <c r="AZ819" s="62"/>
      <c r="BF819" s="64"/>
      <c r="BL819" s="66"/>
    </row>
    <row r="820" spans="1:64" ht="15" thickBot="1" x14ac:dyDescent="0.4">
      <c r="A820" s="14"/>
      <c r="B820" s="14"/>
      <c r="C820" s="14"/>
      <c r="D820" s="14"/>
      <c r="E820" s="14"/>
      <c r="F820" s="14"/>
      <c r="G820" s="14"/>
      <c r="H820" s="14"/>
      <c r="I820" s="14"/>
      <c r="J820" s="41"/>
      <c r="P820" s="17"/>
      <c r="V820" s="50"/>
      <c r="AB820" s="18"/>
      <c r="AH820" s="54"/>
      <c r="AN820" s="41"/>
      <c r="AT820" s="60"/>
      <c r="AZ820" s="62"/>
      <c r="BF820" s="64"/>
      <c r="BL820" s="66"/>
    </row>
    <row r="821" spans="1:64" ht="15" thickBot="1" x14ac:dyDescent="0.4">
      <c r="A821" s="14"/>
      <c r="B821" s="14"/>
      <c r="C821" s="14"/>
      <c r="D821" s="14"/>
      <c r="E821" s="14"/>
      <c r="F821" s="14"/>
      <c r="G821" s="14"/>
      <c r="H821" s="14"/>
      <c r="I821" s="14"/>
      <c r="J821" s="41"/>
      <c r="P821" s="17"/>
      <c r="V821" s="50"/>
      <c r="AB821" s="18"/>
      <c r="AH821" s="54"/>
      <c r="AN821" s="41"/>
      <c r="AT821" s="60"/>
      <c r="AZ821" s="62"/>
      <c r="BF821" s="64"/>
      <c r="BL821" s="66"/>
    </row>
    <row r="822" spans="1:64" ht="15" thickBot="1" x14ac:dyDescent="0.4">
      <c r="A822" s="14"/>
      <c r="B822" s="14"/>
      <c r="C822" s="14"/>
      <c r="D822" s="14"/>
      <c r="E822" s="14"/>
      <c r="F822" s="14"/>
      <c r="G822" s="14"/>
      <c r="H822" s="14"/>
      <c r="I822" s="14"/>
      <c r="J822" s="41"/>
      <c r="P822" s="17"/>
      <c r="V822" s="50"/>
      <c r="AB822" s="18"/>
      <c r="AH822" s="54"/>
      <c r="AN822" s="41"/>
      <c r="AT822" s="60"/>
      <c r="AZ822" s="62"/>
      <c r="BF822" s="64"/>
      <c r="BL822" s="66"/>
    </row>
    <row r="823" spans="1:64" ht="15" thickBot="1" x14ac:dyDescent="0.4">
      <c r="A823" s="14"/>
      <c r="B823" s="14"/>
      <c r="C823" s="14"/>
      <c r="D823" s="14"/>
      <c r="E823" s="14"/>
      <c r="F823" s="14"/>
      <c r="G823" s="14"/>
      <c r="H823" s="14"/>
      <c r="I823" s="14"/>
      <c r="J823" s="41"/>
      <c r="P823" s="17"/>
      <c r="V823" s="50"/>
      <c r="AB823" s="18"/>
      <c r="AH823" s="54"/>
      <c r="AN823" s="41"/>
      <c r="AT823" s="60"/>
      <c r="AZ823" s="62"/>
      <c r="BF823" s="64"/>
      <c r="BL823" s="66"/>
    </row>
    <row r="824" spans="1:64" ht="15" thickBot="1" x14ac:dyDescent="0.4">
      <c r="A824" s="14"/>
      <c r="B824" s="14"/>
      <c r="C824" s="14"/>
      <c r="D824" s="14"/>
      <c r="E824" s="14"/>
      <c r="F824" s="14"/>
      <c r="G824" s="14"/>
      <c r="H824" s="14"/>
      <c r="I824" s="14"/>
      <c r="J824" s="41"/>
      <c r="P824" s="17"/>
      <c r="V824" s="50"/>
      <c r="AB824" s="18"/>
      <c r="AH824" s="54"/>
      <c r="AN824" s="41"/>
      <c r="AT824" s="60"/>
      <c r="AZ824" s="62"/>
      <c r="BF824" s="64"/>
      <c r="BL824" s="66"/>
    </row>
    <row r="825" spans="1:64" ht="15" thickBot="1" x14ac:dyDescent="0.4">
      <c r="A825" s="14"/>
      <c r="B825" s="14"/>
      <c r="C825" s="14"/>
      <c r="D825" s="14"/>
      <c r="E825" s="14"/>
      <c r="F825" s="14"/>
      <c r="G825" s="14"/>
      <c r="H825" s="14"/>
      <c r="I825" s="14"/>
      <c r="J825" s="41"/>
      <c r="P825" s="17"/>
      <c r="V825" s="50"/>
      <c r="AB825" s="18"/>
      <c r="AH825" s="54"/>
      <c r="AN825" s="41"/>
      <c r="AT825" s="60"/>
      <c r="AZ825" s="62"/>
      <c r="BF825" s="64"/>
      <c r="BL825" s="66"/>
    </row>
    <row r="826" spans="1:64" ht="15" thickBot="1" x14ac:dyDescent="0.4">
      <c r="A826" s="14"/>
      <c r="B826" s="14"/>
      <c r="C826" s="14"/>
      <c r="D826" s="14"/>
      <c r="E826" s="14"/>
      <c r="F826" s="14"/>
      <c r="G826" s="14"/>
      <c r="H826" s="14"/>
      <c r="I826" s="14"/>
      <c r="J826" s="41"/>
      <c r="P826" s="17"/>
      <c r="V826" s="50"/>
      <c r="AB826" s="18"/>
      <c r="AH826" s="54"/>
      <c r="AN826" s="41"/>
      <c r="AT826" s="60"/>
      <c r="AZ826" s="62"/>
      <c r="BF826" s="64"/>
      <c r="BL826" s="66"/>
    </row>
    <row r="827" spans="1:64" ht="15" thickBot="1" x14ac:dyDescent="0.4">
      <c r="A827" s="14"/>
      <c r="B827" s="14"/>
      <c r="C827" s="14"/>
      <c r="D827" s="14"/>
      <c r="E827" s="14"/>
      <c r="F827" s="14"/>
      <c r="G827" s="14"/>
      <c r="H827" s="14"/>
      <c r="I827" s="14"/>
      <c r="J827" s="41"/>
      <c r="P827" s="17"/>
      <c r="V827" s="50"/>
      <c r="AB827" s="18"/>
      <c r="AH827" s="54"/>
      <c r="AN827" s="41"/>
      <c r="AT827" s="60"/>
      <c r="AZ827" s="62"/>
      <c r="BF827" s="64"/>
      <c r="BL827" s="66"/>
    </row>
    <row r="828" spans="1:64" ht="15" thickBot="1" x14ac:dyDescent="0.4">
      <c r="A828" s="14"/>
      <c r="B828" s="14"/>
      <c r="C828" s="14"/>
      <c r="D828" s="14"/>
      <c r="E828" s="14"/>
      <c r="F828" s="14"/>
      <c r="G828" s="14"/>
      <c r="H828" s="14"/>
      <c r="I828" s="14"/>
      <c r="J828" s="41"/>
      <c r="P828" s="17"/>
      <c r="V828" s="50"/>
      <c r="AB828" s="18"/>
      <c r="AH828" s="54"/>
      <c r="AN828" s="41"/>
      <c r="AT828" s="60"/>
      <c r="AZ828" s="62"/>
      <c r="BF828" s="64"/>
      <c r="BL828" s="66"/>
    </row>
    <row r="829" spans="1:64" ht="15" thickBot="1" x14ac:dyDescent="0.4">
      <c r="A829" s="14"/>
      <c r="B829" s="14"/>
      <c r="C829" s="14"/>
      <c r="D829" s="14"/>
      <c r="E829" s="14"/>
      <c r="F829" s="14"/>
      <c r="G829" s="14"/>
      <c r="H829" s="14"/>
      <c r="I829" s="14"/>
      <c r="J829" s="41"/>
      <c r="P829" s="17"/>
      <c r="V829" s="50"/>
      <c r="AB829" s="18"/>
      <c r="AH829" s="54"/>
      <c r="AN829" s="41"/>
      <c r="AT829" s="60"/>
      <c r="AZ829" s="62"/>
      <c r="BF829" s="64"/>
      <c r="BL829" s="66"/>
    </row>
    <row r="830" spans="1:64" ht="15" thickBot="1" x14ac:dyDescent="0.4">
      <c r="A830" s="14"/>
      <c r="B830" s="14"/>
      <c r="C830" s="14"/>
      <c r="D830" s="14"/>
      <c r="E830" s="14"/>
      <c r="F830" s="14"/>
      <c r="G830" s="14"/>
      <c r="H830" s="14"/>
      <c r="I830" s="14"/>
      <c r="J830" s="41"/>
      <c r="P830" s="17"/>
      <c r="V830" s="50"/>
      <c r="AB830" s="18"/>
      <c r="AH830" s="54"/>
      <c r="AN830" s="41"/>
      <c r="AT830" s="60"/>
      <c r="AZ830" s="62"/>
      <c r="BF830" s="64"/>
      <c r="BL830" s="66"/>
    </row>
    <row r="831" spans="1:64" ht="15" thickBot="1" x14ac:dyDescent="0.4">
      <c r="A831" s="14"/>
      <c r="B831" s="14"/>
      <c r="C831" s="14"/>
      <c r="D831" s="14"/>
      <c r="E831" s="14"/>
      <c r="F831" s="14"/>
      <c r="G831" s="14"/>
      <c r="H831" s="14"/>
      <c r="I831" s="14"/>
      <c r="J831" s="41"/>
      <c r="P831" s="17"/>
      <c r="V831" s="50"/>
      <c r="AB831" s="18"/>
      <c r="AH831" s="54"/>
      <c r="AN831" s="41"/>
      <c r="AT831" s="60"/>
      <c r="AZ831" s="62"/>
      <c r="BF831" s="64"/>
      <c r="BL831" s="66"/>
    </row>
    <row r="832" spans="1:64" ht="15" thickBot="1" x14ac:dyDescent="0.4">
      <c r="A832" s="14"/>
      <c r="B832" s="14"/>
      <c r="C832" s="14"/>
      <c r="D832" s="14"/>
      <c r="E832" s="14"/>
      <c r="F832" s="14"/>
      <c r="G832" s="14"/>
      <c r="H832" s="14"/>
      <c r="I832" s="14"/>
      <c r="J832" s="41"/>
      <c r="P832" s="17"/>
      <c r="V832" s="50"/>
      <c r="AB832" s="18"/>
      <c r="AH832" s="54"/>
      <c r="AN832" s="41"/>
      <c r="AT832" s="60"/>
      <c r="AZ832" s="62"/>
      <c r="BF832" s="64"/>
      <c r="BL832" s="66"/>
    </row>
    <row r="833" spans="1:64" ht="15" thickBot="1" x14ac:dyDescent="0.4">
      <c r="A833" s="14"/>
      <c r="B833" s="14"/>
      <c r="C833" s="14"/>
      <c r="D833" s="14"/>
      <c r="E833" s="14"/>
      <c r="F833" s="14"/>
      <c r="G833" s="14"/>
      <c r="H833" s="14"/>
      <c r="I833" s="14"/>
      <c r="J833" s="41"/>
      <c r="P833" s="17"/>
      <c r="V833" s="50"/>
      <c r="AB833" s="18"/>
      <c r="AH833" s="54"/>
      <c r="AN833" s="41"/>
      <c r="AT833" s="60"/>
      <c r="AZ833" s="62"/>
      <c r="BF833" s="64"/>
      <c r="BL833" s="66"/>
    </row>
    <row r="834" spans="1:64" ht="15" thickBot="1" x14ac:dyDescent="0.4">
      <c r="A834" s="14"/>
      <c r="B834" s="14"/>
      <c r="C834" s="14"/>
      <c r="D834" s="14"/>
      <c r="E834" s="14"/>
      <c r="F834" s="14"/>
      <c r="G834" s="14"/>
      <c r="H834" s="14"/>
      <c r="I834" s="14"/>
      <c r="J834" s="41"/>
      <c r="P834" s="17"/>
      <c r="V834" s="50"/>
      <c r="AB834" s="18"/>
      <c r="AH834" s="54"/>
      <c r="AN834" s="41"/>
      <c r="AT834" s="60"/>
      <c r="AZ834" s="62"/>
      <c r="BF834" s="64"/>
      <c r="BL834" s="66"/>
    </row>
    <row r="835" spans="1:64" ht="15" thickBot="1" x14ac:dyDescent="0.4">
      <c r="A835" s="14"/>
      <c r="B835" s="14"/>
      <c r="C835" s="14"/>
      <c r="D835" s="14"/>
      <c r="E835" s="14"/>
      <c r="F835" s="14"/>
      <c r="G835" s="14"/>
      <c r="H835" s="14"/>
      <c r="I835" s="14"/>
      <c r="J835" s="41"/>
      <c r="P835" s="17"/>
      <c r="V835" s="50"/>
      <c r="AB835" s="18"/>
      <c r="AH835" s="54"/>
      <c r="AN835" s="41"/>
      <c r="AT835" s="60"/>
      <c r="AZ835" s="62"/>
      <c r="BF835" s="64"/>
      <c r="BL835" s="66"/>
    </row>
    <row r="836" spans="1:64" ht="15" thickBot="1" x14ac:dyDescent="0.4">
      <c r="A836" s="14"/>
      <c r="B836" s="14"/>
      <c r="C836" s="14"/>
      <c r="D836" s="14"/>
      <c r="E836" s="14"/>
      <c r="F836" s="14"/>
      <c r="G836" s="14"/>
      <c r="H836" s="14"/>
      <c r="I836" s="14"/>
      <c r="J836" s="41"/>
      <c r="P836" s="17"/>
      <c r="V836" s="50"/>
      <c r="AB836" s="18"/>
      <c r="AH836" s="54"/>
      <c r="AN836" s="41"/>
      <c r="AT836" s="60"/>
      <c r="AZ836" s="62"/>
      <c r="BF836" s="64"/>
      <c r="BL836" s="66"/>
    </row>
    <row r="837" spans="1:64" ht="15" thickBot="1" x14ac:dyDescent="0.4">
      <c r="A837" s="14"/>
      <c r="B837" s="14"/>
      <c r="C837" s="14"/>
      <c r="D837" s="14"/>
      <c r="E837" s="14"/>
      <c r="F837" s="14"/>
      <c r="G837" s="14"/>
      <c r="H837" s="14"/>
      <c r="I837" s="14"/>
      <c r="J837" s="41"/>
      <c r="P837" s="17"/>
      <c r="V837" s="50"/>
      <c r="AB837" s="18"/>
      <c r="AH837" s="54"/>
      <c r="AN837" s="41"/>
      <c r="AT837" s="60"/>
      <c r="AZ837" s="62"/>
      <c r="BF837" s="64"/>
      <c r="BL837" s="66"/>
    </row>
    <row r="838" spans="1:64" ht="15" thickBot="1" x14ac:dyDescent="0.4">
      <c r="A838" s="14"/>
      <c r="B838" s="14"/>
      <c r="C838" s="14"/>
      <c r="D838" s="14"/>
      <c r="E838" s="14"/>
      <c r="F838" s="14"/>
      <c r="G838" s="14"/>
      <c r="H838" s="14"/>
      <c r="I838" s="14"/>
      <c r="J838" s="41"/>
      <c r="P838" s="17"/>
      <c r="V838" s="50"/>
      <c r="AB838" s="18"/>
      <c r="AH838" s="54"/>
      <c r="AN838" s="41"/>
      <c r="AT838" s="60"/>
      <c r="AZ838" s="62"/>
      <c r="BF838" s="64"/>
      <c r="BL838" s="66"/>
    </row>
    <row r="839" spans="1:64" ht="15" thickBot="1" x14ac:dyDescent="0.4">
      <c r="A839" s="14"/>
      <c r="B839" s="14"/>
      <c r="C839" s="14"/>
      <c r="D839" s="14"/>
      <c r="E839" s="14"/>
      <c r="F839" s="14"/>
      <c r="G839" s="14"/>
      <c r="H839" s="14"/>
      <c r="I839" s="14"/>
      <c r="J839" s="41"/>
      <c r="P839" s="17"/>
      <c r="V839" s="50"/>
      <c r="AB839" s="18"/>
      <c r="AH839" s="54"/>
      <c r="AN839" s="41"/>
      <c r="AT839" s="60"/>
      <c r="AZ839" s="62"/>
      <c r="BF839" s="64"/>
      <c r="BL839" s="66"/>
    </row>
    <row r="840" spans="1:64" ht="15" thickBot="1" x14ac:dyDescent="0.4">
      <c r="A840" s="14"/>
      <c r="B840" s="14"/>
      <c r="C840" s="14"/>
      <c r="D840" s="14"/>
      <c r="E840" s="14"/>
      <c r="F840" s="14"/>
      <c r="G840" s="14"/>
      <c r="H840" s="14"/>
      <c r="I840" s="14"/>
      <c r="J840" s="41"/>
      <c r="P840" s="17"/>
      <c r="V840" s="50"/>
      <c r="AB840" s="18"/>
      <c r="AH840" s="54"/>
      <c r="AN840" s="41"/>
      <c r="AT840" s="60"/>
      <c r="AZ840" s="62"/>
      <c r="BF840" s="64"/>
      <c r="BL840" s="66"/>
    </row>
    <row r="841" spans="1:64" ht="15" thickBot="1" x14ac:dyDescent="0.4">
      <c r="A841" s="14"/>
      <c r="B841" s="14"/>
      <c r="C841" s="14"/>
      <c r="D841" s="14"/>
      <c r="E841" s="14"/>
      <c r="F841" s="14"/>
      <c r="G841" s="14"/>
      <c r="H841" s="14"/>
      <c r="I841" s="14"/>
      <c r="J841" s="41"/>
      <c r="P841" s="17"/>
      <c r="V841" s="50"/>
      <c r="AB841" s="18"/>
      <c r="AH841" s="54"/>
      <c r="AN841" s="41"/>
      <c r="AT841" s="60"/>
      <c r="AZ841" s="62"/>
      <c r="BF841" s="64"/>
      <c r="BL841" s="66"/>
    </row>
    <row r="842" spans="1:64" ht="15" thickBot="1" x14ac:dyDescent="0.4">
      <c r="A842" s="14"/>
      <c r="B842" s="14"/>
      <c r="C842" s="14"/>
      <c r="D842" s="14"/>
      <c r="E842" s="14"/>
      <c r="F842" s="14"/>
      <c r="G842" s="14"/>
      <c r="H842" s="14"/>
      <c r="I842" s="14"/>
      <c r="J842" s="41"/>
      <c r="P842" s="17"/>
      <c r="V842" s="50"/>
      <c r="AB842" s="18"/>
      <c r="AH842" s="54"/>
      <c r="AN842" s="41"/>
      <c r="AT842" s="60"/>
      <c r="AZ842" s="62"/>
      <c r="BF842" s="64"/>
      <c r="BL842" s="66"/>
    </row>
    <row r="843" spans="1:64" ht="15" thickBot="1" x14ac:dyDescent="0.4">
      <c r="A843" s="14"/>
      <c r="B843" s="14"/>
      <c r="C843" s="14"/>
      <c r="D843" s="14"/>
      <c r="E843" s="14"/>
      <c r="F843" s="14"/>
      <c r="G843" s="14"/>
      <c r="H843" s="14"/>
      <c r="I843" s="14"/>
      <c r="J843" s="41"/>
      <c r="P843" s="17"/>
      <c r="V843" s="50"/>
      <c r="AB843" s="18"/>
      <c r="AH843" s="54"/>
      <c r="AN843" s="41"/>
      <c r="AT843" s="60"/>
      <c r="AZ843" s="62"/>
      <c r="BF843" s="64"/>
      <c r="BL843" s="66"/>
    </row>
    <row r="844" spans="1:64" ht="15" thickBot="1" x14ac:dyDescent="0.4">
      <c r="A844" s="14"/>
      <c r="B844" s="14"/>
      <c r="C844" s="14"/>
      <c r="D844" s="14"/>
      <c r="E844" s="14"/>
      <c r="F844" s="14"/>
      <c r="G844" s="14"/>
      <c r="H844" s="14"/>
      <c r="I844" s="14"/>
      <c r="J844" s="41"/>
      <c r="P844" s="17"/>
      <c r="V844" s="50"/>
      <c r="AB844" s="18"/>
      <c r="AH844" s="54"/>
      <c r="AN844" s="41"/>
      <c r="AT844" s="60"/>
      <c r="AZ844" s="62"/>
      <c r="BF844" s="64"/>
      <c r="BL844" s="66"/>
    </row>
    <row r="845" spans="1:64" ht="15" thickBot="1" x14ac:dyDescent="0.4">
      <c r="A845" s="14"/>
      <c r="B845" s="14"/>
      <c r="C845" s="14"/>
      <c r="D845" s="14"/>
      <c r="E845" s="14"/>
      <c r="F845" s="14"/>
      <c r="G845" s="14"/>
      <c r="H845" s="14"/>
      <c r="I845" s="14"/>
      <c r="J845" s="41"/>
      <c r="P845" s="17"/>
      <c r="V845" s="50"/>
      <c r="AB845" s="18"/>
      <c r="AH845" s="54"/>
      <c r="AN845" s="41"/>
      <c r="AT845" s="60"/>
      <c r="AZ845" s="62"/>
      <c r="BF845" s="64"/>
      <c r="BL845" s="66"/>
    </row>
    <row r="846" spans="1:64" ht="15" thickBot="1" x14ac:dyDescent="0.4">
      <c r="A846" s="14"/>
      <c r="B846" s="14"/>
      <c r="C846" s="14"/>
      <c r="D846" s="14"/>
      <c r="E846" s="14"/>
      <c r="F846" s="14"/>
      <c r="G846" s="14"/>
      <c r="H846" s="14"/>
      <c r="I846" s="14"/>
      <c r="J846" s="41"/>
      <c r="P846" s="17"/>
      <c r="V846" s="50"/>
      <c r="AB846" s="18"/>
      <c r="AH846" s="54"/>
      <c r="AN846" s="41"/>
      <c r="AT846" s="60"/>
      <c r="AZ846" s="62"/>
      <c r="BF846" s="64"/>
      <c r="BL846" s="66"/>
    </row>
    <row r="847" spans="1:64" ht="15" thickBot="1" x14ac:dyDescent="0.4">
      <c r="A847" s="14"/>
      <c r="B847" s="14"/>
      <c r="C847" s="14"/>
      <c r="D847" s="14"/>
      <c r="E847" s="14"/>
      <c r="F847" s="14"/>
      <c r="G847" s="14"/>
      <c r="H847" s="14"/>
      <c r="I847" s="14"/>
      <c r="J847" s="41"/>
      <c r="P847" s="17"/>
      <c r="V847" s="50"/>
      <c r="AB847" s="18"/>
      <c r="AH847" s="54"/>
      <c r="AN847" s="41"/>
      <c r="AT847" s="60"/>
      <c r="AZ847" s="62"/>
      <c r="BF847" s="64"/>
      <c r="BL847" s="66"/>
    </row>
    <row r="848" spans="1:64" ht="15" thickBot="1" x14ac:dyDescent="0.4">
      <c r="A848" s="14"/>
      <c r="B848" s="14"/>
      <c r="C848" s="14"/>
      <c r="D848" s="14"/>
      <c r="E848" s="14"/>
      <c r="F848" s="14"/>
      <c r="G848" s="14"/>
      <c r="H848" s="14"/>
      <c r="I848" s="14"/>
      <c r="J848" s="41"/>
      <c r="P848" s="17"/>
      <c r="V848" s="50"/>
      <c r="AB848" s="18"/>
      <c r="AH848" s="54"/>
      <c r="AN848" s="41"/>
      <c r="AT848" s="60"/>
      <c r="AZ848" s="62"/>
      <c r="BF848" s="64"/>
      <c r="BL848" s="66"/>
    </row>
    <row r="849" spans="1:64" ht="15" thickBot="1" x14ac:dyDescent="0.4">
      <c r="A849" s="14"/>
      <c r="B849" s="14"/>
      <c r="C849" s="14"/>
      <c r="D849" s="14"/>
      <c r="E849" s="14"/>
      <c r="F849" s="14"/>
      <c r="G849" s="14"/>
      <c r="H849" s="14"/>
      <c r="I849" s="14"/>
      <c r="J849" s="41"/>
      <c r="P849" s="17"/>
      <c r="V849" s="50"/>
      <c r="AB849" s="18"/>
      <c r="AH849" s="54"/>
      <c r="AN849" s="41"/>
      <c r="AT849" s="60"/>
      <c r="AZ849" s="62"/>
      <c r="BF849" s="64"/>
      <c r="BL849" s="66"/>
    </row>
    <row r="850" spans="1:64" ht="15" thickBot="1" x14ac:dyDescent="0.4">
      <c r="A850" s="14"/>
      <c r="B850" s="14"/>
      <c r="C850" s="14"/>
      <c r="D850" s="14"/>
      <c r="E850" s="14"/>
      <c r="F850" s="14"/>
      <c r="G850" s="14"/>
      <c r="H850" s="14"/>
      <c r="I850" s="14"/>
      <c r="J850" s="41"/>
      <c r="P850" s="17"/>
      <c r="V850" s="50"/>
      <c r="AB850" s="18"/>
      <c r="AH850" s="54"/>
      <c r="AN850" s="41"/>
      <c r="AT850" s="60"/>
      <c r="AZ850" s="62"/>
      <c r="BF850" s="64"/>
      <c r="BL850" s="66"/>
    </row>
    <row r="851" spans="1:64" ht="15" thickBot="1" x14ac:dyDescent="0.4">
      <c r="A851" s="14"/>
      <c r="B851" s="14"/>
      <c r="C851" s="14"/>
      <c r="D851" s="14"/>
      <c r="E851" s="14"/>
      <c r="F851" s="14"/>
      <c r="G851" s="14"/>
      <c r="H851" s="14"/>
      <c r="I851" s="14"/>
      <c r="J851" s="41"/>
      <c r="P851" s="17"/>
      <c r="V851" s="50"/>
      <c r="AB851" s="18"/>
      <c r="AH851" s="54"/>
      <c r="AN851" s="41"/>
      <c r="AT851" s="60"/>
      <c r="AZ851" s="62"/>
      <c r="BF851" s="64"/>
      <c r="BL851" s="66"/>
    </row>
    <row r="852" spans="1:64" ht="15" thickBot="1" x14ac:dyDescent="0.4">
      <c r="A852" s="14"/>
      <c r="B852" s="14"/>
      <c r="C852" s="14"/>
      <c r="D852" s="14"/>
      <c r="E852" s="14"/>
      <c r="F852" s="14"/>
      <c r="G852" s="14"/>
      <c r="H852" s="14"/>
      <c r="I852" s="14"/>
      <c r="J852" s="41"/>
      <c r="P852" s="17"/>
      <c r="V852" s="50"/>
      <c r="AB852" s="18"/>
      <c r="AH852" s="54"/>
      <c r="AN852" s="41"/>
      <c r="AT852" s="60"/>
      <c r="AZ852" s="62"/>
      <c r="BF852" s="64"/>
      <c r="BL852" s="66"/>
    </row>
    <row r="853" spans="1:64" ht="15" thickBot="1" x14ac:dyDescent="0.4">
      <c r="A853" s="14"/>
      <c r="B853" s="14"/>
      <c r="C853" s="14"/>
      <c r="D853" s="14"/>
      <c r="E853" s="14"/>
      <c r="F853" s="14"/>
      <c r="G853" s="14"/>
      <c r="H853" s="14"/>
      <c r="I853" s="14"/>
      <c r="J853" s="41"/>
      <c r="P853" s="17"/>
      <c r="V853" s="50"/>
      <c r="AB853" s="18"/>
      <c r="AH853" s="54"/>
      <c r="AN853" s="41"/>
      <c r="AT853" s="60"/>
      <c r="AZ853" s="62"/>
      <c r="BF853" s="64"/>
      <c r="BL853" s="66"/>
    </row>
    <row r="854" spans="1:64" ht="15" thickBot="1" x14ac:dyDescent="0.4">
      <c r="A854" s="14"/>
      <c r="B854" s="14"/>
      <c r="C854" s="14"/>
      <c r="D854" s="14"/>
      <c r="E854" s="14"/>
      <c r="F854" s="14"/>
      <c r="G854" s="14"/>
      <c r="H854" s="14"/>
      <c r="I854" s="14"/>
      <c r="J854" s="41"/>
      <c r="P854" s="17"/>
      <c r="V854" s="50"/>
      <c r="AB854" s="18"/>
      <c r="AH854" s="54"/>
      <c r="AN854" s="41"/>
      <c r="AT854" s="60"/>
      <c r="AZ854" s="62"/>
      <c r="BF854" s="64"/>
      <c r="BL854" s="66"/>
    </row>
    <row r="855" spans="1:64" ht="15" thickBot="1" x14ac:dyDescent="0.4">
      <c r="A855" s="14"/>
      <c r="B855" s="14"/>
      <c r="C855" s="14"/>
      <c r="D855" s="14"/>
      <c r="E855" s="14"/>
      <c r="F855" s="14"/>
      <c r="G855" s="14"/>
      <c r="H855" s="14"/>
      <c r="I855" s="14"/>
      <c r="J855" s="41"/>
      <c r="P855" s="17"/>
      <c r="V855" s="50"/>
      <c r="AB855" s="18"/>
      <c r="AH855" s="54"/>
      <c r="AN855" s="41"/>
      <c r="AT855" s="60"/>
      <c r="AZ855" s="62"/>
      <c r="BF855" s="64"/>
      <c r="BL855" s="66"/>
    </row>
    <row r="856" spans="1:64" ht="15" thickBot="1" x14ac:dyDescent="0.4">
      <c r="A856" s="14"/>
      <c r="B856" s="14"/>
      <c r="C856" s="14"/>
      <c r="D856" s="14"/>
      <c r="E856" s="14"/>
      <c r="F856" s="14"/>
      <c r="G856" s="14"/>
      <c r="H856" s="14"/>
      <c r="I856" s="14"/>
      <c r="J856" s="41"/>
      <c r="P856" s="17"/>
      <c r="V856" s="50"/>
      <c r="AB856" s="18"/>
      <c r="AH856" s="54"/>
      <c r="AN856" s="41"/>
      <c r="AT856" s="60"/>
      <c r="AZ856" s="62"/>
      <c r="BF856" s="64"/>
      <c r="BL856" s="66"/>
    </row>
    <row r="857" spans="1:64" ht="15" thickBot="1" x14ac:dyDescent="0.4">
      <c r="A857" s="14"/>
      <c r="B857" s="14"/>
      <c r="C857" s="14"/>
      <c r="D857" s="14"/>
      <c r="E857" s="14"/>
      <c r="F857" s="14"/>
      <c r="G857" s="14"/>
      <c r="H857" s="14"/>
      <c r="I857" s="14"/>
      <c r="J857" s="41"/>
      <c r="P857" s="17"/>
      <c r="V857" s="50"/>
      <c r="AB857" s="18"/>
      <c r="AH857" s="54"/>
      <c r="AN857" s="41"/>
      <c r="AT857" s="60"/>
      <c r="AZ857" s="62"/>
      <c r="BF857" s="64"/>
      <c r="BL857" s="66"/>
    </row>
    <row r="858" spans="1:64" ht="15" thickBot="1" x14ac:dyDescent="0.4">
      <c r="A858" s="14"/>
      <c r="B858" s="14"/>
      <c r="C858" s="14"/>
      <c r="D858" s="14"/>
      <c r="E858" s="14"/>
      <c r="F858" s="14"/>
      <c r="G858" s="14"/>
      <c r="H858" s="14"/>
      <c r="I858" s="14"/>
      <c r="J858" s="41"/>
      <c r="P858" s="17"/>
      <c r="V858" s="50"/>
      <c r="AB858" s="18"/>
      <c r="AH858" s="54"/>
      <c r="AN858" s="41"/>
      <c r="AT858" s="60"/>
      <c r="AZ858" s="62"/>
      <c r="BF858" s="64"/>
      <c r="BL858" s="66"/>
    </row>
    <row r="859" spans="1:64" ht="15" thickBot="1" x14ac:dyDescent="0.4">
      <c r="A859" s="14"/>
      <c r="B859" s="14"/>
      <c r="C859" s="14"/>
      <c r="D859" s="14"/>
      <c r="E859" s="14"/>
      <c r="F859" s="14"/>
      <c r="G859" s="14"/>
      <c r="H859" s="14"/>
      <c r="I859" s="14"/>
      <c r="J859" s="41"/>
      <c r="P859" s="17"/>
      <c r="V859" s="50"/>
      <c r="AB859" s="18"/>
      <c r="AH859" s="54"/>
      <c r="AN859" s="41"/>
      <c r="AT859" s="60"/>
      <c r="AZ859" s="62"/>
      <c r="BF859" s="64"/>
      <c r="BL859" s="66"/>
    </row>
    <row r="860" spans="1:64" ht="15" thickBot="1" x14ac:dyDescent="0.4">
      <c r="A860" s="14"/>
      <c r="B860" s="14"/>
      <c r="C860" s="14"/>
      <c r="D860" s="14"/>
      <c r="E860" s="14"/>
      <c r="F860" s="14"/>
      <c r="G860" s="14"/>
      <c r="H860" s="14"/>
      <c r="I860" s="14"/>
      <c r="J860" s="41"/>
      <c r="P860" s="17"/>
      <c r="V860" s="50"/>
      <c r="AB860" s="18"/>
      <c r="AH860" s="54"/>
      <c r="AN860" s="41"/>
      <c r="AT860" s="60"/>
      <c r="AZ860" s="62"/>
      <c r="BF860" s="64"/>
      <c r="BL860" s="66"/>
    </row>
    <row r="861" spans="1:64" ht="15" thickBot="1" x14ac:dyDescent="0.4">
      <c r="A861" s="14"/>
      <c r="B861" s="14"/>
      <c r="C861" s="14"/>
      <c r="D861" s="14"/>
      <c r="E861" s="14"/>
      <c r="F861" s="14"/>
      <c r="G861" s="14"/>
      <c r="H861" s="14"/>
      <c r="I861" s="14"/>
      <c r="J861" s="41"/>
      <c r="P861" s="17"/>
      <c r="V861" s="50"/>
      <c r="AB861" s="18"/>
      <c r="AH861" s="54"/>
      <c r="AN861" s="41"/>
      <c r="AT861" s="60"/>
      <c r="AZ861" s="62"/>
      <c r="BF861" s="64"/>
      <c r="BL861" s="66"/>
    </row>
    <row r="862" spans="1:64" ht="15" thickBot="1" x14ac:dyDescent="0.4">
      <c r="A862" s="14"/>
      <c r="B862" s="14"/>
      <c r="C862" s="14"/>
      <c r="D862" s="14"/>
      <c r="E862" s="14"/>
      <c r="F862" s="14"/>
      <c r="G862" s="14"/>
      <c r="H862" s="14"/>
      <c r="I862" s="14"/>
      <c r="J862" s="41"/>
      <c r="P862" s="17"/>
      <c r="V862" s="50"/>
      <c r="AB862" s="18"/>
      <c r="AH862" s="54"/>
      <c r="AN862" s="41"/>
      <c r="AT862" s="60"/>
      <c r="AZ862" s="62"/>
      <c r="BF862" s="64"/>
      <c r="BL862" s="66"/>
    </row>
    <row r="863" spans="1:64" ht="15" thickBot="1" x14ac:dyDescent="0.4">
      <c r="A863" s="14"/>
      <c r="B863" s="14"/>
      <c r="C863" s="14"/>
      <c r="D863" s="14"/>
      <c r="E863" s="14"/>
      <c r="F863" s="14"/>
      <c r="G863" s="14"/>
      <c r="H863" s="14"/>
      <c r="I863" s="14"/>
      <c r="J863" s="41"/>
      <c r="P863" s="17"/>
      <c r="V863" s="50"/>
      <c r="AB863" s="18"/>
      <c r="AH863" s="54"/>
      <c r="AN863" s="41"/>
      <c r="AT863" s="60"/>
      <c r="AZ863" s="62"/>
      <c r="BF863" s="64"/>
      <c r="BL863" s="66"/>
    </row>
    <row r="864" spans="1:64" ht="15" thickBot="1" x14ac:dyDescent="0.4">
      <c r="A864" s="14"/>
      <c r="B864" s="14"/>
      <c r="C864" s="14"/>
      <c r="D864" s="14"/>
      <c r="E864" s="14"/>
      <c r="F864" s="14"/>
      <c r="G864" s="14"/>
      <c r="H864" s="14"/>
      <c r="I864" s="14"/>
      <c r="J864" s="41"/>
      <c r="P864" s="17"/>
      <c r="V864" s="50"/>
      <c r="AB864" s="18"/>
      <c r="AH864" s="54"/>
      <c r="AN864" s="41"/>
      <c r="AT864" s="60"/>
      <c r="AZ864" s="62"/>
      <c r="BF864" s="64"/>
      <c r="BL864" s="66"/>
    </row>
    <row r="865" spans="1:64" ht="15" thickBot="1" x14ac:dyDescent="0.4">
      <c r="A865" s="14"/>
      <c r="B865" s="14"/>
      <c r="C865" s="14"/>
      <c r="D865" s="14"/>
      <c r="E865" s="14"/>
      <c r="F865" s="14"/>
      <c r="G865" s="14"/>
      <c r="H865" s="14"/>
      <c r="I865" s="14"/>
      <c r="J865" s="41"/>
      <c r="P865" s="17"/>
      <c r="V865" s="50"/>
      <c r="AB865" s="18"/>
      <c r="AH865" s="54"/>
      <c r="AN865" s="41"/>
      <c r="AT865" s="60"/>
      <c r="AZ865" s="62"/>
      <c r="BF865" s="64"/>
      <c r="BL865" s="66"/>
    </row>
    <row r="866" spans="1:64" ht="15" thickBot="1" x14ac:dyDescent="0.4">
      <c r="A866" s="14"/>
      <c r="B866" s="14"/>
      <c r="C866" s="14"/>
      <c r="D866" s="14"/>
      <c r="E866" s="14"/>
      <c r="F866" s="14"/>
      <c r="G866" s="14"/>
      <c r="H866" s="14"/>
      <c r="I866" s="14"/>
      <c r="J866" s="41"/>
      <c r="P866" s="17"/>
      <c r="V866" s="50"/>
      <c r="AB866" s="18"/>
      <c r="AH866" s="54"/>
      <c r="AN866" s="41"/>
      <c r="AT866" s="60"/>
      <c r="AZ866" s="62"/>
      <c r="BF866" s="64"/>
      <c r="BL866" s="66"/>
    </row>
    <row r="867" spans="1:64" ht="15" thickBot="1" x14ac:dyDescent="0.4">
      <c r="A867" s="14"/>
      <c r="B867" s="14"/>
      <c r="C867" s="14"/>
      <c r="D867" s="14"/>
      <c r="E867" s="14"/>
      <c r="F867" s="14"/>
      <c r="G867" s="14"/>
      <c r="H867" s="14"/>
      <c r="I867" s="14"/>
      <c r="J867" s="41"/>
      <c r="P867" s="17"/>
      <c r="V867" s="50"/>
      <c r="AB867" s="18"/>
      <c r="AH867" s="54"/>
      <c r="AN867" s="41"/>
      <c r="AT867" s="60"/>
      <c r="AZ867" s="62"/>
      <c r="BF867" s="64"/>
      <c r="BL867" s="66"/>
    </row>
    <row r="868" spans="1:64" ht="15" thickBot="1" x14ac:dyDescent="0.4">
      <c r="A868" s="14"/>
      <c r="B868" s="14"/>
      <c r="C868" s="14"/>
      <c r="D868" s="14"/>
      <c r="E868" s="14"/>
      <c r="F868" s="14"/>
      <c r="G868" s="14"/>
      <c r="H868" s="14"/>
      <c r="I868" s="14"/>
      <c r="J868" s="41"/>
      <c r="P868" s="17"/>
      <c r="V868" s="50"/>
      <c r="AB868" s="18"/>
      <c r="AH868" s="54"/>
      <c r="AN868" s="41"/>
      <c r="AT868" s="60"/>
      <c r="AZ868" s="62"/>
      <c r="BF868" s="64"/>
      <c r="BL868" s="66"/>
    </row>
    <row r="869" spans="1:64" ht="15" thickBot="1" x14ac:dyDescent="0.4">
      <c r="A869" s="14"/>
      <c r="B869" s="14"/>
      <c r="C869" s="14"/>
      <c r="D869" s="14"/>
      <c r="E869" s="14"/>
      <c r="F869" s="14"/>
      <c r="G869" s="14"/>
      <c r="H869" s="14"/>
      <c r="I869" s="14"/>
      <c r="J869" s="41"/>
      <c r="P869" s="17"/>
      <c r="V869" s="50"/>
      <c r="AB869" s="18"/>
      <c r="AH869" s="54"/>
      <c r="AN869" s="41"/>
      <c r="AT869" s="60"/>
      <c r="AZ869" s="62"/>
      <c r="BF869" s="64"/>
      <c r="BL869" s="66"/>
    </row>
    <row r="870" spans="1:64" ht="15" thickBot="1" x14ac:dyDescent="0.4">
      <c r="A870" s="14"/>
      <c r="B870" s="14"/>
      <c r="C870" s="14"/>
      <c r="D870" s="14"/>
      <c r="E870" s="14"/>
      <c r="F870" s="14"/>
      <c r="G870" s="14"/>
      <c r="H870" s="14"/>
      <c r="I870" s="14"/>
      <c r="J870" s="41"/>
      <c r="P870" s="17"/>
      <c r="V870" s="50"/>
      <c r="AB870" s="18"/>
      <c r="AH870" s="54"/>
      <c r="AN870" s="41"/>
      <c r="AT870" s="60"/>
      <c r="AZ870" s="62"/>
      <c r="BF870" s="64"/>
      <c r="BL870" s="66"/>
    </row>
    <row r="871" spans="1:64" ht="15" thickBot="1" x14ac:dyDescent="0.4">
      <c r="A871" s="14"/>
      <c r="B871" s="14"/>
      <c r="C871" s="14"/>
      <c r="D871" s="14"/>
      <c r="E871" s="14"/>
      <c r="F871" s="14"/>
      <c r="G871" s="14"/>
      <c r="H871" s="14"/>
      <c r="I871" s="14"/>
      <c r="J871" s="41"/>
      <c r="P871" s="17"/>
      <c r="V871" s="50"/>
      <c r="AB871" s="18"/>
      <c r="AH871" s="54"/>
      <c r="AN871" s="41"/>
      <c r="AT871" s="60"/>
      <c r="AZ871" s="62"/>
      <c r="BF871" s="64"/>
      <c r="BL871" s="66"/>
    </row>
    <row r="872" spans="1:64" ht="15" thickBot="1" x14ac:dyDescent="0.4">
      <c r="A872" s="14"/>
      <c r="B872" s="14"/>
      <c r="C872" s="14"/>
      <c r="D872" s="14"/>
      <c r="E872" s="14"/>
      <c r="F872" s="14"/>
      <c r="G872" s="14"/>
      <c r="H872" s="14"/>
      <c r="I872" s="14"/>
      <c r="J872" s="41"/>
      <c r="P872" s="17"/>
      <c r="V872" s="50"/>
      <c r="AB872" s="18"/>
      <c r="AH872" s="54"/>
      <c r="AN872" s="41"/>
      <c r="AT872" s="60"/>
      <c r="AZ872" s="62"/>
      <c r="BF872" s="64"/>
      <c r="BL872" s="66"/>
    </row>
    <row r="873" spans="1:64" ht="15" thickBot="1" x14ac:dyDescent="0.4">
      <c r="A873" s="14"/>
      <c r="B873" s="14"/>
      <c r="C873" s="14"/>
      <c r="D873" s="14"/>
      <c r="E873" s="14"/>
      <c r="F873" s="14"/>
      <c r="G873" s="14"/>
      <c r="H873" s="14"/>
      <c r="I873" s="14"/>
      <c r="J873" s="41"/>
      <c r="P873" s="17"/>
      <c r="V873" s="50"/>
      <c r="AB873" s="18"/>
      <c r="AH873" s="54"/>
      <c r="AN873" s="41"/>
      <c r="AT873" s="60"/>
      <c r="AZ873" s="62"/>
      <c r="BF873" s="64"/>
      <c r="BL873" s="66"/>
    </row>
    <row r="874" spans="1:64" ht="15" thickBot="1" x14ac:dyDescent="0.4">
      <c r="A874" s="14"/>
      <c r="B874" s="14"/>
      <c r="C874" s="14"/>
      <c r="D874" s="14"/>
      <c r="E874" s="14"/>
      <c r="F874" s="14"/>
      <c r="G874" s="14"/>
      <c r="H874" s="14"/>
      <c r="I874" s="14"/>
      <c r="J874" s="41"/>
      <c r="P874" s="17"/>
      <c r="V874" s="50"/>
      <c r="AB874" s="18"/>
      <c r="AH874" s="54"/>
      <c r="AN874" s="41"/>
      <c r="AT874" s="60"/>
      <c r="AZ874" s="62"/>
      <c r="BF874" s="64"/>
      <c r="BL874" s="66"/>
    </row>
    <row r="875" spans="1:64" ht="15" thickBot="1" x14ac:dyDescent="0.4">
      <c r="A875" s="14"/>
      <c r="B875" s="14"/>
      <c r="C875" s="14"/>
      <c r="D875" s="14"/>
      <c r="E875" s="14"/>
      <c r="F875" s="14"/>
      <c r="G875" s="14"/>
      <c r="H875" s="14"/>
      <c r="I875" s="14"/>
      <c r="J875" s="41"/>
      <c r="P875" s="17"/>
      <c r="V875" s="50"/>
      <c r="AB875" s="18"/>
      <c r="AH875" s="54"/>
      <c r="AN875" s="41"/>
      <c r="AT875" s="60"/>
      <c r="AZ875" s="62"/>
      <c r="BF875" s="64"/>
      <c r="BL875" s="66"/>
    </row>
    <row r="876" spans="1:64" ht="15" thickBot="1" x14ac:dyDescent="0.4">
      <c r="A876" s="14"/>
      <c r="B876" s="14"/>
      <c r="C876" s="14"/>
      <c r="D876" s="14"/>
      <c r="E876" s="14"/>
      <c r="F876" s="14"/>
      <c r="G876" s="14"/>
      <c r="H876" s="14"/>
      <c r="I876" s="14"/>
      <c r="J876" s="41"/>
      <c r="P876" s="17"/>
      <c r="V876" s="50"/>
      <c r="AB876" s="18"/>
      <c r="AH876" s="54"/>
      <c r="AN876" s="41"/>
      <c r="AT876" s="60"/>
      <c r="AZ876" s="62"/>
      <c r="BF876" s="64"/>
      <c r="BL876" s="66"/>
    </row>
    <row r="877" spans="1:64" ht="15" thickBot="1" x14ac:dyDescent="0.4">
      <c r="A877" s="14"/>
      <c r="B877" s="14"/>
      <c r="C877" s="14"/>
      <c r="D877" s="14"/>
      <c r="E877" s="14"/>
      <c r="F877" s="14"/>
      <c r="G877" s="14"/>
      <c r="H877" s="14"/>
      <c r="I877" s="14"/>
      <c r="J877" s="41"/>
      <c r="P877" s="17"/>
      <c r="V877" s="50"/>
      <c r="AB877" s="18"/>
      <c r="AH877" s="54"/>
      <c r="AN877" s="41"/>
      <c r="AT877" s="60"/>
      <c r="AZ877" s="62"/>
      <c r="BF877" s="64"/>
      <c r="BL877" s="66"/>
    </row>
    <row r="878" spans="1:64" ht="15" thickBot="1" x14ac:dyDescent="0.4">
      <c r="A878" s="14"/>
      <c r="B878" s="14"/>
      <c r="C878" s="14"/>
      <c r="D878" s="14"/>
      <c r="E878" s="14"/>
      <c r="F878" s="14"/>
      <c r="G878" s="14"/>
      <c r="H878" s="14"/>
      <c r="I878" s="14"/>
      <c r="J878" s="41"/>
      <c r="P878" s="17"/>
      <c r="V878" s="50"/>
      <c r="AB878" s="18"/>
      <c r="AH878" s="54"/>
      <c r="AN878" s="41"/>
      <c r="AT878" s="60"/>
      <c r="AZ878" s="62"/>
      <c r="BF878" s="64"/>
      <c r="BL878" s="66"/>
    </row>
    <row r="879" spans="1:64" ht="15" thickBot="1" x14ac:dyDescent="0.4">
      <c r="A879" s="14"/>
      <c r="B879" s="14"/>
      <c r="C879" s="14"/>
      <c r="D879" s="14"/>
      <c r="E879" s="14"/>
      <c r="F879" s="14"/>
      <c r="G879" s="14"/>
      <c r="H879" s="14"/>
      <c r="I879" s="14"/>
      <c r="J879" s="41"/>
      <c r="P879" s="17"/>
      <c r="V879" s="50"/>
      <c r="AB879" s="18"/>
      <c r="AH879" s="54"/>
      <c r="AN879" s="41"/>
      <c r="AT879" s="60"/>
      <c r="AZ879" s="62"/>
      <c r="BF879" s="64"/>
      <c r="BL879" s="66"/>
    </row>
    <row r="880" spans="1:64" ht="15" thickBot="1" x14ac:dyDescent="0.4">
      <c r="A880" s="14"/>
      <c r="B880" s="14"/>
      <c r="C880" s="14"/>
      <c r="D880" s="14"/>
      <c r="E880" s="14"/>
      <c r="F880" s="14"/>
      <c r="G880" s="14"/>
      <c r="H880" s="14"/>
      <c r="I880" s="14"/>
      <c r="J880" s="41"/>
      <c r="P880" s="17"/>
      <c r="V880" s="50"/>
      <c r="AB880" s="18"/>
      <c r="AH880" s="54"/>
      <c r="AN880" s="41"/>
      <c r="AT880" s="60"/>
      <c r="AZ880" s="62"/>
      <c r="BF880" s="64"/>
      <c r="BL880" s="66"/>
    </row>
    <row r="881" spans="1:64" ht="15" thickBot="1" x14ac:dyDescent="0.4">
      <c r="A881" s="14"/>
      <c r="B881" s="14"/>
      <c r="C881" s="14"/>
      <c r="D881" s="14"/>
      <c r="E881" s="14"/>
      <c r="F881" s="14"/>
      <c r="G881" s="14"/>
      <c r="H881" s="14"/>
      <c r="I881" s="14"/>
      <c r="J881" s="41"/>
      <c r="P881" s="17"/>
      <c r="V881" s="50"/>
      <c r="AB881" s="18"/>
      <c r="AH881" s="54"/>
      <c r="AN881" s="41"/>
      <c r="AT881" s="60"/>
      <c r="AZ881" s="62"/>
      <c r="BF881" s="64"/>
      <c r="BL881" s="66"/>
    </row>
    <row r="882" spans="1:64" ht="15" thickBot="1" x14ac:dyDescent="0.4">
      <c r="A882" s="14"/>
      <c r="B882" s="14"/>
      <c r="C882" s="14"/>
      <c r="D882" s="14"/>
      <c r="E882" s="14"/>
      <c r="F882" s="14"/>
      <c r="G882" s="14"/>
      <c r="H882" s="14"/>
      <c r="I882" s="14"/>
      <c r="J882" s="41"/>
      <c r="P882" s="17"/>
      <c r="V882" s="50"/>
      <c r="AB882" s="18"/>
      <c r="AH882" s="54"/>
      <c r="AN882" s="41"/>
      <c r="AT882" s="60"/>
      <c r="AZ882" s="62"/>
      <c r="BF882" s="64"/>
      <c r="BL882" s="66"/>
    </row>
    <row r="883" spans="1:64" ht="15" thickBot="1" x14ac:dyDescent="0.4">
      <c r="A883" s="14"/>
      <c r="B883" s="14"/>
      <c r="C883" s="14"/>
      <c r="D883" s="14"/>
      <c r="E883" s="14"/>
      <c r="F883" s="14"/>
      <c r="G883" s="14"/>
      <c r="H883" s="14"/>
      <c r="I883" s="14"/>
      <c r="J883" s="41"/>
      <c r="P883" s="17"/>
      <c r="V883" s="50"/>
      <c r="AB883" s="18"/>
      <c r="AH883" s="54"/>
      <c r="AN883" s="41"/>
      <c r="AT883" s="60"/>
      <c r="AZ883" s="62"/>
      <c r="BF883" s="64"/>
      <c r="BL883" s="66"/>
    </row>
    <row r="884" spans="1:64" ht="15" thickBot="1" x14ac:dyDescent="0.4">
      <c r="A884" s="14"/>
      <c r="B884" s="14"/>
      <c r="C884" s="14"/>
      <c r="D884" s="14"/>
      <c r="E884" s="14"/>
      <c r="F884" s="14"/>
      <c r="G884" s="14"/>
      <c r="H884" s="14"/>
      <c r="I884" s="14"/>
      <c r="J884" s="41"/>
      <c r="P884" s="17"/>
      <c r="V884" s="50"/>
      <c r="AB884" s="18"/>
      <c r="AH884" s="54"/>
      <c r="AN884" s="41"/>
      <c r="AT884" s="60"/>
      <c r="AZ884" s="62"/>
      <c r="BF884" s="64"/>
      <c r="BL884" s="66"/>
    </row>
    <row r="885" spans="1:64" ht="15" thickBot="1" x14ac:dyDescent="0.4">
      <c r="A885" s="14"/>
      <c r="B885" s="14"/>
      <c r="C885" s="14"/>
      <c r="D885" s="14"/>
      <c r="E885" s="14"/>
      <c r="F885" s="14"/>
      <c r="G885" s="14"/>
      <c r="H885" s="14"/>
      <c r="I885" s="14"/>
      <c r="J885" s="41"/>
      <c r="P885" s="17"/>
      <c r="V885" s="50"/>
      <c r="AB885" s="18"/>
      <c r="AH885" s="54"/>
      <c r="AN885" s="41"/>
      <c r="AT885" s="60"/>
      <c r="AZ885" s="62"/>
      <c r="BF885" s="64"/>
      <c r="BL885" s="66"/>
    </row>
    <row r="886" spans="1:64" ht="15" thickBot="1" x14ac:dyDescent="0.4">
      <c r="A886" s="14"/>
      <c r="B886" s="14"/>
      <c r="C886" s="14"/>
      <c r="D886" s="14"/>
      <c r="E886" s="14"/>
      <c r="F886" s="14"/>
      <c r="G886" s="14"/>
      <c r="H886" s="14"/>
      <c r="I886" s="14"/>
      <c r="J886" s="41"/>
      <c r="P886" s="17"/>
      <c r="V886" s="50"/>
      <c r="AB886" s="18"/>
      <c r="AH886" s="54"/>
      <c r="AN886" s="41"/>
      <c r="AT886" s="60"/>
      <c r="AZ886" s="62"/>
      <c r="BF886" s="64"/>
      <c r="BL886" s="66"/>
    </row>
    <row r="887" spans="1:64" ht="15" thickBot="1" x14ac:dyDescent="0.4">
      <c r="A887" s="14"/>
      <c r="B887" s="14"/>
      <c r="C887" s="14"/>
      <c r="D887" s="14"/>
      <c r="E887" s="14"/>
      <c r="F887" s="14"/>
      <c r="G887" s="14"/>
      <c r="H887" s="14"/>
      <c r="I887" s="14"/>
      <c r="J887" s="41"/>
      <c r="P887" s="17"/>
      <c r="V887" s="50"/>
      <c r="AB887" s="18"/>
      <c r="AH887" s="54"/>
      <c r="AN887" s="41"/>
      <c r="AT887" s="60"/>
      <c r="AZ887" s="62"/>
      <c r="BF887" s="64"/>
      <c r="BL887" s="66"/>
    </row>
    <row r="888" spans="1:64" ht="15" thickBot="1" x14ac:dyDescent="0.4">
      <c r="A888" s="14"/>
      <c r="B888" s="14"/>
      <c r="C888" s="14"/>
      <c r="D888" s="14"/>
      <c r="E888" s="14"/>
      <c r="F888" s="14"/>
      <c r="G888" s="14"/>
      <c r="H888" s="14"/>
      <c r="I888" s="14"/>
      <c r="J888" s="41"/>
      <c r="P888" s="17"/>
      <c r="V888" s="50"/>
      <c r="AB888" s="18"/>
      <c r="AH888" s="54"/>
      <c r="AN888" s="41"/>
      <c r="AT888" s="60"/>
      <c r="AZ888" s="62"/>
      <c r="BF888" s="64"/>
      <c r="BL888" s="66"/>
    </row>
    <row r="889" spans="1:64" ht="15" thickBot="1" x14ac:dyDescent="0.4">
      <c r="A889" s="14"/>
      <c r="B889" s="14"/>
      <c r="C889" s="14"/>
      <c r="D889" s="14"/>
      <c r="E889" s="14"/>
      <c r="F889" s="14"/>
      <c r="G889" s="14"/>
      <c r="H889" s="14"/>
      <c r="I889" s="14"/>
      <c r="J889" s="41"/>
      <c r="P889" s="17"/>
      <c r="V889" s="50"/>
      <c r="AB889" s="18"/>
      <c r="AH889" s="54"/>
      <c r="AN889" s="41"/>
      <c r="AT889" s="60"/>
      <c r="AZ889" s="62"/>
      <c r="BF889" s="64"/>
      <c r="BL889" s="66"/>
    </row>
    <row r="890" spans="1:64" ht="15" thickBot="1" x14ac:dyDescent="0.4">
      <c r="A890" s="14"/>
      <c r="B890" s="14"/>
      <c r="C890" s="14"/>
      <c r="D890" s="14"/>
      <c r="E890" s="14"/>
      <c r="F890" s="14"/>
      <c r="G890" s="14"/>
      <c r="H890" s="14"/>
      <c r="I890" s="14"/>
      <c r="J890" s="41"/>
      <c r="P890" s="17"/>
      <c r="V890" s="50"/>
      <c r="AB890" s="18"/>
      <c r="AH890" s="54"/>
      <c r="AN890" s="41"/>
      <c r="AT890" s="60"/>
      <c r="AZ890" s="62"/>
      <c r="BF890" s="64"/>
      <c r="BL890" s="66"/>
    </row>
    <row r="891" spans="1:64" ht="15" thickBot="1" x14ac:dyDescent="0.4">
      <c r="A891" s="14"/>
      <c r="B891" s="14"/>
      <c r="C891" s="14"/>
      <c r="D891" s="14"/>
      <c r="E891" s="14"/>
      <c r="F891" s="14"/>
      <c r="G891" s="14"/>
      <c r="H891" s="14"/>
      <c r="I891" s="14"/>
      <c r="J891" s="41"/>
      <c r="P891" s="17"/>
      <c r="V891" s="50"/>
      <c r="AB891" s="18"/>
      <c r="AH891" s="54"/>
      <c r="AN891" s="41"/>
      <c r="AT891" s="60"/>
      <c r="AZ891" s="62"/>
      <c r="BF891" s="64"/>
      <c r="BL891" s="66"/>
    </row>
    <row r="892" spans="1:64" ht="15" thickBot="1" x14ac:dyDescent="0.4">
      <c r="A892" s="14"/>
      <c r="B892" s="14"/>
      <c r="C892" s="14"/>
      <c r="D892" s="14"/>
      <c r="E892" s="14"/>
      <c r="F892" s="14"/>
      <c r="G892" s="14"/>
      <c r="H892" s="14"/>
      <c r="I892" s="14"/>
      <c r="J892" s="41"/>
      <c r="P892" s="17"/>
      <c r="V892" s="50"/>
      <c r="AB892" s="18"/>
      <c r="AH892" s="54"/>
      <c r="AN892" s="41"/>
      <c r="AT892" s="60"/>
      <c r="AZ892" s="62"/>
      <c r="BF892" s="64"/>
      <c r="BL892" s="66"/>
    </row>
    <row r="893" spans="1:64" ht="15" thickBot="1" x14ac:dyDescent="0.4">
      <c r="A893" s="14"/>
      <c r="B893" s="14"/>
      <c r="C893" s="14"/>
      <c r="D893" s="14"/>
      <c r="E893" s="14"/>
      <c r="F893" s="14"/>
      <c r="G893" s="14"/>
      <c r="H893" s="14"/>
      <c r="I893" s="14"/>
      <c r="J893" s="41"/>
      <c r="P893" s="17"/>
      <c r="V893" s="50"/>
      <c r="AB893" s="18"/>
      <c r="AH893" s="54"/>
      <c r="AN893" s="41"/>
      <c r="AT893" s="60"/>
      <c r="AZ893" s="62"/>
      <c r="BF893" s="64"/>
      <c r="BL893" s="66"/>
    </row>
    <row r="894" spans="1:64" ht="15" thickBot="1" x14ac:dyDescent="0.4">
      <c r="A894" s="14"/>
      <c r="B894" s="14"/>
      <c r="C894" s="14"/>
      <c r="D894" s="14"/>
      <c r="E894" s="14"/>
      <c r="F894" s="14"/>
      <c r="G894" s="14"/>
      <c r="H894" s="14"/>
      <c r="I894" s="14"/>
      <c r="J894" s="41"/>
      <c r="P894" s="17"/>
      <c r="V894" s="50"/>
      <c r="AB894" s="18"/>
      <c r="AH894" s="54"/>
      <c r="AN894" s="41"/>
      <c r="AT894" s="60"/>
      <c r="AZ894" s="62"/>
      <c r="BF894" s="64"/>
      <c r="BL894" s="66"/>
    </row>
    <row r="895" spans="1:64" ht="15" thickBot="1" x14ac:dyDescent="0.4">
      <c r="A895" s="14"/>
      <c r="B895" s="14"/>
      <c r="C895" s="14"/>
      <c r="D895" s="14"/>
      <c r="E895" s="14"/>
      <c r="F895" s="14"/>
      <c r="G895" s="14"/>
      <c r="H895" s="14"/>
      <c r="I895" s="14"/>
      <c r="J895" s="41"/>
      <c r="P895" s="17"/>
      <c r="V895" s="50"/>
      <c r="AB895" s="18"/>
      <c r="AH895" s="54"/>
      <c r="AN895" s="41"/>
      <c r="AT895" s="60"/>
      <c r="AZ895" s="62"/>
      <c r="BF895" s="64"/>
      <c r="BL895" s="66"/>
    </row>
    <row r="896" spans="1:64" ht="15" thickBot="1" x14ac:dyDescent="0.4">
      <c r="A896" s="14"/>
      <c r="B896" s="14"/>
      <c r="C896" s="14"/>
      <c r="D896" s="14"/>
      <c r="E896" s="14"/>
      <c r="F896" s="14"/>
      <c r="G896" s="14"/>
      <c r="H896" s="14"/>
      <c r="I896" s="14"/>
      <c r="J896" s="41"/>
      <c r="P896" s="17"/>
      <c r="V896" s="50"/>
      <c r="AB896" s="18"/>
      <c r="AH896" s="54"/>
      <c r="AN896" s="41"/>
      <c r="AT896" s="60"/>
      <c r="AZ896" s="62"/>
      <c r="BF896" s="64"/>
      <c r="BL896" s="66"/>
    </row>
    <row r="897" spans="1:64" ht="15" thickBot="1" x14ac:dyDescent="0.4">
      <c r="A897" s="14"/>
      <c r="B897" s="14"/>
      <c r="C897" s="14"/>
      <c r="D897" s="14"/>
      <c r="E897" s="14"/>
      <c r="F897" s="14"/>
      <c r="G897" s="14"/>
      <c r="H897" s="14"/>
      <c r="I897" s="14"/>
      <c r="J897" s="41"/>
      <c r="P897" s="17"/>
      <c r="V897" s="50"/>
      <c r="AB897" s="18"/>
      <c r="AH897" s="54"/>
      <c r="AN897" s="41"/>
      <c r="AT897" s="60"/>
      <c r="AZ897" s="62"/>
      <c r="BF897" s="64"/>
      <c r="BL897" s="66"/>
    </row>
    <row r="898" spans="1:64" ht="15" thickBot="1" x14ac:dyDescent="0.4">
      <c r="A898" s="14"/>
      <c r="B898" s="14"/>
      <c r="C898" s="14"/>
      <c r="D898" s="14"/>
      <c r="E898" s="14"/>
      <c r="F898" s="14"/>
      <c r="G898" s="14"/>
      <c r="H898" s="14"/>
      <c r="I898" s="14"/>
      <c r="J898" s="41"/>
      <c r="P898" s="17"/>
      <c r="V898" s="50"/>
      <c r="AB898" s="18"/>
      <c r="AH898" s="54"/>
      <c r="AN898" s="41"/>
      <c r="AT898" s="60"/>
      <c r="AZ898" s="62"/>
      <c r="BF898" s="64"/>
      <c r="BL898" s="66"/>
    </row>
    <row r="899" spans="1:64" ht="15" thickBot="1" x14ac:dyDescent="0.4">
      <c r="A899" s="14"/>
      <c r="B899" s="14"/>
      <c r="C899" s="14"/>
      <c r="D899" s="14"/>
      <c r="E899" s="14"/>
      <c r="F899" s="14"/>
      <c r="G899" s="14"/>
      <c r="H899" s="14"/>
      <c r="I899" s="14"/>
      <c r="J899" s="41"/>
      <c r="P899" s="17"/>
      <c r="V899" s="50"/>
      <c r="AB899" s="18"/>
      <c r="AH899" s="54"/>
      <c r="AN899" s="41"/>
      <c r="AT899" s="60"/>
      <c r="AZ899" s="62"/>
      <c r="BF899" s="64"/>
      <c r="BL899" s="66"/>
    </row>
    <row r="900" spans="1:64" ht="15" thickBot="1" x14ac:dyDescent="0.4">
      <c r="A900" s="14"/>
      <c r="B900" s="14"/>
      <c r="C900" s="14"/>
      <c r="D900" s="14"/>
      <c r="E900" s="14"/>
      <c r="F900" s="14"/>
      <c r="G900" s="14"/>
      <c r="H900" s="14"/>
      <c r="I900" s="14"/>
      <c r="J900" s="41"/>
      <c r="P900" s="17"/>
      <c r="V900" s="50"/>
      <c r="AB900" s="18"/>
      <c r="AH900" s="54"/>
      <c r="AN900" s="41"/>
      <c r="AT900" s="60"/>
      <c r="AZ900" s="62"/>
      <c r="BF900" s="64"/>
      <c r="BL900" s="66"/>
    </row>
    <row r="901" spans="1:64" ht="15" thickBot="1" x14ac:dyDescent="0.4">
      <c r="A901" s="14"/>
      <c r="B901" s="14"/>
      <c r="C901" s="14"/>
      <c r="D901" s="14"/>
      <c r="E901" s="14"/>
      <c r="F901" s="14"/>
      <c r="G901" s="14"/>
      <c r="H901" s="14"/>
      <c r="I901" s="14"/>
      <c r="J901" s="41"/>
      <c r="P901" s="17"/>
      <c r="V901" s="50"/>
      <c r="AB901" s="18"/>
      <c r="AH901" s="54"/>
      <c r="AN901" s="41"/>
      <c r="AT901" s="60"/>
      <c r="AZ901" s="62"/>
      <c r="BF901" s="64"/>
      <c r="BL901" s="66"/>
    </row>
    <row r="902" spans="1:64" ht="15" thickBot="1" x14ac:dyDescent="0.4">
      <c r="A902" s="14"/>
      <c r="B902" s="14"/>
      <c r="C902" s="14"/>
      <c r="D902" s="14"/>
      <c r="E902" s="14"/>
      <c r="F902" s="14"/>
      <c r="G902" s="14"/>
      <c r="H902" s="14"/>
      <c r="I902" s="14"/>
      <c r="J902" s="41"/>
      <c r="P902" s="17"/>
      <c r="V902" s="50"/>
      <c r="AB902" s="18"/>
      <c r="AH902" s="54"/>
      <c r="AN902" s="41"/>
      <c r="AT902" s="60"/>
      <c r="AZ902" s="62"/>
      <c r="BF902" s="64"/>
      <c r="BL902" s="66"/>
    </row>
    <row r="903" spans="1:64" ht="15" thickBot="1" x14ac:dyDescent="0.4">
      <c r="A903" s="14"/>
      <c r="B903" s="14"/>
      <c r="C903" s="14"/>
      <c r="D903" s="14"/>
      <c r="E903" s="14"/>
      <c r="F903" s="14"/>
      <c r="G903" s="14"/>
      <c r="H903" s="14"/>
      <c r="I903" s="14"/>
      <c r="J903" s="41"/>
      <c r="P903" s="17"/>
      <c r="V903" s="50"/>
      <c r="AB903" s="18"/>
      <c r="AH903" s="54"/>
      <c r="AN903" s="41"/>
      <c r="AT903" s="60"/>
      <c r="AZ903" s="62"/>
      <c r="BF903" s="64"/>
      <c r="BL903" s="66"/>
    </row>
    <row r="904" spans="1:64" ht="15" thickBot="1" x14ac:dyDescent="0.4">
      <c r="A904" s="14"/>
      <c r="B904" s="14"/>
      <c r="C904" s="14"/>
      <c r="D904" s="14"/>
      <c r="E904" s="14"/>
      <c r="F904" s="14"/>
      <c r="G904" s="14"/>
      <c r="H904" s="14"/>
      <c r="I904" s="14"/>
      <c r="J904" s="41"/>
      <c r="P904" s="17"/>
      <c r="V904" s="50"/>
      <c r="AB904" s="18"/>
      <c r="AH904" s="54"/>
      <c r="AN904" s="41"/>
      <c r="AT904" s="60"/>
      <c r="AZ904" s="62"/>
      <c r="BF904" s="64"/>
      <c r="BL904" s="66"/>
    </row>
    <row r="905" spans="1:64" ht="15" thickBot="1" x14ac:dyDescent="0.4">
      <c r="A905" s="14"/>
      <c r="B905" s="14"/>
      <c r="C905" s="14"/>
      <c r="D905" s="14"/>
      <c r="E905" s="14"/>
      <c r="F905" s="14"/>
      <c r="G905" s="14"/>
      <c r="H905" s="14"/>
      <c r="I905" s="14"/>
      <c r="J905" s="41"/>
      <c r="P905" s="17"/>
      <c r="V905" s="50"/>
      <c r="AB905" s="18"/>
      <c r="AH905" s="54"/>
      <c r="AN905" s="41"/>
      <c r="AT905" s="60"/>
      <c r="AZ905" s="62"/>
      <c r="BF905" s="64"/>
      <c r="BL905" s="66"/>
    </row>
    <row r="906" spans="1:64" ht="15" thickBot="1" x14ac:dyDescent="0.4">
      <c r="A906" s="14"/>
      <c r="B906" s="14"/>
      <c r="C906" s="14"/>
      <c r="D906" s="14"/>
      <c r="E906" s="14"/>
      <c r="F906" s="14"/>
      <c r="G906" s="14"/>
      <c r="H906" s="14"/>
      <c r="I906" s="14"/>
      <c r="J906" s="41"/>
      <c r="P906" s="17"/>
      <c r="V906" s="50"/>
      <c r="AB906" s="18"/>
      <c r="AH906" s="54"/>
      <c r="AN906" s="41"/>
      <c r="AT906" s="60"/>
      <c r="AZ906" s="62"/>
      <c r="BF906" s="64"/>
      <c r="BL906" s="66"/>
    </row>
    <row r="907" spans="1:64" ht="15" thickBot="1" x14ac:dyDescent="0.4">
      <c r="A907" s="14"/>
      <c r="B907" s="14"/>
      <c r="C907" s="14"/>
      <c r="D907" s="14"/>
      <c r="E907" s="14"/>
      <c r="F907" s="14"/>
      <c r="G907" s="14"/>
      <c r="H907" s="14"/>
      <c r="I907" s="14"/>
      <c r="J907" s="41"/>
      <c r="P907" s="17"/>
      <c r="V907" s="50"/>
      <c r="AB907" s="18"/>
      <c r="AH907" s="54"/>
      <c r="AN907" s="41"/>
      <c r="AT907" s="60"/>
      <c r="AZ907" s="62"/>
      <c r="BF907" s="64"/>
      <c r="BL907" s="66"/>
    </row>
    <row r="908" spans="1:64" ht="15" thickBot="1" x14ac:dyDescent="0.4">
      <c r="A908" s="14"/>
      <c r="B908" s="14"/>
      <c r="C908" s="14"/>
      <c r="D908" s="14"/>
      <c r="E908" s="14"/>
      <c r="F908" s="14"/>
      <c r="G908" s="14"/>
      <c r="H908" s="14"/>
      <c r="I908" s="14"/>
      <c r="J908" s="41"/>
      <c r="P908" s="17"/>
      <c r="V908" s="50"/>
      <c r="AB908" s="18"/>
      <c r="AH908" s="54"/>
      <c r="AN908" s="41"/>
      <c r="AT908" s="60"/>
      <c r="AZ908" s="62"/>
      <c r="BF908" s="64"/>
      <c r="BL908" s="66"/>
    </row>
    <row r="909" spans="1:64" ht="15" thickBot="1" x14ac:dyDescent="0.4">
      <c r="A909" s="14"/>
      <c r="B909" s="14"/>
      <c r="C909" s="14"/>
      <c r="D909" s="14"/>
      <c r="E909" s="14"/>
      <c r="F909" s="14"/>
      <c r="G909" s="14"/>
      <c r="H909" s="14"/>
      <c r="I909" s="14"/>
      <c r="J909" s="41"/>
      <c r="P909" s="17"/>
      <c r="V909" s="50"/>
      <c r="AB909" s="18"/>
      <c r="AH909" s="54"/>
      <c r="AN909" s="41"/>
      <c r="AT909" s="60"/>
      <c r="AZ909" s="62"/>
      <c r="BF909" s="64"/>
      <c r="BL909" s="66"/>
    </row>
    <row r="910" spans="1:64" ht="15" thickBot="1" x14ac:dyDescent="0.4">
      <c r="A910" s="14"/>
      <c r="B910" s="14"/>
      <c r="C910" s="14"/>
      <c r="D910" s="14"/>
      <c r="E910" s="14"/>
      <c r="F910" s="14"/>
      <c r="G910" s="14"/>
      <c r="H910" s="14"/>
      <c r="I910" s="14"/>
      <c r="J910" s="41"/>
      <c r="P910" s="17"/>
      <c r="V910" s="50"/>
      <c r="AB910" s="18"/>
      <c r="AH910" s="54"/>
      <c r="AN910" s="41"/>
      <c r="AT910" s="60"/>
      <c r="AZ910" s="62"/>
      <c r="BF910" s="64"/>
      <c r="BL910" s="66"/>
    </row>
    <row r="911" spans="1:64" ht="15" thickBot="1" x14ac:dyDescent="0.4">
      <c r="A911" s="14"/>
      <c r="B911" s="14"/>
      <c r="C911" s="14"/>
      <c r="D911" s="14"/>
      <c r="E911" s="14"/>
      <c r="F911" s="14"/>
      <c r="G911" s="14"/>
      <c r="H911" s="14"/>
      <c r="I911" s="14"/>
      <c r="J911" s="41"/>
      <c r="P911" s="17"/>
      <c r="V911" s="50"/>
      <c r="AB911" s="18"/>
      <c r="AH911" s="54"/>
      <c r="AN911" s="41"/>
      <c r="AT911" s="60"/>
      <c r="AZ911" s="62"/>
      <c r="BF911" s="64"/>
      <c r="BL911" s="66"/>
    </row>
    <row r="912" spans="1:64" ht="15" thickBot="1" x14ac:dyDescent="0.4">
      <c r="A912" s="14"/>
      <c r="B912" s="14"/>
      <c r="C912" s="14"/>
      <c r="D912" s="14"/>
      <c r="E912" s="14"/>
      <c r="F912" s="14"/>
      <c r="G912" s="14"/>
      <c r="H912" s="14"/>
      <c r="I912" s="14"/>
      <c r="J912" s="41"/>
      <c r="P912" s="17"/>
      <c r="V912" s="50"/>
      <c r="AB912" s="18"/>
      <c r="AH912" s="54"/>
      <c r="AN912" s="41"/>
      <c r="AT912" s="60"/>
      <c r="AZ912" s="62"/>
      <c r="BF912" s="64"/>
      <c r="BL912" s="66"/>
    </row>
    <row r="913" spans="1:64" ht="15" thickBot="1" x14ac:dyDescent="0.4">
      <c r="A913" s="14"/>
      <c r="B913" s="14"/>
      <c r="C913" s="14"/>
      <c r="D913" s="14"/>
      <c r="E913" s="14"/>
      <c r="F913" s="14"/>
      <c r="G913" s="14"/>
      <c r="H913" s="14"/>
      <c r="I913" s="14"/>
      <c r="J913" s="41"/>
      <c r="P913" s="17"/>
      <c r="V913" s="50"/>
      <c r="AB913" s="18"/>
      <c r="AH913" s="54"/>
      <c r="AN913" s="41"/>
      <c r="AT913" s="60"/>
      <c r="AZ913" s="62"/>
      <c r="BF913" s="64"/>
      <c r="BL913" s="66"/>
    </row>
    <row r="914" spans="1:64" ht="15" thickBot="1" x14ac:dyDescent="0.4">
      <c r="A914" s="14"/>
      <c r="B914" s="14"/>
      <c r="C914" s="14"/>
      <c r="D914" s="14"/>
      <c r="E914" s="14"/>
      <c r="F914" s="14"/>
      <c r="G914" s="14"/>
      <c r="H914" s="14"/>
      <c r="I914" s="14"/>
      <c r="J914" s="41"/>
      <c r="P914" s="17"/>
      <c r="V914" s="50"/>
      <c r="AB914" s="18"/>
      <c r="AH914" s="54"/>
      <c r="AN914" s="41"/>
      <c r="AT914" s="60"/>
      <c r="AZ914" s="62"/>
      <c r="BF914" s="64"/>
      <c r="BL914" s="66"/>
    </row>
    <row r="915" spans="1:64" ht="15" thickBot="1" x14ac:dyDescent="0.4">
      <c r="A915" s="14"/>
      <c r="B915" s="14"/>
      <c r="C915" s="14"/>
      <c r="D915" s="14"/>
      <c r="E915" s="14"/>
      <c r="F915" s="14"/>
      <c r="G915" s="14"/>
      <c r="H915" s="14"/>
      <c r="I915" s="14"/>
      <c r="J915" s="41"/>
      <c r="P915" s="17"/>
      <c r="V915" s="50"/>
      <c r="AB915" s="18"/>
      <c r="AH915" s="54"/>
      <c r="AN915" s="41"/>
      <c r="AT915" s="60"/>
      <c r="AZ915" s="62"/>
      <c r="BF915" s="64"/>
      <c r="BL915" s="66"/>
    </row>
    <row r="916" spans="1:64" ht="15" thickBot="1" x14ac:dyDescent="0.4">
      <c r="A916" s="14"/>
      <c r="B916" s="14"/>
      <c r="C916" s="14"/>
      <c r="D916" s="14"/>
      <c r="E916" s="14"/>
      <c r="F916" s="14"/>
      <c r="G916" s="14"/>
      <c r="H916" s="14"/>
      <c r="I916" s="14"/>
      <c r="J916" s="41"/>
      <c r="P916" s="17"/>
      <c r="V916" s="50"/>
      <c r="AB916" s="18"/>
      <c r="AH916" s="54"/>
      <c r="AN916" s="41"/>
      <c r="AT916" s="60"/>
      <c r="AZ916" s="62"/>
      <c r="BF916" s="64"/>
      <c r="BL916" s="66"/>
    </row>
    <row r="917" spans="1:64" ht="15" thickBot="1" x14ac:dyDescent="0.4">
      <c r="A917" s="14"/>
      <c r="B917" s="14"/>
      <c r="C917" s="14"/>
      <c r="D917" s="14"/>
      <c r="E917" s="14"/>
      <c r="F917" s="14"/>
      <c r="G917" s="14"/>
      <c r="H917" s="14"/>
      <c r="I917" s="14"/>
      <c r="J917" s="41"/>
      <c r="P917" s="17"/>
      <c r="V917" s="50"/>
      <c r="AB917" s="18"/>
      <c r="AH917" s="54"/>
      <c r="AN917" s="41"/>
      <c r="AT917" s="60"/>
      <c r="AZ917" s="62"/>
      <c r="BF917" s="64"/>
      <c r="BL917" s="66"/>
    </row>
    <row r="918" spans="1:64" ht="15" thickBot="1" x14ac:dyDescent="0.4">
      <c r="A918" s="14"/>
      <c r="B918" s="14"/>
      <c r="C918" s="14"/>
      <c r="D918" s="14"/>
      <c r="E918" s="14"/>
      <c r="F918" s="14"/>
      <c r="G918" s="14"/>
      <c r="H918" s="14"/>
      <c r="I918" s="14"/>
      <c r="J918" s="41"/>
      <c r="P918" s="17"/>
      <c r="V918" s="50"/>
      <c r="AB918" s="18"/>
      <c r="AH918" s="54"/>
      <c r="AN918" s="41"/>
      <c r="AT918" s="60"/>
      <c r="AZ918" s="62"/>
      <c r="BF918" s="64"/>
      <c r="BL918" s="66"/>
    </row>
    <row r="919" spans="1:64" ht="15" thickBot="1" x14ac:dyDescent="0.4">
      <c r="A919" s="14"/>
      <c r="B919" s="14"/>
      <c r="C919" s="14"/>
      <c r="D919" s="14"/>
      <c r="E919" s="14"/>
      <c r="F919" s="14"/>
      <c r="G919" s="14"/>
      <c r="H919" s="14"/>
      <c r="I919" s="14"/>
      <c r="J919" s="41"/>
      <c r="P919" s="17"/>
      <c r="V919" s="50"/>
      <c r="AB919" s="18"/>
      <c r="AH919" s="54"/>
      <c r="AN919" s="41"/>
      <c r="AT919" s="60"/>
      <c r="AZ919" s="62"/>
      <c r="BF919" s="64"/>
      <c r="BL919" s="66"/>
    </row>
    <row r="920" spans="1:64" ht="15" thickBot="1" x14ac:dyDescent="0.4">
      <c r="A920" s="14"/>
      <c r="B920" s="14"/>
      <c r="C920" s="14"/>
      <c r="D920" s="14"/>
      <c r="E920" s="14"/>
      <c r="F920" s="14"/>
      <c r="G920" s="14"/>
      <c r="H920" s="14"/>
      <c r="I920" s="14"/>
      <c r="J920" s="41"/>
      <c r="P920" s="17"/>
      <c r="V920" s="50"/>
      <c r="AB920" s="18"/>
      <c r="AH920" s="54"/>
      <c r="AN920" s="41"/>
      <c r="AT920" s="60"/>
      <c r="AZ920" s="62"/>
      <c r="BF920" s="64"/>
      <c r="BL920" s="66"/>
    </row>
    <row r="921" spans="1:64" ht="15" thickBot="1" x14ac:dyDescent="0.4">
      <c r="A921" s="14"/>
      <c r="B921" s="14"/>
      <c r="C921" s="14"/>
      <c r="D921" s="14"/>
      <c r="E921" s="14"/>
      <c r="F921" s="14"/>
      <c r="G921" s="14"/>
      <c r="H921" s="14"/>
      <c r="I921" s="14"/>
      <c r="J921" s="41"/>
      <c r="P921" s="17"/>
      <c r="V921" s="50"/>
      <c r="AB921" s="18"/>
      <c r="AH921" s="54"/>
      <c r="AN921" s="41"/>
      <c r="AT921" s="60"/>
      <c r="AZ921" s="62"/>
      <c r="BF921" s="64"/>
      <c r="BL921" s="66"/>
    </row>
    <row r="922" spans="1:64" ht="15" thickBot="1" x14ac:dyDescent="0.4">
      <c r="A922" s="14"/>
      <c r="B922" s="14"/>
      <c r="C922" s="14"/>
      <c r="D922" s="14"/>
      <c r="E922" s="14"/>
      <c r="F922" s="14"/>
      <c r="G922" s="14"/>
      <c r="H922" s="14"/>
      <c r="I922" s="14"/>
      <c r="J922" s="41"/>
      <c r="P922" s="17"/>
      <c r="V922" s="50"/>
      <c r="AB922" s="18"/>
      <c r="AH922" s="54"/>
      <c r="AN922" s="41"/>
      <c r="AT922" s="60"/>
      <c r="AZ922" s="62"/>
      <c r="BF922" s="64"/>
      <c r="BL922" s="66"/>
    </row>
    <row r="923" spans="1:64" ht="15" thickBot="1" x14ac:dyDescent="0.4">
      <c r="A923" s="14"/>
      <c r="B923" s="14"/>
      <c r="C923" s="14"/>
      <c r="D923" s="14"/>
      <c r="E923" s="14"/>
      <c r="F923" s="14"/>
      <c r="G923" s="14"/>
      <c r="H923" s="14"/>
      <c r="I923" s="14"/>
      <c r="J923" s="41"/>
      <c r="P923" s="17"/>
      <c r="V923" s="50"/>
      <c r="AB923" s="18"/>
      <c r="AH923" s="54"/>
      <c r="AN923" s="41"/>
      <c r="AT923" s="60"/>
      <c r="AZ923" s="62"/>
      <c r="BF923" s="64"/>
      <c r="BL923" s="66"/>
    </row>
    <row r="924" spans="1:64" ht="15" thickBot="1" x14ac:dyDescent="0.4">
      <c r="A924" s="14"/>
      <c r="B924" s="14"/>
      <c r="C924" s="14"/>
      <c r="D924" s="14"/>
      <c r="E924" s="14"/>
      <c r="F924" s="14"/>
      <c r="G924" s="14"/>
      <c r="H924" s="14"/>
      <c r="I924" s="14"/>
      <c r="J924" s="41"/>
      <c r="P924" s="17"/>
      <c r="V924" s="50"/>
      <c r="AB924" s="18"/>
      <c r="AH924" s="54"/>
      <c r="AN924" s="41"/>
      <c r="AT924" s="60"/>
      <c r="AZ924" s="62"/>
      <c r="BF924" s="64"/>
      <c r="BL924" s="66"/>
    </row>
    <row r="925" spans="1:64" ht="15" thickBot="1" x14ac:dyDescent="0.4">
      <c r="A925" s="14"/>
      <c r="B925" s="14"/>
      <c r="C925" s="14"/>
      <c r="D925" s="14"/>
      <c r="E925" s="14"/>
      <c r="F925" s="14"/>
      <c r="G925" s="14"/>
      <c r="H925" s="14"/>
      <c r="I925" s="14"/>
      <c r="J925" s="41"/>
      <c r="P925" s="17"/>
      <c r="V925" s="50"/>
      <c r="AB925" s="18"/>
      <c r="AH925" s="54"/>
      <c r="AN925" s="41"/>
      <c r="AT925" s="60"/>
      <c r="AZ925" s="62"/>
      <c r="BF925" s="64"/>
      <c r="BL925" s="66"/>
    </row>
    <row r="926" spans="1:64" ht="15" thickBot="1" x14ac:dyDescent="0.4">
      <c r="A926" s="14"/>
      <c r="B926" s="14"/>
      <c r="C926" s="14"/>
      <c r="D926" s="14"/>
      <c r="E926" s="14"/>
      <c r="F926" s="14"/>
      <c r="G926" s="14"/>
      <c r="H926" s="14"/>
      <c r="I926" s="14"/>
      <c r="J926" s="41"/>
      <c r="P926" s="17"/>
      <c r="V926" s="50"/>
      <c r="AB926" s="18"/>
      <c r="AH926" s="54"/>
      <c r="AN926" s="41"/>
      <c r="AT926" s="60"/>
      <c r="AZ926" s="62"/>
      <c r="BF926" s="64"/>
      <c r="BL926" s="66"/>
    </row>
    <row r="927" spans="1:64" ht="15" thickBot="1" x14ac:dyDescent="0.4">
      <c r="A927" s="14"/>
      <c r="B927" s="14"/>
      <c r="C927" s="14"/>
      <c r="D927" s="14"/>
      <c r="E927" s="14"/>
      <c r="F927" s="14"/>
      <c r="G927" s="14"/>
      <c r="H927" s="14"/>
      <c r="I927" s="14"/>
      <c r="J927" s="41"/>
      <c r="P927" s="17"/>
      <c r="V927" s="50"/>
      <c r="AB927" s="18"/>
      <c r="AH927" s="54"/>
      <c r="AN927" s="41"/>
      <c r="AT927" s="60"/>
      <c r="AZ927" s="62"/>
      <c r="BF927" s="64"/>
      <c r="BL927" s="66"/>
    </row>
    <row r="928" spans="1:64" ht="15" thickBot="1" x14ac:dyDescent="0.4">
      <c r="A928" s="14"/>
      <c r="B928" s="14"/>
      <c r="C928" s="14"/>
      <c r="D928" s="14"/>
      <c r="E928" s="14"/>
      <c r="F928" s="14"/>
      <c r="G928" s="14"/>
      <c r="H928" s="14"/>
      <c r="I928" s="14"/>
      <c r="J928" s="41"/>
      <c r="P928" s="17"/>
      <c r="V928" s="50"/>
      <c r="AB928" s="18"/>
      <c r="AH928" s="54"/>
      <c r="AN928" s="41"/>
      <c r="AT928" s="60"/>
      <c r="AZ928" s="62"/>
      <c r="BF928" s="64"/>
      <c r="BL928" s="66"/>
    </row>
    <row r="929" spans="1:64" ht="15" thickBot="1" x14ac:dyDescent="0.4">
      <c r="A929" s="14"/>
      <c r="B929" s="14"/>
      <c r="C929" s="14"/>
      <c r="D929" s="14"/>
      <c r="E929" s="14"/>
      <c r="F929" s="14"/>
      <c r="G929" s="14"/>
      <c r="H929" s="14"/>
      <c r="I929" s="14"/>
      <c r="J929" s="41"/>
      <c r="P929" s="17"/>
      <c r="V929" s="50"/>
      <c r="AB929" s="18"/>
      <c r="AH929" s="54"/>
      <c r="AN929" s="41"/>
      <c r="AT929" s="60"/>
      <c r="AZ929" s="62"/>
      <c r="BF929" s="64"/>
      <c r="BL929" s="66"/>
    </row>
    <row r="930" spans="1:64" ht="15" thickBot="1" x14ac:dyDescent="0.4">
      <c r="A930" s="14"/>
      <c r="B930" s="14"/>
      <c r="C930" s="14"/>
      <c r="D930" s="14"/>
      <c r="E930" s="14"/>
      <c r="F930" s="14"/>
      <c r="G930" s="14"/>
      <c r="H930" s="14"/>
      <c r="I930" s="14"/>
      <c r="J930" s="41"/>
      <c r="P930" s="17"/>
      <c r="V930" s="50"/>
      <c r="AB930" s="18"/>
      <c r="AH930" s="54"/>
      <c r="AN930" s="41"/>
      <c r="AT930" s="60"/>
      <c r="AZ930" s="62"/>
      <c r="BF930" s="64"/>
      <c r="BL930" s="66"/>
    </row>
    <row r="931" spans="1:64" ht="15" thickBot="1" x14ac:dyDescent="0.4">
      <c r="A931" s="14"/>
      <c r="B931" s="14"/>
      <c r="C931" s="14"/>
      <c r="D931" s="14"/>
      <c r="E931" s="14"/>
      <c r="F931" s="14"/>
      <c r="G931" s="14"/>
      <c r="H931" s="14"/>
      <c r="I931" s="14"/>
      <c r="J931" s="41"/>
      <c r="P931" s="17"/>
      <c r="V931" s="50"/>
      <c r="AB931" s="18"/>
      <c r="AH931" s="54"/>
      <c r="AN931" s="41"/>
      <c r="AT931" s="60"/>
      <c r="AZ931" s="62"/>
      <c r="BF931" s="64"/>
      <c r="BL931" s="66"/>
    </row>
    <row r="932" spans="1:64" ht="15" thickBot="1" x14ac:dyDescent="0.4">
      <c r="A932" s="14"/>
      <c r="B932" s="14"/>
      <c r="C932" s="14"/>
      <c r="D932" s="14"/>
      <c r="E932" s="14"/>
      <c r="F932" s="14"/>
      <c r="G932" s="14"/>
      <c r="H932" s="14"/>
      <c r="I932" s="14"/>
      <c r="J932" s="41"/>
      <c r="P932" s="17"/>
      <c r="V932" s="50"/>
      <c r="AB932" s="18"/>
      <c r="AH932" s="54"/>
      <c r="AN932" s="41"/>
      <c r="AT932" s="60"/>
      <c r="AZ932" s="62"/>
      <c r="BF932" s="64"/>
      <c r="BL932" s="66"/>
    </row>
    <row r="933" spans="1:64" ht="15" thickBot="1" x14ac:dyDescent="0.4">
      <c r="A933" s="14"/>
      <c r="B933" s="14"/>
      <c r="C933" s="14"/>
      <c r="D933" s="14"/>
      <c r="E933" s="14"/>
      <c r="F933" s="14"/>
      <c r="G933" s="14"/>
      <c r="H933" s="14"/>
      <c r="I933" s="14"/>
      <c r="J933" s="41"/>
      <c r="P933" s="17"/>
      <c r="V933" s="50"/>
      <c r="AB933" s="18"/>
      <c r="AH933" s="54"/>
      <c r="AN933" s="41"/>
      <c r="AT933" s="60"/>
      <c r="AZ933" s="62"/>
      <c r="BF933" s="64"/>
      <c r="BL933" s="66"/>
    </row>
    <row r="934" spans="1:64" ht="15" thickBot="1" x14ac:dyDescent="0.4">
      <c r="A934" s="14"/>
      <c r="B934" s="14"/>
      <c r="C934" s="14"/>
      <c r="D934" s="14"/>
      <c r="E934" s="14"/>
      <c r="F934" s="14"/>
      <c r="G934" s="14"/>
      <c r="H934" s="14"/>
      <c r="I934" s="14"/>
      <c r="J934" s="41"/>
      <c r="P934" s="17"/>
      <c r="V934" s="50"/>
      <c r="AB934" s="18"/>
      <c r="AH934" s="54"/>
      <c r="AN934" s="41"/>
      <c r="AT934" s="60"/>
      <c r="AZ934" s="62"/>
      <c r="BF934" s="64"/>
      <c r="BL934" s="66"/>
    </row>
    <row r="935" spans="1:64" ht="15" thickBot="1" x14ac:dyDescent="0.4">
      <c r="A935" s="14"/>
      <c r="B935" s="14"/>
      <c r="C935" s="14"/>
      <c r="D935" s="14"/>
      <c r="E935" s="14"/>
      <c r="F935" s="14"/>
      <c r="G935" s="14"/>
      <c r="H935" s="14"/>
      <c r="I935" s="14"/>
      <c r="J935" s="41"/>
      <c r="P935" s="17"/>
      <c r="V935" s="50"/>
      <c r="AB935" s="18"/>
      <c r="AH935" s="54"/>
      <c r="AN935" s="41"/>
      <c r="AT935" s="60"/>
      <c r="AZ935" s="62"/>
      <c r="BF935" s="64"/>
      <c r="BL935" s="66"/>
    </row>
    <row r="936" spans="1:64" ht="15" thickBot="1" x14ac:dyDescent="0.4">
      <c r="A936" s="14"/>
      <c r="B936" s="14"/>
      <c r="C936" s="14"/>
      <c r="D936" s="14"/>
      <c r="E936" s="14"/>
      <c r="F936" s="14"/>
      <c r="G936" s="14"/>
      <c r="H936" s="14"/>
      <c r="I936" s="14"/>
      <c r="J936" s="41"/>
      <c r="P936" s="17"/>
      <c r="V936" s="50"/>
      <c r="AB936" s="18"/>
      <c r="AH936" s="54"/>
      <c r="AN936" s="41"/>
      <c r="AT936" s="60"/>
      <c r="AZ936" s="62"/>
      <c r="BF936" s="64"/>
      <c r="BL936" s="66"/>
    </row>
    <row r="937" spans="1:64" ht="15" thickBot="1" x14ac:dyDescent="0.4">
      <c r="A937" s="14"/>
      <c r="B937" s="14"/>
      <c r="C937" s="14"/>
      <c r="D937" s="14"/>
      <c r="E937" s="14"/>
      <c r="F937" s="14"/>
      <c r="G937" s="14"/>
      <c r="H937" s="14"/>
      <c r="I937" s="14"/>
      <c r="J937" s="41"/>
      <c r="P937" s="17"/>
      <c r="V937" s="50"/>
      <c r="AB937" s="18"/>
      <c r="AH937" s="54"/>
      <c r="AN937" s="41"/>
      <c r="AT937" s="60"/>
      <c r="AZ937" s="62"/>
      <c r="BF937" s="64"/>
      <c r="BL937" s="66"/>
    </row>
    <row r="938" spans="1:64" ht="15" thickBot="1" x14ac:dyDescent="0.4">
      <c r="A938" s="14"/>
      <c r="B938" s="14"/>
      <c r="C938" s="14"/>
      <c r="D938" s="14"/>
      <c r="E938" s="14"/>
      <c r="F938" s="14"/>
      <c r="G938" s="14"/>
      <c r="H938" s="14"/>
      <c r="I938" s="14"/>
      <c r="J938" s="41"/>
      <c r="P938" s="17"/>
      <c r="V938" s="50"/>
      <c r="AB938" s="18"/>
      <c r="AH938" s="54"/>
      <c r="AN938" s="41"/>
      <c r="AT938" s="60"/>
      <c r="AZ938" s="62"/>
      <c r="BF938" s="64"/>
      <c r="BL938" s="66"/>
    </row>
    <row r="939" spans="1:64" ht="15" thickBot="1" x14ac:dyDescent="0.4">
      <c r="A939" s="14"/>
      <c r="B939" s="14"/>
      <c r="C939" s="14"/>
      <c r="D939" s="14"/>
      <c r="E939" s="14"/>
      <c r="F939" s="14"/>
      <c r="G939" s="14"/>
      <c r="H939" s="14"/>
      <c r="I939" s="14"/>
      <c r="J939" s="41"/>
      <c r="P939" s="17"/>
      <c r="V939" s="50"/>
      <c r="AB939" s="18"/>
      <c r="AH939" s="54"/>
      <c r="AN939" s="41"/>
      <c r="AT939" s="60"/>
      <c r="AZ939" s="62"/>
      <c r="BF939" s="64"/>
      <c r="BL939" s="66"/>
    </row>
    <row r="940" spans="1:64" ht="15" thickBot="1" x14ac:dyDescent="0.4">
      <c r="A940" s="14"/>
      <c r="B940" s="14"/>
      <c r="C940" s="14"/>
      <c r="D940" s="14"/>
      <c r="E940" s="14"/>
      <c r="F940" s="14"/>
      <c r="G940" s="14"/>
      <c r="H940" s="14"/>
      <c r="I940" s="14"/>
      <c r="J940" s="41"/>
      <c r="P940" s="17"/>
      <c r="V940" s="50"/>
      <c r="AB940" s="18"/>
      <c r="AH940" s="54"/>
      <c r="AN940" s="41"/>
      <c r="AT940" s="60"/>
      <c r="AZ940" s="62"/>
      <c r="BF940" s="64"/>
      <c r="BL940" s="66"/>
    </row>
    <row r="941" spans="1:64" ht="15" thickBot="1" x14ac:dyDescent="0.4">
      <c r="A941" s="14"/>
      <c r="B941" s="14"/>
      <c r="C941" s="14"/>
      <c r="D941" s="14"/>
      <c r="E941" s="14"/>
      <c r="F941" s="14"/>
      <c r="G941" s="14"/>
      <c r="H941" s="14"/>
      <c r="I941" s="14"/>
      <c r="J941" s="41"/>
      <c r="P941" s="17"/>
      <c r="V941" s="50"/>
      <c r="AB941" s="18"/>
      <c r="AH941" s="54"/>
      <c r="AN941" s="41"/>
      <c r="AT941" s="60"/>
      <c r="AZ941" s="62"/>
      <c r="BF941" s="64"/>
      <c r="BL941" s="66"/>
    </row>
    <row r="942" spans="1:64" ht="15" thickBot="1" x14ac:dyDescent="0.4">
      <c r="A942" s="14"/>
      <c r="B942" s="14"/>
      <c r="C942" s="14"/>
      <c r="D942" s="14"/>
      <c r="E942" s="14"/>
      <c r="F942" s="14"/>
      <c r="G942" s="14"/>
      <c r="H942" s="14"/>
      <c r="I942" s="14"/>
      <c r="J942" s="41"/>
      <c r="P942" s="17"/>
      <c r="V942" s="50"/>
      <c r="AB942" s="18"/>
      <c r="AH942" s="54"/>
      <c r="AN942" s="41"/>
      <c r="AT942" s="60"/>
      <c r="AZ942" s="62"/>
      <c r="BF942" s="64"/>
      <c r="BL942" s="66"/>
    </row>
    <row r="943" spans="1:64" ht="15" thickBot="1" x14ac:dyDescent="0.4">
      <c r="A943" s="14"/>
      <c r="B943" s="14"/>
      <c r="C943" s="14"/>
      <c r="D943" s="14"/>
      <c r="E943" s="14"/>
      <c r="F943" s="14"/>
      <c r="G943" s="14"/>
      <c r="H943" s="14"/>
      <c r="I943" s="14"/>
      <c r="J943" s="41"/>
      <c r="P943" s="17"/>
      <c r="V943" s="50"/>
      <c r="AB943" s="18"/>
      <c r="AH943" s="54"/>
      <c r="AN943" s="41"/>
      <c r="AT943" s="60"/>
      <c r="AZ943" s="62"/>
      <c r="BF943" s="64"/>
      <c r="BL943" s="66"/>
    </row>
    <row r="944" spans="1:64" ht="15" thickBot="1" x14ac:dyDescent="0.4">
      <c r="A944" s="14"/>
      <c r="B944" s="14"/>
      <c r="C944" s="14"/>
      <c r="D944" s="14"/>
      <c r="E944" s="14"/>
      <c r="F944" s="14"/>
      <c r="G944" s="14"/>
      <c r="H944" s="14"/>
      <c r="I944" s="14"/>
      <c r="J944" s="41"/>
      <c r="P944" s="17"/>
      <c r="V944" s="50"/>
      <c r="AB944" s="18"/>
      <c r="AH944" s="54"/>
      <c r="AN944" s="41"/>
      <c r="AT944" s="60"/>
      <c r="AZ944" s="62"/>
      <c r="BF944" s="64"/>
      <c r="BL944" s="66"/>
    </row>
    <row r="945" spans="1:64" ht="15" thickBot="1" x14ac:dyDescent="0.4">
      <c r="A945" s="14"/>
      <c r="B945" s="14"/>
      <c r="C945" s="14"/>
      <c r="D945" s="14"/>
      <c r="E945" s="14"/>
      <c r="F945" s="14"/>
      <c r="G945" s="14"/>
      <c r="H945" s="14"/>
      <c r="I945" s="14"/>
      <c r="J945" s="41"/>
      <c r="P945" s="17"/>
      <c r="V945" s="50"/>
      <c r="AB945" s="18"/>
      <c r="AH945" s="54"/>
      <c r="AN945" s="41"/>
      <c r="AT945" s="60"/>
      <c r="AZ945" s="62"/>
      <c r="BF945" s="64"/>
      <c r="BL945" s="66"/>
    </row>
    <row r="946" spans="1:64" ht="15" thickBot="1" x14ac:dyDescent="0.4">
      <c r="A946" s="14"/>
      <c r="B946" s="14"/>
      <c r="C946" s="14"/>
      <c r="D946" s="14"/>
      <c r="E946" s="14"/>
      <c r="F946" s="14"/>
      <c r="G946" s="14"/>
      <c r="H946" s="14"/>
      <c r="I946" s="14"/>
      <c r="J946" s="41"/>
      <c r="P946" s="17"/>
      <c r="V946" s="50"/>
      <c r="AB946" s="18"/>
      <c r="AH946" s="54"/>
      <c r="AN946" s="41"/>
      <c r="AT946" s="60"/>
      <c r="AZ946" s="62"/>
      <c r="BF946" s="64"/>
      <c r="BL946" s="66"/>
    </row>
    <row r="947" spans="1:64" ht="15" thickBot="1" x14ac:dyDescent="0.4">
      <c r="A947" s="14"/>
      <c r="B947" s="14"/>
      <c r="C947" s="14"/>
      <c r="D947" s="14"/>
      <c r="E947" s="14"/>
      <c r="F947" s="14"/>
      <c r="G947" s="14"/>
      <c r="H947" s="14"/>
      <c r="I947" s="14"/>
      <c r="J947" s="41"/>
      <c r="P947" s="17"/>
      <c r="V947" s="50"/>
      <c r="AB947" s="18"/>
      <c r="AH947" s="54"/>
      <c r="AN947" s="41"/>
      <c r="AT947" s="60"/>
      <c r="AZ947" s="62"/>
      <c r="BF947" s="64"/>
      <c r="BL947" s="66"/>
    </row>
    <row r="948" spans="1:64" ht="15" thickBot="1" x14ac:dyDescent="0.4">
      <c r="A948" s="14"/>
      <c r="B948" s="14"/>
      <c r="C948" s="14"/>
      <c r="D948" s="14"/>
      <c r="E948" s="14"/>
      <c r="F948" s="14"/>
      <c r="G948" s="14"/>
      <c r="H948" s="14"/>
      <c r="I948" s="14"/>
      <c r="J948" s="41"/>
      <c r="P948" s="17"/>
      <c r="V948" s="50"/>
      <c r="AB948" s="18"/>
      <c r="AH948" s="54"/>
      <c r="AN948" s="41"/>
      <c r="AT948" s="60"/>
      <c r="AZ948" s="62"/>
      <c r="BF948" s="64"/>
      <c r="BL948" s="66"/>
    </row>
    <row r="949" spans="1:64" ht="15" thickBot="1" x14ac:dyDescent="0.4">
      <c r="A949" s="14"/>
      <c r="B949" s="14"/>
      <c r="C949" s="14"/>
      <c r="D949" s="14"/>
      <c r="E949" s="14"/>
      <c r="F949" s="14"/>
      <c r="G949" s="14"/>
      <c r="H949" s="14"/>
      <c r="I949" s="14"/>
      <c r="J949" s="41"/>
      <c r="P949" s="17"/>
      <c r="V949" s="50"/>
      <c r="AB949" s="18"/>
      <c r="AH949" s="54"/>
      <c r="AN949" s="41"/>
      <c r="AT949" s="60"/>
      <c r="AZ949" s="62"/>
      <c r="BF949" s="64"/>
      <c r="BL949" s="66"/>
    </row>
    <row r="950" spans="1:64" ht="15" thickBot="1" x14ac:dyDescent="0.4">
      <c r="A950" s="14"/>
      <c r="B950" s="14"/>
      <c r="C950" s="14"/>
      <c r="D950" s="14"/>
      <c r="E950" s="14"/>
      <c r="F950" s="14"/>
      <c r="G950" s="14"/>
      <c r="H950" s="14"/>
      <c r="I950" s="14"/>
      <c r="J950" s="41"/>
      <c r="P950" s="17"/>
      <c r="V950" s="50"/>
      <c r="AB950" s="18"/>
      <c r="AH950" s="54"/>
      <c r="AN950" s="41"/>
      <c r="AT950" s="60"/>
      <c r="AZ950" s="62"/>
      <c r="BF950" s="64"/>
      <c r="BL950" s="66"/>
    </row>
    <row r="951" spans="1:64" ht="15" thickBot="1" x14ac:dyDescent="0.4">
      <c r="A951" s="14"/>
      <c r="B951" s="14"/>
      <c r="C951" s="14"/>
      <c r="D951" s="14"/>
      <c r="E951" s="14"/>
      <c r="F951" s="14"/>
      <c r="G951" s="14"/>
      <c r="H951" s="14"/>
      <c r="I951" s="14"/>
      <c r="J951" s="41"/>
      <c r="P951" s="17"/>
      <c r="V951" s="50"/>
      <c r="AB951" s="18"/>
      <c r="AH951" s="54"/>
      <c r="AN951" s="41"/>
      <c r="AT951" s="60"/>
      <c r="AZ951" s="62"/>
      <c r="BF951" s="64"/>
      <c r="BL951" s="66"/>
    </row>
    <row r="952" spans="1:64" ht="15" thickBot="1" x14ac:dyDescent="0.4">
      <c r="A952" s="14"/>
      <c r="B952" s="14"/>
      <c r="C952" s="14"/>
      <c r="D952" s="14"/>
      <c r="E952" s="14"/>
      <c r="F952" s="14"/>
      <c r="G952" s="14"/>
      <c r="H952" s="14"/>
      <c r="I952" s="14"/>
      <c r="J952" s="41"/>
      <c r="P952" s="17"/>
      <c r="V952" s="50"/>
      <c r="AB952" s="18"/>
      <c r="AH952" s="54"/>
      <c r="AN952" s="41"/>
      <c r="AT952" s="60"/>
      <c r="AZ952" s="62"/>
      <c r="BF952" s="64"/>
      <c r="BL952" s="66"/>
    </row>
    <row r="953" spans="1:64" ht="15" thickBot="1" x14ac:dyDescent="0.4">
      <c r="A953" s="14"/>
      <c r="B953" s="14"/>
      <c r="C953" s="14"/>
      <c r="D953" s="14"/>
      <c r="E953" s="14"/>
      <c r="F953" s="14"/>
      <c r="G953" s="14"/>
      <c r="H953" s="14"/>
      <c r="I953" s="14"/>
      <c r="J953" s="41"/>
      <c r="P953" s="17"/>
      <c r="V953" s="50"/>
      <c r="AB953" s="18"/>
      <c r="AH953" s="54"/>
      <c r="AN953" s="41"/>
      <c r="AT953" s="60"/>
      <c r="AZ953" s="62"/>
      <c r="BF953" s="64"/>
      <c r="BL953" s="66"/>
    </row>
    <row r="954" spans="1:64" ht="15" thickBot="1" x14ac:dyDescent="0.4">
      <c r="A954" s="14"/>
      <c r="B954" s="14"/>
      <c r="C954" s="14"/>
      <c r="D954" s="14"/>
      <c r="E954" s="14"/>
      <c r="F954" s="14"/>
      <c r="G954" s="14"/>
      <c r="H954" s="14"/>
      <c r="I954" s="14"/>
      <c r="J954" s="41"/>
      <c r="P954" s="17"/>
      <c r="V954" s="50"/>
      <c r="AB954" s="18"/>
      <c r="AH954" s="54"/>
      <c r="AN954" s="41"/>
      <c r="AT954" s="60"/>
      <c r="AZ954" s="62"/>
      <c r="BF954" s="64"/>
      <c r="BL954" s="66"/>
    </row>
    <row r="955" spans="1:64" ht="15" thickBot="1" x14ac:dyDescent="0.4">
      <c r="A955" s="14"/>
      <c r="B955" s="14"/>
      <c r="C955" s="14"/>
      <c r="D955" s="14"/>
      <c r="E955" s="14"/>
      <c r="F955" s="14"/>
      <c r="G955" s="14"/>
      <c r="H955" s="14"/>
      <c r="I955" s="14"/>
      <c r="J955" s="41"/>
      <c r="P955" s="17"/>
      <c r="V955" s="50"/>
      <c r="AB955" s="18"/>
      <c r="AH955" s="54"/>
      <c r="AN955" s="41"/>
      <c r="AT955" s="60"/>
      <c r="AZ955" s="62"/>
      <c r="BF955" s="64"/>
      <c r="BL955" s="66"/>
    </row>
    <row r="956" spans="1:64" ht="15" thickBot="1" x14ac:dyDescent="0.4">
      <c r="A956" s="14"/>
      <c r="B956" s="14"/>
      <c r="C956" s="14"/>
      <c r="D956" s="14"/>
      <c r="E956" s="14"/>
      <c r="F956" s="14"/>
      <c r="G956" s="14"/>
      <c r="H956" s="14"/>
      <c r="I956" s="14"/>
      <c r="J956" s="41"/>
      <c r="P956" s="17"/>
      <c r="V956" s="50"/>
      <c r="AB956" s="18"/>
      <c r="AH956" s="54"/>
      <c r="AN956" s="41"/>
      <c r="AT956" s="60"/>
      <c r="AZ956" s="62"/>
      <c r="BF956" s="64"/>
      <c r="BL956" s="66"/>
    </row>
    <row r="957" spans="1:64" ht="15" thickBot="1" x14ac:dyDescent="0.4">
      <c r="A957" s="14"/>
      <c r="B957" s="14"/>
      <c r="C957" s="14"/>
      <c r="D957" s="14"/>
      <c r="E957" s="14"/>
      <c r="F957" s="14"/>
      <c r="G957" s="14"/>
      <c r="H957" s="14"/>
      <c r="I957" s="14"/>
      <c r="J957" s="41"/>
      <c r="P957" s="17"/>
      <c r="V957" s="50"/>
      <c r="AB957" s="18"/>
      <c r="AH957" s="54"/>
      <c r="AN957" s="41"/>
      <c r="AT957" s="60"/>
      <c r="AZ957" s="62"/>
      <c r="BF957" s="64"/>
      <c r="BL957" s="66"/>
    </row>
    <row r="958" spans="1:64" ht="15" thickBot="1" x14ac:dyDescent="0.4">
      <c r="A958" s="14"/>
      <c r="B958" s="14"/>
      <c r="C958" s="14"/>
      <c r="D958" s="14"/>
      <c r="E958" s="14"/>
      <c r="F958" s="14"/>
      <c r="G958" s="14"/>
      <c r="H958" s="14"/>
      <c r="I958" s="14"/>
      <c r="J958" s="41"/>
      <c r="P958" s="17"/>
      <c r="V958" s="50"/>
      <c r="AB958" s="18"/>
      <c r="AH958" s="54"/>
      <c r="AN958" s="41"/>
      <c r="AT958" s="60"/>
      <c r="AZ958" s="62"/>
      <c r="BF958" s="64"/>
      <c r="BL958" s="66"/>
    </row>
    <row r="959" spans="1:64" ht="15" thickBot="1" x14ac:dyDescent="0.4">
      <c r="A959" s="14"/>
      <c r="B959" s="14"/>
      <c r="C959" s="14"/>
      <c r="D959" s="14"/>
      <c r="E959" s="14"/>
      <c r="F959" s="14"/>
      <c r="G959" s="14"/>
      <c r="H959" s="14"/>
      <c r="I959" s="14"/>
      <c r="J959" s="41"/>
      <c r="P959" s="17"/>
      <c r="V959" s="50"/>
      <c r="AB959" s="18"/>
      <c r="AH959" s="54"/>
      <c r="AN959" s="41"/>
      <c r="AT959" s="60"/>
      <c r="AZ959" s="62"/>
      <c r="BF959" s="64"/>
      <c r="BL959" s="66"/>
    </row>
    <row r="960" spans="1:64" ht="15" thickBot="1" x14ac:dyDescent="0.4">
      <c r="A960" s="14"/>
      <c r="B960" s="14"/>
      <c r="C960" s="14"/>
      <c r="D960" s="14"/>
      <c r="E960" s="14"/>
      <c r="F960" s="14"/>
      <c r="G960" s="14"/>
      <c r="H960" s="14"/>
      <c r="I960" s="14"/>
      <c r="J960" s="41"/>
      <c r="P960" s="17"/>
      <c r="V960" s="50"/>
      <c r="AB960" s="18"/>
      <c r="AH960" s="54"/>
      <c r="AN960" s="41"/>
      <c r="AT960" s="60"/>
      <c r="AZ960" s="62"/>
      <c r="BF960" s="64"/>
      <c r="BL960" s="66"/>
    </row>
    <row r="961" spans="1:64" ht="15" thickBot="1" x14ac:dyDescent="0.4">
      <c r="A961" s="14"/>
      <c r="B961" s="14"/>
      <c r="C961" s="14"/>
      <c r="D961" s="14"/>
      <c r="E961" s="14"/>
      <c r="F961" s="14"/>
      <c r="G961" s="14"/>
      <c r="H961" s="14"/>
      <c r="I961" s="14"/>
      <c r="J961" s="41"/>
      <c r="P961" s="17"/>
      <c r="V961" s="50"/>
      <c r="AB961" s="18"/>
      <c r="AH961" s="54"/>
      <c r="AN961" s="41"/>
      <c r="AT961" s="60"/>
      <c r="AZ961" s="62"/>
      <c r="BF961" s="64"/>
      <c r="BL961" s="66"/>
    </row>
    <row r="962" spans="1:64" ht="15" thickBot="1" x14ac:dyDescent="0.4">
      <c r="A962" s="14"/>
      <c r="B962" s="14"/>
      <c r="C962" s="14"/>
      <c r="D962" s="14"/>
      <c r="E962" s="14"/>
      <c r="F962" s="14"/>
      <c r="G962" s="14"/>
      <c r="H962" s="14"/>
      <c r="I962" s="14"/>
      <c r="J962" s="41"/>
      <c r="P962" s="17"/>
      <c r="V962" s="50"/>
      <c r="AB962" s="18"/>
      <c r="AH962" s="54"/>
      <c r="AN962" s="41"/>
      <c r="AT962" s="60"/>
      <c r="AZ962" s="62"/>
      <c r="BF962" s="64"/>
      <c r="BL962" s="66"/>
    </row>
    <row r="963" spans="1:64" ht="15" thickBot="1" x14ac:dyDescent="0.4">
      <c r="A963" s="14"/>
      <c r="B963" s="14"/>
      <c r="C963" s="14"/>
      <c r="D963" s="14"/>
      <c r="E963" s="14"/>
      <c r="F963" s="14"/>
      <c r="G963" s="14"/>
      <c r="H963" s="14"/>
      <c r="I963" s="14"/>
      <c r="J963" s="41"/>
      <c r="P963" s="17"/>
      <c r="V963" s="50"/>
      <c r="AB963" s="18"/>
      <c r="AH963" s="54"/>
      <c r="AN963" s="41"/>
      <c r="AT963" s="60"/>
      <c r="AZ963" s="62"/>
      <c r="BF963" s="64"/>
      <c r="BL963" s="66"/>
    </row>
    <row r="964" spans="1:64" ht="15" thickBot="1" x14ac:dyDescent="0.4">
      <c r="A964" s="14"/>
      <c r="B964" s="14"/>
      <c r="C964" s="14"/>
      <c r="D964" s="14"/>
      <c r="E964" s="14"/>
      <c r="F964" s="14"/>
      <c r="G964" s="14"/>
      <c r="H964" s="14"/>
      <c r="I964" s="14"/>
      <c r="J964" s="41"/>
      <c r="P964" s="17"/>
      <c r="V964" s="50"/>
      <c r="AB964" s="18"/>
      <c r="AH964" s="54"/>
      <c r="AN964" s="41"/>
      <c r="AT964" s="60"/>
      <c r="AZ964" s="62"/>
      <c r="BF964" s="64"/>
      <c r="BL964" s="66"/>
    </row>
    <row r="965" spans="1:64" ht="15" thickBot="1" x14ac:dyDescent="0.4">
      <c r="A965" s="14"/>
      <c r="B965" s="14"/>
      <c r="C965" s="14"/>
      <c r="D965" s="14"/>
      <c r="E965" s="14"/>
      <c r="F965" s="14"/>
      <c r="G965" s="14"/>
      <c r="H965" s="14"/>
      <c r="I965" s="14"/>
      <c r="J965" s="41"/>
      <c r="P965" s="17"/>
      <c r="V965" s="50"/>
      <c r="AB965" s="18"/>
      <c r="AH965" s="54"/>
      <c r="AN965" s="41"/>
      <c r="AT965" s="60"/>
      <c r="AZ965" s="62"/>
      <c r="BF965" s="64"/>
      <c r="BL965" s="66"/>
    </row>
    <row r="966" spans="1:64" ht="15" thickBot="1" x14ac:dyDescent="0.4">
      <c r="A966" s="14"/>
      <c r="B966" s="14"/>
      <c r="C966" s="14"/>
      <c r="D966" s="14"/>
      <c r="E966" s="14"/>
      <c r="F966" s="14"/>
      <c r="G966" s="14"/>
      <c r="H966" s="14"/>
      <c r="I966" s="14"/>
      <c r="J966" s="41"/>
      <c r="P966" s="17"/>
      <c r="V966" s="50"/>
      <c r="AB966" s="18"/>
      <c r="AH966" s="54"/>
      <c r="AN966" s="41"/>
      <c r="AT966" s="60"/>
      <c r="AZ966" s="62"/>
      <c r="BF966" s="64"/>
      <c r="BL966" s="66"/>
    </row>
    <row r="967" spans="1:64" ht="15" thickBot="1" x14ac:dyDescent="0.4">
      <c r="A967" s="14"/>
      <c r="B967" s="14"/>
      <c r="C967" s="14"/>
      <c r="D967" s="14"/>
      <c r="E967" s="14"/>
      <c r="F967" s="14"/>
      <c r="G967" s="14"/>
      <c r="H967" s="14"/>
      <c r="I967" s="14"/>
      <c r="J967" s="41"/>
      <c r="P967" s="17"/>
      <c r="V967" s="50"/>
      <c r="AB967" s="18"/>
      <c r="AH967" s="54"/>
      <c r="AN967" s="41"/>
      <c r="AT967" s="60"/>
      <c r="AZ967" s="62"/>
      <c r="BF967" s="64"/>
      <c r="BL967" s="66"/>
    </row>
    <row r="968" spans="1:64" ht="15" thickBot="1" x14ac:dyDescent="0.4">
      <c r="A968" s="14"/>
      <c r="B968" s="14"/>
      <c r="C968" s="14"/>
      <c r="D968" s="14"/>
      <c r="E968" s="14"/>
      <c r="F968" s="14"/>
      <c r="G968" s="14"/>
      <c r="H968" s="14"/>
      <c r="I968" s="14"/>
      <c r="J968" s="41"/>
      <c r="P968" s="17"/>
      <c r="V968" s="50"/>
      <c r="AB968" s="18"/>
      <c r="AH968" s="54"/>
      <c r="AN968" s="41"/>
      <c r="AT968" s="60"/>
      <c r="AZ968" s="62"/>
      <c r="BF968" s="64"/>
      <c r="BL968" s="66"/>
    </row>
    <row r="969" spans="1:64" ht="15" thickBot="1" x14ac:dyDescent="0.4">
      <c r="A969" s="14"/>
      <c r="B969" s="14"/>
      <c r="C969" s="14"/>
      <c r="D969" s="14"/>
      <c r="E969" s="14"/>
      <c r="F969" s="14"/>
      <c r="G969" s="14"/>
      <c r="H969" s="14"/>
      <c r="I969" s="14"/>
      <c r="J969" s="41"/>
      <c r="P969" s="17"/>
      <c r="V969" s="50"/>
      <c r="AB969" s="18"/>
      <c r="AH969" s="54"/>
      <c r="AN969" s="41"/>
      <c r="AT969" s="60"/>
      <c r="AZ969" s="62"/>
      <c r="BF969" s="64"/>
      <c r="BL969" s="66"/>
    </row>
    <row r="970" spans="1:64" ht="15" thickBot="1" x14ac:dyDescent="0.4">
      <c r="A970" s="14"/>
      <c r="B970" s="14"/>
      <c r="C970" s="14"/>
      <c r="D970" s="14"/>
      <c r="E970" s="14"/>
      <c r="F970" s="14"/>
      <c r="G970" s="14"/>
      <c r="H970" s="14"/>
      <c r="I970" s="14"/>
      <c r="J970" s="41"/>
      <c r="P970" s="17"/>
      <c r="V970" s="50"/>
      <c r="AB970" s="18"/>
      <c r="AH970" s="54"/>
      <c r="AN970" s="41"/>
      <c r="AT970" s="60"/>
      <c r="AZ970" s="62"/>
      <c r="BF970" s="64"/>
      <c r="BL970" s="66"/>
    </row>
    <row r="971" spans="1:64" ht="15" thickBot="1" x14ac:dyDescent="0.4">
      <c r="A971" s="14"/>
      <c r="B971" s="14"/>
      <c r="C971" s="14"/>
      <c r="D971" s="14"/>
      <c r="E971" s="14"/>
      <c r="F971" s="14"/>
      <c r="G971" s="14"/>
      <c r="H971" s="14"/>
      <c r="I971" s="14"/>
      <c r="J971" s="41"/>
      <c r="P971" s="17"/>
      <c r="V971" s="50"/>
      <c r="AB971" s="18"/>
      <c r="AH971" s="54"/>
      <c r="AN971" s="41"/>
      <c r="AT971" s="60"/>
      <c r="AZ971" s="62"/>
      <c r="BF971" s="64"/>
      <c r="BL971" s="66"/>
    </row>
    <row r="972" spans="1:64" ht="15" thickBot="1" x14ac:dyDescent="0.4">
      <c r="A972" s="14"/>
      <c r="B972" s="14"/>
      <c r="C972" s="14"/>
      <c r="D972" s="14"/>
      <c r="E972" s="14"/>
      <c r="F972" s="14"/>
      <c r="G972" s="14"/>
      <c r="H972" s="14"/>
      <c r="I972" s="14"/>
      <c r="J972" s="41"/>
      <c r="P972" s="17"/>
      <c r="V972" s="50"/>
      <c r="AB972" s="18"/>
      <c r="AH972" s="54"/>
      <c r="AN972" s="41"/>
      <c r="AT972" s="60"/>
      <c r="AZ972" s="62"/>
      <c r="BF972" s="64"/>
      <c r="BL972" s="66"/>
    </row>
    <row r="973" spans="1:64" ht="15" thickBot="1" x14ac:dyDescent="0.4">
      <c r="A973" s="14"/>
      <c r="B973" s="14"/>
      <c r="C973" s="14"/>
      <c r="D973" s="14"/>
      <c r="E973" s="14"/>
      <c r="F973" s="14"/>
      <c r="G973" s="14"/>
      <c r="H973" s="14"/>
      <c r="I973" s="14"/>
      <c r="J973" s="41"/>
      <c r="P973" s="17"/>
      <c r="V973" s="50"/>
      <c r="AB973" s="18"/>
      <c r="AH973" s="54"/>
      <c r="AN973" s="41"/>
      <c r="AT973" s="60"/>
      <c r="AZ973" s="62"/>
      <c r="BF973" s="64"/>
      <c r="BL973" s="66"/>
    </row>
    <row r="974" spans="1:64" ht="15" thickBot="1" x14ac:dyDescent="0.4">
      <c r="A974" s="14"/>
      <c r="B974" s="14"/>
      <c r="C974" s="14"/>
      <c r="D974" s="14"/>
      <c r="E974" s="14"/>
      <c r="F974" s="14"/>
      <c r="G974" s="14"/>
      <c r="H974" s="14"/>
      <c r="I974" s="14"/>
      <c r="J974" s="41"/>
      <c r="P974" s="17"/>
      <c r="V974" s="50"/>
      <c r="AB974" s="18"/>
      <c r="AH974" s="54"/>
      <c r="AN974" s="41"/>
      <c r="AT974" s="60"/>
      <c r="AZ974" s="62"/>
      <c r="BF974" s="64"/>
      <c r="BL974" s="66"/>
    </row>
    <row r="975" spans="1:64" ht="15" thickBot="1" x14ac:dyDescent="0.4">
      <c r="A975" s="14"/>
      <c r="B975" s="14"/>
      <c r="C975" s="14"/>
      <c r="D975" s="14"/>
      <c r="E975" s="14"/>
      <c r="F975" s="14"/>
      <c r="G975" s="14"/>
      <c r="H975" s="14"/>
      <c r="I975" s="14"/>
      <c r="J975" s="41"/>
      <c r="P975" s="17"/>
      <c r="V975" s="50"/>
      <c r="AB975" s="18"/>
      <c r="AH975" s="54"/>
      <c r="AN975" s="41"/>
      <c r="AT975" s="60"/>
      <c r="AZ975" s="62"/>
      <c r="BF975" s="64"/>
      <c r="BL975" s="66"/>
    </row>
    <row r="976" spans="1:64" ht="15" thickBot="1" x14ac:dyDescent="0.4">
      <c r="A976" s="14"/>
      <c r="B976" s="14"/>
      <c r="C976" s="14"/>
      <c r="D976" s="14"/>
      <c r="E976" s="14"/>
      <c r="F976" s="14"/>
      <c r="G976" s="14"/>
      <c r="H976" s="14"/>
      <c r="I976" s="14"/>
      <c r="J976" s="41"/>
      <c r="P976" s="17"/>
      <c r="V976" s="50"/>
      <c r="AB976" s="18"/>
      <c r="AH976" s="54"/>
      <c r="AN976" s="41"/>
      <c r="AT976" s="60"/>
      <c r="AZ976" s="62"/>
      <c r="BF976" s="64"/>
      <c r="BL976" s="66"/>
    </row>
    <row r="977" spans="1:64" ht="15" thickBot="1" x14ac:dyDescent="0.4">
      <c r="A977" s="14"/>
      <c r="B977" s="14"/>
      <c r="C977" s="14"/>
      <c r="D977" s="14"/>
      <c r="E977" s="14"/>
      <c r="F977" s="14"/>
      <c r="G977" s="14"/>
      <c r="H977" s="14"/>
      <c r="I977" s="14"/>
      <c r="J977" s="41"/>
      <c r="P977" s="17"/>
      <c r="V977" s="50"/>
      <c r="AB977" s="18"/>
      <c r="AH977" s="54"/>
      <c r="AN977" s="41"/>
      <c r="AT977" s="60"/>
      <c r="AZ977" s="62"/>
      <c r="BF977" s="64"/>
      <c r="BL977" s="66"/>
    </row>
    <row r="978" spans="1:64" ht="15" thickBot="1" x14ac:dyDescent="0.4">
      <c r="A978" s="14"/>
      <c r="B978" s="14"/>
      <c r="C978" s="14"/>
      <c r="D978" s="14"/>
      <c r="E978" s="14"/>
      <c r="F978" s="14"/>
      <c r="G978" s="14"/>
      <c r="H978" s="14"/>
      <c r="I978" s="14"/>
      <c r="J978" s="41"/>
      <c r="P978" s="17"/>
      <c r="V978" s="50"/>
      <c r="AB978" s="18"/>
      <c r="AH978" s="54"/>
      <c r="AN978" s="41"/>
      <c r="AT978" s="60"/>
      <c r="AZ978" s="62"/>
      <c r="BF978" s="64"/>
      <c r="BL978" s="66"/>
    </row>
    <row r="979" spans="1:64" ht="15" thickBot="1" x14ac:dyDescent="0.4">
      <c r="A979" s="14"/>
      <c r="B979" s="14"/>
      <c r="C979" s="14"/>
      <c r="D979" s="14"/>
      <c r="E979" s="14"/>
      <c r="F979" s="14"/>
      <c r="G979" s="14"/>
      <c r="H979" s="14"/>
      <c r="I979" s="14"/>
      <c r="J979" s="41"/>
      <c r="P979" s="17"/>
      <c r="V979" s="50"/>
      <c r="AB979" s="18"/>
      <c r="AH979" s="54"/>
      <c r="AN979" s="41"/>
      <c r="AT979" s="60"/>
      <c r="AZ979" s="62"/>
      <c r="BF979" s="64"/>
      <c r="BL979" s="66"/>
    </row>
    <row r="980" spans="1:64" ht="15" thickBot="1" x14ac:dyDescent="0.4">
      <c r="A980" s="14"/>
      <c r="B980" s="14"/>
      <c r="C980" s="14"/>
      <c r="D980" s="14"/>
      <c r="E980" s="14"/>
      <c r="F980" s="14"/>
      <c r="G980" s="14"/>
      <c r="H980" s="14"/>
      <c r="I980" s="14"/>
      <c r="J980" s="41"/>
      <c r="P980" s="17"/>
      <c r="V980" s="50"/>
      <c r="AB980" s="18"/>
      <c r="AH980" s="54"/>
      <c r="AN980" s="41"/>
      <c r="AT980" s="60"/>
      <c r="AZ980" s="62"/>
      <c r="BF980" s="64"/>
      <c r="BL980" s="66"/>
    </row>
    <row r="981" spans="1:64" ht="15" thickBot="1" x14ac:dyDescent="0.4">
      <c r="A981" s="14"/>
      <c r="B981" s="14"/>
      <c r="C981" s="14"/>
      <c r="D981" s="14"/>
      <c r="E981" s="14"/>
      <c r="F981" s="14"/>
      <c r="G981" s="14"/>
      <c r="H981" s="14"/>
      <c r="I981" s="14"/>
      <c r="J981" s="41"/>
      <c r="P981" s="17"/>
      <c r="V981" s="50"/>
      <c r="AB981" s="18"/>
      <c r="AH981" s="54"/>
      <c r="AN981" s="41"/>
      <c r="AT981" s="60"/>
      <c r="AZ981" s="62"/>
      <c r="BF981" s="64"/>
      <c r="BL981" s="66"/>
    </row>
    <row r="982" spans="1:64" ht="15" thickBot="1" x14ac:dyDescent="0.4">
      <c r="A982" s="14"/>
      <c r="B982" s="14"/>
      <c r="C982" s="14"/>
      <c r="D982" s="14"/>
      <c r="E982" s="14"/>
      <c r="F982" s="14"/>
      <c r="G982" s="14"/>
      <c r="H982" s="14"/>
      <c r="I982" s="14"/>
      <c r="J982" s="41"/>
      <c r="P982" s="17"/>
      <c r="V982" s="50"/>
      <c r="AB982" s="18"/>
      <c r="AH982" s="54"/>
      <c r="AN982" s="41"/>
      <c r="AT982" s="60"/>
      <c r="AZ982" s="62"/>
      <c r="BF982" s="64"/>
      <c r="BL982" s="66"/>
    </row>
    <row r="983" spans="1:64" ht="15" thickBot="1" x14ac:dyDescent="0.4">
      <c r="A983" s="14"/>
      <c r="B983" s="14"/>
      <c r="C983" s="14"/>
      <c r="D983" s="14"/>
      <c r="E983" s="14"/>
      <c r="F983" s="14"/>
      <c r="G983" s="14"/>
      <c r="H983" s="14"/>
      <c r="I983" s="14"/>
      <c r="J983" s="41"/>
      <c r="P983" s="17"/>
      <c r="V983" s="50"/>
      <c r="AB983" s="18"/>
      <c r="AH983" s="54"/>
      <c r="AN983" s="41"/>
      <c r="AT983" s="60"/>
      <c r="AZ983" s="62"/>
      <c r="BF983" s="64"/>
      <c r="BL983" s="66"/>
    </row>
    <row r="984" spans="1:64" ht="15" thickBot="1" x14ac:dyDescent="0.4">
      <c r="A984" s="14"/>
      <c r="B984" s="14"/>
      <c r="C984" s="14"/>
      <c r="D984" s="14"/>
      <c r="E984" s="14"/>
      <c r="F984" s="14"/>
      <c r="G984" s="14"/>
      <c r="H984" s="14"/>
      <c r="I984" s="14"/>
      <c r="J984" s="41"/>
      <c r="P984" s="17"/>
      <c r="V984" s="50"/>
      <c r="AB984" s="18"/>
      <c r="AH984" s="54"/>
      <c r="AN984" s="41"/>
      <c r="AT984" s="60"/>
      <c r="AZ984" s="62"/>
      <c r="BF984" s="64"/>
      <c r="BL984" s="66"/>
    </row>
    <row r="985" spans="1:64" ht="15" thickBot="1" x14ac:dyDescent="0.4">
      <c r="A985" s="14"/>
      <c r="B985" s="14"/>
      <c r="C985" s="14"/>
      <c r="D985" s="14"/>
      <c r="E985" s="14"/>
      <c r="F985" s="14"/>
      <c r="G985" s="14"/>
      <c r="H985" s="14"/>
      <c r="I985" s="14"/>
      <c r="J985" s="41"/>
      <c r="P985" s="17"/>
      <c r="V985" s="50"/>
      <c r="AB985" s="18"/>
      <c r="AH985" s="54"/>
      <c r="AN985" s="41"/>
      <c r="AT985" s="60"/>
      <c r="AZ985" s="62"/>
      <c r="BF985" s="64"/>
      <c r="BL985" s="66"/>
    </row>
    <row r="986" spans="1:64" ht="15" thickBot="1" x14ac:dyDescent="0.4">
      <c r="A986" s="14"/>
      <c r="B986" s="14"/>
      <c r="C986" s="14"/>
      <c r="D986" s="14"/>
      <c r="E986" s="14"/>
      <c r="F986" s="14"/>
      <c r="G986" s="14"/>
      <c r="H986" s="14"/>
      <c r="I986" s="14"/>
      <c r="J986" s="41"/>
      <c r="P986" s="17"/>
      <c r="V986" s="50"/>
      <c r="AB986" s="18"/>
      <c r="AH986" s="54"/>
      <c r="AN986" s="41"/>
      <c r="AT986" s="60"/>
      <c r="AZ986" s="62"/>
      <c r="BF986" s="64"/>
      <c r="BL986" s="66"/>
    </row>
    <row r="987" spans="1:64" ht="15" thickBot="1" x14ac:dyDescent="0.4">
      <c r="A987" s="14"/>
      <c r="B987" s="14"/>
      <c r="C987" s="14"/>
      <c r="D987" s="14"/>
      <c r="E987" s="14"/>
      <c r="F987" s="14"/>
      <c r="G987" s="14"/>
      <c r="H987" s="14"/>
      <c r="I987" s="14"/>
      <c r="J987" s="41"/>
      <c r="P987" s="17"/>
      <c r="V987" s="50"/>
      <c r="AB987" s="18"/>
      <c r="AH987" s="54"/>
      <c r="AN987" s="41"/>
      <c r="AT987" s="60"/>
      <c r="AZ987" s="62"/>
      <c r="BF987" s="64"/>
      <c r="BL987" s="66"/>
    </row>
    <row r="988" spans="1:64" ht="15" thickBot="1" x14ac:dyDescent="0.4">
      <c r="A988" s="14"/>
      <c r="B988" s="14"/>
      <c r="C988" s="14"/>
      <c r="D988" s="14"/>
      <c r="E988" s="14"/>
      <c r="F988" s="14"/>
      <c r="G988" s="14"/>
      <c r="H988" s="14"/>
      <c r="I988" s="14"/>
      <c r="J988" s="41"/>
      <c r="P988" s="17"/>
      <c r="V988" s="50"/>
      <c r="AB988" s="18"/>
      <c r="AH988" s="54"/>
      <c r="AN988" s="41"/>
      <c r="AT988" s="60"/>
      <c r="AZ988" s="62"/>
      <c r="BF988" s="64"/>
      <c r="BL988" s="66"/>
    </row>
    <row r="989" spans="1:64" ht="15" thickBot="1" x14ac:dyDescent="0.4">
      <c r="A989" s="14"/>
      <c r="B989" s="14"/>
      <c r="C989" s="14"/>
      <c r="D989" s="14"/>
      <c r="E989" s="14"/>
      <c r="F989" s="14"/>
      <c r="G989" s="14"/>
      <c r="H989" s="14"/>
      <c r="I989" s="14"/>
      <c r="J989" s="41"/>
      <c r="P989" s="17"/>
      <c r="V989" s="50"/>
      <c r="AB989" s="18"/>
      <c r="AH989" s="54"/>
      <c r="AN989" s="41"/>
      <c r="AT989" s="60"/>
      <c r="AZ989" s="62"/>
      <c r="BF989" s="64"/>
      <c r="BL989" s="66"/>
    </row>
    <row r="990" spans="1:64" ht="15" thickBot="1" x14ac:dyDescent="0.4">
      <c r="A990" s="14"/>
      <c r="B990" s="14"/>
      <c r="C990" s="14"/>
      <c r="D990" s="14"/>
      <c r="E990" s="14"/>
      <c r="F990" s="14"/>
      <c r="G990" s="14"/>
      <c r="H990" s="14"/>
      <c r="I990" s="14"/>
      <c r="J990" s="41"/>
      <c r="P990" s="17"/>
      <c r="V990" s="50"/>
      <c r="AB990" s="18"/>
      <c r="AH990" s="54"/>
      <c r="AN990" s="41"/>
      <c r="AT990" s="60"/>
      <c r="AZ990" s="62"/>
      <c r="BF990" s="64"/>
      <c r="BL990" s="66"/>
    </row>
    <row r="991" spans="1:64" ht="15" thickBot="1" x14ac:dyDescent="0.4">
      <c r="A991" s="14"/>
      <c r="B991" s="14"/>
      <c r="C991" s="14"/>
      <c r="D991" s="14"/>
      <c r="E991" s="14"/>
      <c r="F991" s="14"/>
      <c r="G991" s="14"/>
      <c r="H991" s="14"/>
      <c r="I991" s="14"/>
      <c r="J991" s="41"/>
      <c r="P991" s="17"/>
      <c r="V991" s="50"/>
      <c r="AB991" s="18"/>
      <c r="AH991" s="54"/>
      <c r="AN991" s="41"/>
      <c r="AT991" s="60"/>
      <c r="AZ991" s="62"/>
      <c r="BF991" s="64"/>
      <c r="BL991" s="66"/>
    </row>
    <row r="992" spans="1:64" ht="15" thickBot="1" x14ac:dyDescent="0.4">
      <c r="A992" s="14"/>
      <c r="B992" s="14"/>
      <c r="C992" s="14"/>
      <c r="D992" s="14"/>
      <c r="E992" s="14"/>
      <c r="F992" s="14"/>
      <c r="G992" s="14"/>
      <c r="H992" s="14"/>
      <c r="I992" s="14"/>
      <c r="J992" s="41"/>
      <c r="P992" s="17"/>
      <c r="V992" s="50"/>
      <c r="AB992" s="18"/>
      <c r="AH992" s="54"/>
      <c r="AN992" s="41"/>
      <c r="AT992" s="60"/>
      <c r="AZ992" s="62"/>
      <c r="BF992" s="64"/>
      <c r="BL992" s="66"/>
    </row>
    <row r="993" spans="1:64" ht="15" thickBot="1" x14ac:dyDescent="0.4">
      <c r="A993" s="14"/>
      <c r="B993" s="14"/>
      <c r="C993" s="14"/>
      <c r="D993" s="14"/>
      <c r="E993" s="14"/>
      <c r="F993" s="14"/>
      <c r="G993" s="14"/>
      <c r="H993" s="14"/>
      <c r="I993" s="14"/>
      <c r="J993" s="41"/>
      <c r="P993" s="17"/>
      <c r="V993" s="50"/>
      <c r="AB993" s="18"/>
      <c r="AH993" s="54"/>
      <c r="AN993" s="41"/>
      <c r="AT993" s="60"/>
      <c r="AZ993" s="62"/>
      <c r="BF993" s="64"/>
      <c r="BL993" s="66"/>
    </row>
    <row r="994" spans="1:64" ht="15" thickBot="1" x14ac:dyDescent="0.4">
      <c r="A994" s="14"/>
      <c r="B994" s="14"/>
      <c r="C994" s="14"/>
      <c r="D994" s="14"/>
      <c r="E994" s="14"/>
      <c r="F994" s="14"/>
      <c r="G994" s="14"/>
      <c r="H994" s="14"/>
      <c r="I994" s="14"/>
      <c r="J994" s="41"/>
      <c r="P994" s="17"/>
      <c r="V994" s="50"/>
      <c r="AB994" s="18"/>
      <c r="AH994" s="54"/>
      <c r="AN994" s="41"/>
      <c r="AT994" s="60"/>
      <c r="AZ994" s="62"/>
      <c r="BF994" s="64"/>
      <c r="BL994" s="66"/>
    </row>
    <row r="995" spans="1:64" ht="15" thickBot="1" x14ac:dyDescent="0.4">
      <c r="A995" s="14"/>
      <c r="B995" s="14"/>
      <c r="C995" s="14"/>
      <c r="D995" s="14"/>
      <c r="E995" s="14"/>
      <c r="F995" s="14"/>
      <c r="G995" s="14"/>
      <c r="H995" s="14"/>
      <c r="I995" s="14"/>
      <c r="J995" s="41"/>
      <c r="P995" s="17"/>
      <c r="V995" s="50"/>
      <c r="AB995" s="18"/>
      <c r="AH995" s="54"/>
      <c r="AN995" s="41"/>
      <c r="AT995" s="60"/>
      <c r="AZ995" s="62"/>
      <c r="BF995" s="64"/>
      <c r="BL995" s="66"/>
    </row>
    <row r="996" spans="1:64" ht="15" thickBot="1" x14ac:dyDescent="0.4">
      <c r="A996" s="14"/>
      <c r="B996" s="14"/>
      <c r="C996" s="14"/>
      <c r="D996" s="14"/>
      <c r="E996" s="14"/>
      <c r="F996" s="14"/>
      <c r="G996" s="14"/>
      <c r="H996" s="14"/>
      <c r="I996" s="14"/>
      <c r="J996" s="41"/>
      <c r="P996" s="17"/>
      <c r="V996" s="50"/>
      <c r="AB996" s="18"/>
      <c r="AH996" s="54"/>
      <c r="AN996" s="41"/>
      <c r="AT996" s="60"/>
      <c r="AZ996" s="62"/>
      <c r="BF996" s="64"/>
      <c r="BL996" s="66"/>
    </row>
    <row r="997" spans="1:64" ht="15" thickBot="1" x14ac:dyDescent="0.4">
      <c r="A997" s="14"/>
      <c r="B997" s="14"/>
      <c r="C997" s="14"/>
      <c r="D997" s="14"/>
      <c r="E997" s="14"/>
      <c r="F997" s="14"/>
      <c r="G997" s="14"/>
      <c r="H997" s="14"/>
      <c r="I997" s="14"/>
      <c r="J997" s="41"/>
      <c r="P997" s="17"/>
      <c r="V997" s="50"/>
      <c r="AB997" s="18"/>
      <c r="AH997" s="54"/>
      <c r="AN997" s="41"/>
      <c r="AT997" s="60"/>
      <c r="AZ997" s="62"/>
      <c r="BF997" s="64"/>
      <c r="BL997" s="66"/>
    </row>
    <row r="998" spans="1:64" ht="15" thickBot="1" x14ac:dyDescent="0.4">
      <c r="A998" s="14"/>
      <c r="B998" s="14"/>
      <c r="C998" s="14"/>
      <c r="D998" s="14"/>
      <c r="E998" s="14"/>
      <c r="F998" s="14"/>
      <c r="G998" s="14"/>
      <c r="H998" s="14"/>
      <c r="I998" s="14"/>
      <c r="J998" s="41"/>
      <c r="P998" s="17"/>
      <c r="V998" s="50"/>
      <c r="AB998" s="18"/>
      <c r="AH998" s="54"/>
      <c r="AN998" s="41"/>
      <c r="AT998" s="60"/>
      <c r="AZ998" s="62"/>
      <c r="BF998" s="64"/>
      <c r="BL998" s="66"/>
    </row>
    <row r="999" spans="1:64" ht="15" thickBot="1" x14ac:dyDescent="0.4">
      <c r="A999" s="14"/>
      <c r="B999" s="14"/>
      <c r="C999" s="14"/>
      <c r="D999" s="14"/>
      <c r="E999" s="14"/>
      <c r="F999" s="14"/>
      <c r="G999" s="14"/>
      <c r="H999" s="14"/>
      <c r="I999" s="14"/>
      <c r="J999" s="41"/>
      <c r="P999" s="17"/>
      <c r="V999" s="50"/>
      <c r="AB999" s="18"/>
      <c r="AH999" s="54"/>
      <c r="AN999" s="41"/>
      <c r="AT999" s="60"/>
      <c r="AZ999" s="62"/>
      <c r="BF999" s="64"/>
      <c r="BL999" s="66"/>
    </row>
    <row r="1000" spans="1:64" ht="15" thickBot="1" x14ac:dyDescent="0.4">
      <c r="A1000" s="14"/>
      <c r="B1000" s="14"/>
      <c r="C1000" s="14"/>
      <c r="D1000" s="14"/>
      <c r="E1000" s="14"/>
      <c r="F1000" s="14"/>
      <c r="G1000" s="14"/>
      <c r="H1000" s="14"/>
      <c r="I1000" s="14"/>
      <c r="J1000" s="41"/>
      <c r="P1000" s="17"/>
      <c r="V1000" s="50"/>
      <c r="AB1000" s="18"/>
      <c r="AH1000" s="54"/>
      <c r="AN1000" s="41"/>
      <c r="AT1000" s="60"/>
      <c r="AZ1000" s="62"/>
      <c r="BF1000" s="64"/>
      <c r="BL1000" s="66"/>
    </row>
    <row r="1001" spans="1:64" ht="15" thickBot="1" x14ac:dyDescent="0.4">
      <c r="A1001" s="14"/>
      <c r="B1001" s="14"/>
      <c r="C1001" s="14"/>
      <c r="D1001" s="14"/>
      <c r="E1001" s="14"/>
      <c r="F1001" s="14"/>
      <c r="G1001" s="14"/>
      <c r="H1001" s="14"/>
      <c r="I1001" s="14"/>
      <c r="J1001" s="41"/>
      <c r="P1001" s="17"/>
      <c r="V1001" s="50"/>
      <c r="AB1001" s="18"/>
      <c r="AH1001" s="54"/>
      <c r="AN1001" s="41"/>
      <c r="AT1001" s="60"/>
      <c r="AZ1001" s="62"/>
      <c r="BF1001" s="64"/>
      <c r="BL1001" s="66"/>
    </row>
  </sheetData>
  <autoFilter ref="A2:CU205" xr:uid="{00000000-0001-0000-0200-000000000000}">
    <sortState xmlns:xlrd2="http://schemas.microsoft.com/office/spreadsheetml/2017/richdata2" ref="A3:CU205">
      <sortCondition ref="A2:A205"/>
    </sortState>
  </autoFilter>
  <mergeCells count="2">
    <mergeCell ref="AN1:BQ1"/>
    <mergeCell ref="BR1:CU1"/>
  </mergeCells>
  <dataValidations count="1">
    <dataValidation type="list" allowBlank="1" promptTitle="Category" prompt="Select the main category" sqref="Q3:Q204 W3:W204 AC3:AC204 AI3:AI204 AO3:AO204 AU3:AU204 BA3:BA204 BG3:BG204 BM3:BM204 BS3:BS204 BY3:BY204 CE3:CE204 CK3:CK204 CQ3:CQ203 K3:K204" xr:uid="{63E6499E-92E9-434F-9E90-C4017538E520}">
      <formula1>"1. Reproduction,2. Omissions,3. Errors,4. Creative Shifts"</formula1>
      <formula2>0</formula2>
    </dataValidation>
  </dataValidations>
  <pageMargins left="0.75" right="0.75" top="1" bottom="1"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2">
        <x14:dataValidation type="list" allowBlank="1" promptTitle="Subcategory" prompt="Pick Category first, then select subcategory" xr:uid="{9868ED44-991B-447C-BA90-7E88177EBDF3}">
          <x14:formula1>
            <xm:f>INDIRECT(VLOOKUP(K3,Lists!$G:$H,2,0))</xm:f>
          </x14:formula1>
          <x14:formula2>
            <xm:f>0</xm:f>
          </x14:formula2>
          <xm:sqref>R3:T204 CL3:CN204 CF3:CH204 BZ3:CB204 BN3:BO204 BH3:BJ204 AV3:AX204 BB3:BD204 AP3:AR204 AJ3:AL204 AD3:AF204 X3:Z204 L3:N204 BT3:BV204 CR3:CT203</xm:sqref>
        </x14:dataValidation>
        <x14:dataValidation type="list" allowBlank="1" promptTitle="Subcategory" prompt="Pick Category first, then select subcategory" xr:uid="{6AF18C89-8931-486C-9920-66088F34FD61}">
          <x14:formula1>
            <xm:f>INDIRECT(VLOOKUP(BN3,Lists!$G:$H,2,0))</xm:f>
          </x14:formula1>
          <x14:formula2>
            <xm:f>0</xm:f>
          </x14:formula2>
          <xm:sqref>BP3:BP204</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Lists</vt:lpstr>
      <vt:lpstr>Dashboard</vt:lpstr>
      <vt:lpstr>Evaluation</vt:lpstr>
      <vt:lpstr>CreativeShifts</vt:lpstr>
      <vt:lpstr>Errors</vt:lpstr>
      <vt:lpstr>Omissions</vt:lpstr>
      <vt:lpstr>Reproduction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YOLANDA CASTALLA</cp:lastModifiedBy>
  <cp:revision>0</cp:revision>
  <dcterms:created xsi:type="dcterms:W3CDTF">2026-03-14T18:18:36Z</dcterms:created>
  <dcterms:modified xsi:type="dcterms:W3CDTF">2026-06-08T15:23:50Z</dcterms:modified>
  <dc:language>en-US</dc:language>
</cp:coreProperties>
</file>